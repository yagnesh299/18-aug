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Z:\#Dealers\EXPIRY WISE P&amp;L\DEEP TECH\P&amp;L\AUG\"/>
    </mc:Choice>
  </mc:AlternateContent>
  <bookViews>
    <workbookView xWindow="0" yWindow="0" windowWidth="20490" windowHeight="7755" tabRatio="912" activeTab="1"/>
  </bookViews>
  <sheets>
    <sheet name="Summary" sheetId="1" r:id="rId1"/>
    <sheet name="Kripal Sir F&amp;O" sheetId="2" r:id="rId2"/>
    <sheet name="Index F&amp;O" sheetId="3" r:id="rId3"/>
  </sheets>
  <definedNames>
    <definedName name="_xlnm._FilterDatabase" localSheetId="2" hidden="1">'Index F&amp;O'!$A$1:$S$681</definedName>
    <definedName name="_xlnm._FilterDatabase" localSheetId="1" hidden="1">'Kripal Sir F&amp;O'!$A$1:$S$228</definedName>
  </definedNames>
  <calcPr calcId="152511"/>
</workbook>
</file>

<file path=xl/calcChain.xml><?xml version="1.0" encoding="utf-8"?>
<calcChain xmlns="http://schemas.openxmlformats.org/spreadsheetml/2006/main">
  <c r="M229" i="2" l="1"/>
  <c r="L229" i="2"/>
  <c r="K229" i="2"/>
  <c r="J229" i="2"/>
  <c r="M681" i="3"/>
  <c r="L681" i="3"/>
  <c r="J681" i="3"/>
  <c r="K681" i="3" s="1"/>
  <c r="M680" i="3"/>
  <c r="L680" i="3"/>
  <c r="K680" i="3"/>
  <c r="J680" i="3"/>
  <c r="N679" i="3"/>
  <c r="O679" i="3" s="1"/>
  <c r="M679" i="3"/>
  <c r="L679" i="3"/>
  <c r="J679" i="3"/>
  <c r="K679" i="3" s="1"/>
  <c r="M678" i="3"/>
  <c r="L678" i="3"/>
  <c r="K678" i="3"/>
  <c r="J678" i="3"/>
  <c r="M677" i="3"/>
  <c r="L677" i="3"/>
  <c r="J677" i="3"/>
  <c r="K677" i="3" s="1"/>
  <c r="M676" i="3"/>
  <c r="L676" i="3"/>
  <c r="N676" i="3" s="1"/>
  <c r="O676" i="3" s="1"/>
  <c r="J676" i="3"/>
  <c r="K676" i="3" s="1"/>
  <c r="M675" i="3"/>
  <c r="L675" i="3"/>
  <c r="N675" i="3" s="1"/>
  <c r="O675" i="3" s="1"/>
  <c r="J675" i="3"/>
  <c r="K675" i="3" s="1"/>
  <c r="M674" i="3"/>
  <c r="L674" i="3"/>
  <c r="N674" i="3" s="1"/>
  <c r="O674" i="3" s="1"/>
  <c r="J674" i="3"/>
  <c r="K674" i="3" s="1"/>
  <c r="M673" i="3"/>
  <c r="L673" i="3"/>
  <c r="N673" i="3" s="1"/>
  <c r="O673" i="3" s="1"/>
  <c r="P673" i="3" s="1"/>
  <c r="J673" i="3"/>
  <c r="K673" i="3" s="1"/>
  <c r="M672" i="3"/>
  <c r="L672" i="3"/>
  <c r="K672" i="3"/>
  <c r="J672" i="3"/>
  <c r="M671" i="3"/>
  <c r="L671" i="3"/>
  <c r="N671" i="3" s="1"/>
  <c r="O671" i="3" s="1"/>
  <c r="J671" i="3"/>
  <c r="K671" i="3" s="1"/>
  <c r="M670" i="3"/>
  <c r="L670" i="3"/>
  <c r="K670" i="3"/>
  <c r="J670" i="3"/>
  <c r="M669" i="3"/>
  <c r="L669" i="3"/>
  <c r="N669" i="3" s="1"/>
  <c r="O669" i="3" s="1"/>
  <c r="P669" i="3" s="1"/>
  <c r="J669" i="3"/>
  <c r="K669" i="3" s="1"/>
  <c r="M668" i="3"/>
  <c r="L668" i="3"/>
  <c r="N668" i="3" s="1"/>
  <c r="O668" i="3" s="1"/>
  <c r="J668" i="3"/>
  <c r="K668" i="3" s="1"/>
  <c r="M667" i="3"/>
  <c r="L667" i="3"/>
  <c r="J667" i="3"/>
  <c r="K667" i="3" s="1"/>
  <c r="M666" i="3"/>
  <c r="L666" i="3"/>
  <c r="J666" i="3"/>
  <c r="K666" i="3" s="1"/>
  <c r="M665" i="3"/>
  <c r="L665" i="3"/>
  <c r="N665" i="3" s="1"/>
  <c r="O665" i="3" s="1"/>
  <c r="J665" i="3"/>
  <c r="K665" i="3" s="1"/>
  <c r="M664" i="3"/>
  <c r="L664" i="3"/>
  <c r="N664" i="3" s="1"/>
  <c r="O664" i="3" s="1"/>
  <c r="J664" i="3"/>
  <c r="K664" i="3" s="1"/>
  <c r="P664" i="3" s="1"/>
  <c r="M663" i="3"/>
  <c r="L663" i="3"/>
  <c r="J663" i="3"/>
  <c r="K663" i="3" s="1"/>
  <c r="M662" i="3"/>
  <c r="L662" i="3"/>
  <c r="N662" i="3" s="1"/>
  <c r="O662" i="3" s="1"/>
  <c r="J662" i="3"/>
  <c r="K662" i="3" s="1"/>
  <c r="M661" i="3"/>
  <c r="L661" i="3"/>
  <c r="J661" i="3"/>
  <c r="K661" i="3" s="1"/>
  <c r="M660" i="3"/>
  <c r="L660" i="3"/>
  <c r="K660" i="3"/>
  <c r="J660" i="3"/>
  <c r="M659" i="3"/>
  <c r="L659" i="3"/>
  <c r="N659" i="3" s="1"/>
  <c r="O659" i="3" s="1"/>
  <c r="J659" i="3"/>
  <c r="K659" i="3" s="1"/>
  <c r="M658" i="3"/>
  <c r="L658" i="3"/>
  <c r="J658" i="3"/>
  <c r="K658" i="3" s="1"/>
  <c r="M657" i="3"/>
  <c r="L657" i="3"/>
  <c r="N657" i="3" s="1"/>
  <c r="O657" i="3" s="1"/>
  <c r="J657" i="3"/>
  <c r="K657" i="3" s="1"/>
  <c r="O656" i="3"/>
  <c r="M656" i="3"/>
  <c r="L656" i="3"/>
  <c r="N656" i="3" s="1"/>
  <c r="J656" i="3"/>
  <c r="K656" i="3" s="1"/>
  <c r="P656" i="3" s="1"/>
  <c r="M655" i="3"/>
  <c r="N655" i="3" s="1"/>
  <c r="O655" i="3" s="1"/>
  <c r="L655" i="3"/>
  <c r="J655" i="3"/>
  <c r="K655" i="3" s="1"/>
  <c r="P655" i="3" s="1"/>
  <c r="M654" i="3"/>
  <c r="L654" i="3"/>
  <c r="N654" i="3" s="1"/>
  <c r="O654" i="3" s="1"/>
  <c r="J654" i="3"/>
  <c r="K654" i="3" s="1"/>
  <c r="M653" i="3"/>
  <c r="L653" i="3"/>
  <c r="J653" i="3"/>
  <c r="K653" i="3" s="1"/>
  <c r="M652" i="3"/>
  <c r="L652" i="3"/>
  <c r="K652" i="3"/>
  <c r="J652" i="3"/>
  <c r="N651" i="3"/>
  <c r="O651" i="3" s="1"/>
  <c r="M651" i="3"/>
  <c r="L651" i="3"/>
  <c r="J651" i="3"/>
  <c r="K651" i="3" s="1"/>
  <c r="M650" i="3"/>
  <c r="L650" i="3"/>
  <c r="K650" i="3"/>
  <c r="J650" i="3"/>
  <c r="M649" i="3"/>
  <c r="L649" i="3"/>
  <c r="J649" i="3"/>
  <c r="K649" i="3" s="1"/>
  <c r="M648" i="3"/>
  <c r="L648" i="3"/>
  <c r="N648" i="3" s="1"/>
  <c r="O648" i="3" s="1"/>
  <c r="J648" i="3"/>
  <c r="K648" i="3" s="1"/>
  <c r="M647" i="3"/>
  <c r="L647" i="3"/>
  <c r="J647" i="3"/>
  <c r="K647" i="3" s="1"/>
  <c r="M646" i="3"/>
  <c r="L646" i="3"/>
  <c r="N646" i="3" s="1"/>
  <c r="O646" i="3" s="1"/>
  <c r="J646" i="3"/>
  <c r="K646" i="3" s="1"/>
  <c r="M645" i="3"/>
  <c r="L645" i="3"/>
  <c r="J645" i="3"/>
  <c r="K645" i="3" s="1"/>
  <c r="M644" i="3"/>
  <c r="L644" i="3"/>
  <c r="N644" i="3" s="1"/>
  <c r="O644" i="3" s="1"/>
  <c r="J644" i="3"/>
  <c r="K644" i="3" s="1"/>
  <c r="M643" i="3"/>
  <c r="N643" i="3" s="1"/>
  <c r="O643" i="3" s="1"/>
  <c r="L643" i="3"/>
  <c r="J643" i="3"/>
  <c r="K643" i="3" s="1"/>
  <c r="M642" i="3"/>
  <c r="L642" i="3"/>
  <c r="N642" i="3" s="1"/>
  <c r="O642" i="3" s="1"/>
  <c r="J642" i="3"/>
  <c r="K642" i="3" s="1"/>
  <c r="M641" i="3"/>
  <c r="L641" i="3"/>
  <c r="N641" i="3" s="1"/>
  <c r="O641" i="3" s="1"/>
  <c r="P641" i="3" s="1"/>
  <c r="J641" i="3"/>
  <c r="K641" i="3" s="1"/>
  <c r="M640" i="3"/>
  <c r="L640" i="3"/>
  <c r="K640" i="3"/>
  <c r="J640" i="3"/>
  <c r="N639" i="3"/>
  <c r="O639" i="3" s="1"/>
  <c r="M639" i="3"/>
  <c r="L639" i="3"/>
  <c r="J639" i="3"/>
  <c r="K639" i="3" s="1"/>
  <c r="M638" i="3"/>
  <c r="L638" i="3"/>
  <c r="K638" i="3"/>
  <c r="J638" i="3"/>
  <c r="P637" i="3"/>
  <c r="M637" i="3"/>
  <c r="L637" i="3"/>
  <c r="N637" i="3" s="1"/>
  <c r="O637" i="3" s="1"/>
  <c r="J637" i="3"/>
  <c r="K637" i="3" s="1"/>
  <c r="O636" i="3"/>
  <c r="M636" i="3"/>
  <c r="L636" i="3"/>
  <c r="N636" i="3" s="1"/>
  <c r="J636" i="3"/>
  <c r="K636" i="3" s="1"/>
  <c r="M635" i="3"/>
  <c r="N635" i="3" s="1"/>
  <c r="O635" i="3" s="1"/>
  <c r="L635" i="3"/>
  <c r="J635" i="3"/>
  <c r="K635" i="3" s="1"/>
  <c r="P635" i="3" s="1"/>
  <c r="M634" i="3"/>
  <c r="L634" i="3"/>
  <c r="J634" i="3"/>
  <c r="K634" i="3" s="1"/>
  <c r="M633" i="3"/>
  <c r="L633" i="3"/>
  <c r="N633" i="3" s="1"/>
  <c r="O633" i="3" s="1"/>
  <c r="J633" i="3"/>
  <c r="K633" i="3" s="1"/>
  <c r="O632" i="3"/>
  <c r="M632" i="3"/>
  <c r="L632" i="3"/>
  <c r="N632" i="3" s="1"/>
  <c r="J632" i="3"/>
  <c r="K632" i="3" s="1"/>
  <c r="M631" i="3"/>
  <c r="N631" i="3" s="1"/>
  <c r="O631" i="3" s="1"/>
  <c r="L631" i="3"/>
  <c r="J631" i="3"/>
  <c r="K631" i="3" s="1"/>
  <c r="P631" i="3" s="1"/>
  <c r="M630" i="3"/>
  <c r="L630" i="3"/>
  <c r="N630" i="3" s="1"/>
  <c r="O630" i="3" s="1"/>
  <c r="J630" i="3"/>
  <c r="K630" i="3" s="1"/>
  <c r="P630" i="3" s="1"/>
  <c r="M629" i="3"/>
  <c r="L629" i="3"/>
  <c r="N629" i="3" s="1"/>
  <c r="O629" i="3" s="1"/>
  <c r="J629" i="3"/>
  <c r="K629" i="3" s="1"/>
  <c r="M628" i="3"/>
  <c r="L628" i="3"/>
  <c r="K628" i="3"/>
  <c r="J628" i="3"/>
  <c r="N627" i="3"/>
  <c r="O627" i="3" s="1"/>
  <c r="M627" i="3"/>
  <c r="L627" i="3"/>
  <c r="J627" i="3"/>
  <c r="K627" i="3" s="1"/>
  <c r="M626" i="3"/>
  <c r="L626" i="3"/>
  <c r="K626" i="3"/>
  <c r="J626" i="3"/>
  <c r="M625" i="3"/>
  <c r="L625" i="3"/>
  <c r="J625" i="3"/>
  <c r="K625" i="3" s="1"/>
  <c r="M624" i="3"/>
  <c r="L624" i="3"/>
  <c r="N624" i="3" s="1"/>
  <c r="O624" i="3" s="1"/>
  <c r="J624" i="3"/>
  <c r="K624" i="3" s="1"/>
  <c r="M623" i="3"/>
  <c r="L623" i="3"/>
  <c r="N623" i="3" s="1"/>
  <c r="O623" i="3" s="1"/>
  <c r="J623" i="3"/>
  <c r="K623" i="3" s="1"/>
  <c r="M622" i="3"/>
  <c r="L622" i="3"/>
  <c r="J622" i="3"/>
  <c r="K622" i="3" s="1"/>
  <c r="M621" i="3"/>
  <c r="L621" i="3"/>
  <c r="J621" i="3"/>
  <c r="K621" i="3" s="1"/>
  <c r="M620" i="3"/>
  <c r="L620" i="3"/>
  <c r="N620" i="3" s="1"/>
  <c r="O620" i="3" s="1"/>
  <c r="J620" i="3"/>
  <c r="K620" i="3" s="1"/>
  <c r="M619" i="3"/>
  <c r="N619" i="3" s="1"/>
  <c r="O619" i="3" s="1"/>
  <c r="L619" i="3"/>
  <c r="J619" i="3"/>
  <c r="K619" i="3" s="1"/>
  <c r="M618" i="3"/>
  <c r="L618" i="3"/>
  <c r="J618" i="3"/>
  <c r="K618" i="3" s="1"/>
  <c r="M617" i="3"/>
  <c r="L617" i="3"/>
  <c r="J617" i="3"/>
  <c r="K617" i="3" s="1"/>
  <c r="M616" i="3"/>
  <c r="L616" i="3"/>
  <c r="N616" i="3" s="1"/>
  <c r="O616" i="3" s="1"/>
  <c r="J616" i="3"/>
  <c r="K616" i="3" s="1"/>
  <c r="M615" i="3"/>
  <c r="L615" i="3"/>
  <c r="J615" i="3"/>
  <c r="K615" i="3" s="1"/>
  <c r="M614" i="3"/>
  <c r="L614" i="3"/>
  <c r="J614" i="3"/>
  <c r="K614" i="3" s="1"/>
  <c r="M613" i="3"/>
  <c r="L613" i="3"/>
  <c r="J613" i="3"/>
  <c r="K613" i="3" s="1"/>
  <c r="M612" i="3"/>
  <c r="L612" i="3"/>
  <c r="N612" i="3" s="1"/>
  <c r="O612" i="3" s="1"/>
  <c r="J612" i="3"/>
  <c r="K612" i="3" s="1"/>
  <c r="M611" i="3"/>
  <c r="N611" i="3" s="1"/>
  <c r="O611" i="3" s="1"/>
  <c r="L611" i="3"/>
  <c r="J611" i="3"/>
  <c r="K611" i="3" s="1"/>
  <c r="M610" i="3"/>
  <c r="L610" i="3"/>
  <c r="J610" i="3"/>
  <c r="K610" i="3" s="1"/>
  <c r="M609" i="3"/>
  <c r="L609" i="3"/>
  <c r="J609" i="3"/>
  <c r="K609" i="3" s="1"/>
  <c r="M608" i="3"/>
  <c r="L608" i="3"/>
  <c r="N608" i="3" s="1"/>
  <c r="O608" i="3" s="1"/>
  <c r="J608" i="3"/>
  <c r="K608" i="3" s="1"/>
  <c r="M607" i="3"/>
  <c r="L607" i="3"/>
  <c r="J607" i="3"/>
  <c r="K607" i="3" s="1"/>
  <c r="M606" i="3"/>
  <c r="L606" i="3"/>
  <c r="J606" i="3"/>
  <c r="K606" i="3" s="1"/>
  <c r="M605" i="3"/>
  <c r="L605" i="3"/>
  <c r="J605" i="3"/>
  <c r="K605" i="3" s="1"/>
  <c r="M604" i="3"/>
  <c r="L604" i="3"/>
  <c r="N604" i="3" s="1"/>
  <c r="O604" i="3" s="1"/>
  <c r="J604" i="3"/>
  <c r="K604" i="3" s="1"/>
  <c r="M603" i="3"/>
  <c r="N603" i="3" s="1"/>
  <c r="O603" i="3" s="1"/>
  <c r="L603" i="3"/>
  <c r="J603" i="3"/>
  <c r="K603" i="3" s="1"/>
  <c r="M602" i="3"/>
  <c r="L602" i="3"/>
  <c r="J602" i="3"/>
  <c r="K602" i="3" s="1"/>
  <c r="M601" i="3"/>
  <c r="L601" i="3"/>
  <c r="J601" i="3"/>
  <c r="K601" i="3" s="1"/>
  <c r="M600" i="3"/>
  <c r="L600" i="3"/>
  <c r="N600" i="3" s="1"/>
  <c r="O600" i="3" s="1"/>
  <c r="J600" i="3"/>
  <c r="K600" i="3" s="1"/>
  <c r="M599" i="3"/>
  <c r="L599" i="3"/>
  <c r="J599" i="3"/>
  <c r="K599" i="3" s="1"/>
  <c r="M598" i="3"/>
  <c r="L598" i="3"/>
  <c r="J598" i="3"/>
  <c r="K598" i="3" s="1"/>
  <c r="M597" i="3"/>
  <c r="L597" i="3"/>
  <c r="J597" i="3"/>
  <c r="K597" i="3" s="1"/>
  <c r="M596" i="3"/>
  <c r="L596" i="3"/>
  <c r="N596" i="3" s="1"/>
  <c r="O596" i="3" s="1"/>
  <c r="J596" i="3"/>
  <c r="K596" i="3" s="1"/>
  <c r="M595" i="3"/>
  <c r="L595" i="3"/>
  <c r="N595" i="3" s="1"/>
  <c r="O595" i="3" s="1"/>
  <c r="J595" i="3"/>
  <c r="K595" i="3" s="1"/>
  <c r="P595" i="3" s="1"/>
  <c r="M594" i="3"/>
  <c r="L594" i="3"/>
  <c r="J594" i="3"/>
  <c r="K594" i="3" s="1"/>
  <c r="M593" i="3"/>
  <c r="L593" i="3"/>
  <c r="J593" i="3"/>
  <c r="K593" i="3" s="1"/>
  <c r="M592" i="3"/>
  <c r="L592" i="3"/>
  <c r="N592" i="3" s="1"/>
  <c r="O592" i="3" s="1"/>
  <c r="J592" i="3"/>
  <c r="K592" i="3" s="1"/>
  <c r="N591" i="3"/>
  <c r="O591" i="3" s="1"/>
  <c r="M591" i="3"/>
  <c r="L591" i="3"/>
  <c r="J591" i="3"/>
  <c r="K591" i="3" s="1"/>
  <c r="P591" i="3" s="1"/>
  <c r="M590" i="3"/>
  <c r="N590" i="3" s="1"/>
  <c r="O590" i="3" s="1"/>
  <c r="L590" i="3"/>
  <c r="J590" i="3"/>
  <c r="K590" i="3" s="1"/>
  <c r="M589" i="3"/>
  <c r="L589" i="3"/>
  <c r="J589" i="3"/>
  <c r="K589" i="3" s="1"/>
  <c r="M588" i="3"/>
  <c r="L588" i="3"/>
  <c r="K588" i="3"/>
  <c r="J588" i="3"/>
  <c r="O587" i="3"/>
  <c r="M587" i="3"/>
  <c r="N587" i="3" s="1"/>
  <c r="L587" i="3"/>
  <c r="K587" i="3"/>
  <c r="J587" i="3"/>
  <c r="M586" i="3"/>
  <c r="L586" i="3"/>
  <c r="N586" i="3" s="1"/>
  <c r="O586" i="3" s="1"/>
  <c r="J586" i="3"/>
  <c r="K586" i="3" s="1"/>
  <c r="M585" i="3"/>
  <c r="L585" i="3"/>
  <c r="J585" i="3"/>
  <c r="K585" i="3" s="1"/>
  <c r="M584" i="3"/>
  <c r="L584" i="3"/>
  <c r="K584" i="3"/>
  <c r="J584" i="3"/>
  <c r="M583" i="3"/>
  <c r="L583" i="3"/>
  <c r="N583" i="3" s="1"/>
  <c r="O583" i="3" s="1"/>
  <c r="K583" i="3"/>
  <c r="J583" i="3"/>
  <c r="N582" i="3"/>
  <c r="O582" i="3" s="1"/>
  <c r="M582" i="3"/>
  <c r="L582" i="3"/>
  <c r="J582" i="3"/>
  <c r="K582" i="3" s="1"/>
  <c r="M581" i="3"/>
  <c r="L581" i="3"/>
  <c r="J581" i="3"/>
  <c r="K581" i="3" s="1"/>
  <c r="M580" i="3"/>
  <c r="L580" i="3"/>
  <c r="N580" i="3" s="1"/>
  <c r="O580" i="3" s="1"/>
  <c r="J580" i="3"/>
  <c r="K580" i="3" s="1"/>
  <c r="N579" i="3"/>
  <c r="O579" i="3" s="1"/>
  <c r="M579" i="3"/>
  <c r="L579" i="3"/>
  <c r="J579" i="3"/>
  <c r="K579" i="3" s="1"/>
  <c r="P579" i="3" s="1"/>
  <c r="M578" i="3"/>
  <c r="N578" i="3" s="1"/>
  <c r="O578" i="3" s="1"/>
  <c r="L578" i="3"/>
  <c r="J578" i="3"/>
  <c r="K578" i="3" s="1"/>
  <c r="M577" i="3"/>
  <c r="L577" i="3"/>
  <c r="J577" i="3"/>
  <c r="K577" i="3" s="1"/>
  <c r="M576" i="3"/>
  <c r="L576" i="3"/>
  <c r="K576" i="3"/>
  <c r="J576" i="3"/>
  <c r="N575" i="3"/>
  <c r="O575" i="3" s="1"/>
  <c r="M575" i="3"/>
  <c r="L575" i="3"/>
  <c r="J575" i="3"/>
  <c r="K575" i="3" s="1"/>
  <c r="N574" i="3"/>
  <c r="O574" i="3" s="1"/>
  <c r="M574" i="3"/>
  <c r="L574" i="3"/>
  <c r="J574" i="3"/>
  <c r="K574" i="3" s="1"/>
  <c r="M573" i="3"/>
  <c r="L573" i="3"/>
  <c r="J573" i="3"/>
  <c r="K573" i="3" s="1"/>
  <c r="M572" i="3"/>
  <c r="L572" i="3"/>
  <c r="N572" i="3" s="1"/>
  <c r="O572" i="3" s="1"/>
  <c r="J572" i="3"/>
  <c r="K572" i="3" s="1"/>
  <c r="M571" i="3"/>
  <c r="L571" i="3"/>
  <c r="J571" i="3"/>
  <c r="K571" i="3" s="1"/>
  <c r="M570" i="3"/>
  <c r="L570" i="3"/>
  <c r="J570" i="3"/>
  <c r="K570" i="3" s="1"/>
  <c r="M569" i="3"/>
  <c r="L569" i="3"/>
  <c r="J569" i="3"/>
  <c r="K569" i="3" s="1"/>
  <c r="M568" i="3"/>
  <c r="L568" i="3"/>
  <c r="K568" i="3"/>
  <c r="J568" i="3"/>
  <c r="M567" i="3"/>
  <c r="L567" i="3"/>
  <c r="K567" i="3"/>
  <c r="J567" i="3"/>
  <c r="M566" i="3"/>
  <c r="N566" i="3" s="1"/>
  <c r="O566" i="3" s="1"/>
  <c r="L566" i="3"/>
  <c r="K566" i="3"/>
  <c r="J566" i="3"/>
  <c r="N565" i="3"/>
  <c r="O565" i="3" s="1"/>
  <c r="M565" i="3"/>
  <c r="L565" i="3"/>
  <c r="J565" i="3"/>
  <c r="K565" i="3" s="1"/>
  <c r="M564" i="3"/>
  <c r="L564" i="3"/>
  <c r="K564" i="3"/>
  <c r="J564" i="3"/>
  <c r="M563" i="3"/>
  <c r="L563" i="3"/>
  <c r="N563" i="3" s="1"/>
  <c r="O563" i="3" s="1"/>
  <c r="K563" i="3"/>
  <c r="J563" i="3"/>
  <c r="M562" i="3"/>
  <c r="N562" i="3" s="1"/>
  <c r="O562" i="3" s="1"/>
  <c r="L562" i="3"/>
  <c r="J562" i="3"/>
  <c r="K562" i="3" s="1"/>
  <c r="M561" i="3"/>
  <c r="L561" i="3"/>
  <c r="N561" i="3" s="1"/>
  <c r="O561" i="3" s="1"/>
  <c r="J561" i="3"/>
  <c r="K561" i="3" s="1"/>
  <c r="P561" i="3" s="1"/>
  <c r="M560" i="3"/>
  <c r="L560" i="3"/>
  <c r="N560" i="3" s="1"/>
  <c r="O560" i="3" s="1"/>
  <c r="J560" i="3"/>
  <c r="K560" i="3" s="1"/>
  <c r="M559" i="3"/>
  <c r="L559" i="3"/>
  <c r="N559" i="3" s="1"/>
  <c r="O559" i="3" s="1"/>
  <c r="J559" i="3"/>
  <c r="K559" i="3" s="1"/>
  <c r="M558" i="3"/>
  <c r="L558" i="3"/>
  <c r="J558" i="3"/>
  <c r="K558" i="3" s="1"/>
  <c r="M557" i="3"/>
  <c r="L557" i="3"/>
  <c r="N557" i="3" s="1"/>
  <c r="O557" i="3" s="1"/>
  <c r="J557" i="3"/>
  <c r="K557" i="3" s="1"/>
  <c r="M556" i="3"/>
  <c r="L556" i="3"/>
  <c r="K556" i="3"/>
  <c r="J556" i="3"/>
  <c r="M555" i="3"/>
  <c r="L555" i="3"/>
  <c r="K555" i="3"/>
  <c r="J555" i="3"/>
  <c r="M554" i="3"/>
  <c r="N554" i="3" s="1"/>
  <c r="O554" i="3" s="1"/>
  <c r="L554" i="3"/>
  <c r="J554" i="3"/>
  <c r="K554" i="3" s="1"/>
  <c r="M553" i="3"/>
  <c r="L553" i="3"/>
  <c r="J553" i="3"/>
  <c r="K553" i="3" s="1"/>
  <c r="M552" i="3"/>
  <c r="L552" i="3"/>
  <c r="N552" i="3" s="1"/>
  <c r="O552" i="3" s="1"/>
  <c r="J552" i="3"/>
  <c r="K552" i="3" s="1"/>
  <c r="N551" i="3"/>
  <c r="O551" i="3" s="1"/>
  <c r="M551" i="3"/>
  <c r="L551" i="3"/>
  <c r="J551" i="3"/>
  <c r="K551" i="3" s="1"/>
  <c r="P551" i="3" s="1"/>
  <c r="M550" i="3"/>
  <c r="L550" i="3"/>
  <c r="J550" i="3"/>
  <c r="K550" i="3" s="1"/>
  <c r="N549" i="3"/>
  <c r="O549" i="3" s="1"/>
  <c r="M549" i="3"/>
  <c r="L549" i="3"/>
  <c r="J549" i="3"/>
  <c r="K549" i="3" s="1"/>
  <c r="M548" i="3"/>
  <c r="L548" i="3"/>
  <c r="K548" i="3"/>
  <c r="J548" i="3"/>
  <c r="O547" i="3"/>
  <c r="M547" i="3"/>
  <c r="N547" i="3" s="1"/>
  <c r="L547" i="3"/>
  <c r="K547" i="3"/>
  <c r="P547" i="3" s="1"/>
  <c r="J547" i="3"/>
  <c r="M546" i="3"/>
  <c r="L546" i="3"/>
  <c r="J546" i="3"/>
  <c r="K546" i="3" s="1"/>
  <c r="M545" i="3"/>
  <c r="L545" i="3"/>
  <c r="K545" i="3"/>
  <c r="J545" i="3"/>
  <c r="M544" i="3"/>
  <c r="L544" i="3"/>
  <c r="K544" i="3"/>
  <c r="J544" i="3"/>
  <c r="N543" i="3"/>
  <c r="O543" i="3" s="1"/>
  <c r="M543" i="3"/>
  <c r="L543" i="3"/>
  <c r="J543" i="3"/>
  <c r="K543" i="3" s="1"/>
  <c r="M542" i="3"/>
  <c r="L542" i="3"/>
  <c r="J542" i="3"/>
  <c r="K542" i="3" s="1"/>
  <c r="M541" i="3"/>
  <c r="L541" i="3"/>
  <c r="N541" i="3" s="1"/>
  <c r="O541" i="3" s="1"/>
  <c r="P541" i="3" s="1"/>
  <c r="J541" i="3"/>
  <c r="K541" i="3" s="1"/>
  <c r="N540" i="3"/>
  <c r="O540" i="3" s="1"/>
  <c r="M540" i="3"/>
  <c r="L540" i="3"/>
  <c r="J540" i="3"/>
  <c r="K540" i="3" s="1"/>
  <c r="P540" i="3" s="1"/>
  <c r="M539" i="3"/>
  <c r="L539" i="3"/>
  <c r="N539" i="3" s="1"/>
  <c r="O539" i="3" s="1"/>
  <c r="J539" i="3"/>
  <c r="K539" i="3" s="1"/>
  <c r="M538" i="3"/>
  <c r="L538" i="3"/>
  <c r="J538" i="3"/>
  <c r="K538" i="3" s="1"/>
  <c r="M537" i="3"/>
  <c r="L537" i="3"/>
  <c r="N537" i="3" s="1"/>
  <c r="O537" i="3" s="1"/>
  <c r="J537" i="3"/>
  <c r="K537" i="3" s="1"/>
  <c r="P537" i="3" s="1"/>
  <c r="M536" i="3"/>
  <c r="L536" i="3"/>
  <c r="N536" i="3" s="1"/>
  <c r="O536" i="3" s="1"/>
  <c r="J536" i="3"/>
  <c r="K536" i="3" s="1"/>
  <c r="M535" i="3"/>
  <c r="L535" i="3"/>
  <c r="J535" i="3"/>
  <c r="K535" i="3" s="1"/>
  <c r="M534" i="3"/>
  <c r="L534" i="3"/>
  <c r="N534" i="3" s="1"/>
  <c r="O534" i="3" s="1"/>
  <c r="J534" i="3"/>
  <c r="K534" i="3" s="1"/>
  <c r="M533" i="3"/>
  <c r="L533" i="3"/>
  <c r="K533" i="3"/>
  <c r="J533" i="3"/>
  <c r="M532" i="3"/>
  <c r="L532" i="3"/>
  <c r="K532" i="3"/>
  <c r="J532" i="3"/>
  <c r="N531" i="3"/>
  <c r="O531" i="3" s="1"/>
  <c r="M531" i="3"/>
  <c r="L531" i="3"/>
  <c r="J531" i="3"/>
  <c r="K531" i="3" s="1"/>
  <c r="M530" i="3"/>
  <c r="L530" i="3"/>
  <c r="J530" i="3"/>
  <c r="K530" i="3" s="1"/>
  <c r="M529" i="3"/>
  <c r="L529" i="3"/>
  <c r="K529" i="3"/>
  <c r="J529" i="3"/>
  <c r="O528" i="3"/>
  <c r="M528" i="3"/>
  <c r="L528" i="3"/>
  <c r="N528" i="3" s="1"/>
  <c r="K528" i="3"/>
  <c r="P528" i="3" s="1"/>
  <c r="J528" i="3"/>
  <c r="M527" i="3"/>
  <c r="L527" i="3"/>
  <c r="N527" i="3" s="1"/>
  <c r="O527" i="3" s="1"/>
  <c r="J527" i="3"/>
  <c r="K527" i="3" s="1"/>
  <c r="M526" i="3"/>
  <c r="L526" i="3"/>
  <c r="J526" i="3"/>
  <c r="K526" i="3" s="1"/>
  <c r="M525" i="3"/>
  <c r="L525" i="3"/>
  <c r="N525" i="3" s="1"/>
  <c r="O525" i="3" s="1"/>
  <c r="J525" i="3"/>
  <c r="K525" i="3" s="1"/>
  <c r="M524" i="3"/>
  <c r="L524" i="3"/>
  <c r="N524" i="3" s="1"/>
  <c r="O524" i="3" s="1"/>
  <c r="J524" i="3"/>
  <c r="K524" i="3" s="1"/>
  <c r="M523" i="3"/>
  <c r="L523" i="3"/>
  <c r="J523" i="3"/>
  <c r="K523" i="3" s="1"/>
  <c r="M522" i="3"/>
  <c r="L522" i="3"/>
  <c r="J522" i="3"/>
  <c r="K522" i="3" s="1"/>
  <c r="M521" i="3"/>
  <c r="L521" i="3"/>
  <c r="N521" i="3" s="1"/>
  <c r="O521" i="3" s="1"/>
  <c r="J521" i="3"/>
  <c r="K521" i="3" s="1"/>
  <c r="N520" i="3"/>
  <c r="O520" i="3" s="1"/>
  <c r="M520" i="3"/>
  <c r="L520" i="3"/>
  <c r="J520" i="3"/>
  <c r="K520" i="3" s="1"/>
  <c r="P520" i="3" s="1"/>
  <c r="M519" i="3"/>
  <c r="L519" i="3"/>
  <c r="N519" i="3" s="1"/>
  <c r="O519" i="3" s="1"/>
  <c r="J519" i="3"/>
  <c r="K519" i="3" s="1"/>
  <c r="M518" i="3"/>
  <c r="L518" i="3"/>
  <c r="N518" i="3" s="1"/>
  <c r="O518" i="3" s="1"/>
  <c r="J518" i="3"/>
  <c r="K518" i="3" s="1"/>
  <c r="M517" i="3"/>
  <c r="L517" i="3"/>
  <c r="K517" i="3"/>
  <c r="J517" i="3"/>
  <c r="M516" i="3"/>
  <c r="L516" i="3"/>
  <c r="K516" i="3"/>
  <c r="J516" i="3"/>
  <c r="M515" i="3"/>
  <c r="L515" i="3"/>
  <c r="N515" i="3" s="1"/>
  <c r="O515" i="3" s="1"/>
  <c r="J515" i="3"/>
  <c r="K515" i="3" s="1"/>
  <c r="M514" i="3"/>
  <c r="L514" i="3"/>
  <c r="J514" i="3"/>
  <c r="K514" i="3" s="1"/>
  <c r="M513" i="3"/>
  <c r="L513" i="3"/>
  <c r="K513" i="3"/>
  <c r="J513" i="3"/>
  <c r="M512" i="3"/>
  <c r="L512" i="3"/>
  <c r="K512" i="3"/>
  <c r="J512" i="3"/>
  <c r="M511" i="3"/>
  <c r="L511" i="3"/>
  <c r="N511" i="3" s="1"/>
  <c r="O511" i="3" s="1"/>
  <c r="J511" i="3"/>
  <c r="K511" i="3" s="1"/>
  <c r="M510" i="3"/>
  <c r="L510" i="3"/>
  <c r="J510" i="3"/>
  <c r="K510" i="3" s="1"/>
  <c r="M509" i="3"/>
  <c r="L509" i="3"/>
  <c r="N509" i="3" s="1"/>
  <c r="O509" i="3" s="1"/>
  <c r="P509" i="3" s="1"/>
  <c r="J509" i="3"/>
  <c r="K509" i="3" s="1"/>
  <c r="N508" i="3"/>
  <c r="O508" i="3" s="1"/>
  <c r="M508" i="3"/>
  <c r="L508" i="3"/>
  <c r="J508" i="3"/>
  <c r="K508" i="3" s="1"/>
  <c r="M507" i="3"/>
  <c r="L507" i="3"/>
  <c r="J507" i="3"/>
  <c r="K507" i="3" s="1"/>
  <c r="M506" i="3"/>
  <c r="L506" i="3"/>
  <c r="J506" i="3"/>
  <c r="K506" i="3" s="1"/>
  <c r="M505" i="3"/>
  <c r="L505" i="3"/>
  <c r="N505" i="3" s="1"/>
  <c r="O505" i="3" s="1"/>
  <c r="J505" i="3"/>
  <c r="K505" i="3" s="1"/>
  <c r="P505" i="3" s="1"/>
  <c r="M504" i="3"/>
  <c r="L504" i="3"/>
  <c r="N504" i="3" s="1"/>
  <c r="O504" i="3" s="1"/>
  <c r="J504" i="3"/>
  <c r="K504" i="3" s="1"/>
  <c r="M503" i="3"/>
  <c r="L503" i="3"/>
  <c r="J503" i="3"/>
  <c r="K503" i="3" s="1"/>
  <c r="M502" i="3"/>
  <c r="L502" i="3"/>
  <c r="N502" i="3" s="1"/>
  <c r="O502" i="3" s="1"/>
  <c r="J502" i="3"/>
  <c r="K502" i="3" s="1"/>
  <c r="M501" i="3"/>
  <c r="L501" i="3"/>
  <c r="K501" i="3"/>
  <c r="J501" i="3"/>
  <c r="M500" i="3"/>
  <c r="L500" i="3"/>
  <c r="K500" i="3"/>
  <c r="J500" i="3"/>
  <c r="N499" i="3"/>
  <c r="O499" i="3" s="1"/>
  <c r="M499" i="3"/>
  <c r="L499" i="3"/>
  <c r="J499" i="3"/>
  <c r="K499" i="3" s="1"/>
  <c r="M498" i="3"/>
  <c r="L498" i="3"/>
  <c r="J498" i="3"/>
  <c r="K498" i="3" s="1"/>
  <c r="M497" i="3"/>
  <c r="L497" i="3"/>
  <c r="K497" i="3"/>
  <c r="J497" i="3"/>
  <c r="O496" i="3"/>
  <c r="N496" i="3"/>
  <c r="M496" i="3"/>
  <c r="L496" i="3"/>
  <c r="K496" i="3"/>
  <c r="P496" i="3" s="1"/>
  <c r="J496" i="3"/>
  <c r="M495" i="3"/>
  <c r="L495" i="3"/>
  <c r="N495" i="3" s="1"/>
  <c r="O495" i="3" s="1"/>
  <c r="J495" i="3"/>
  <c r="K495" i="3" s="1"/>
  <c r="M494" i="3"/>
  <c r="L494" i="3"/>
  <c r="J494" i="3"/>
  <c r="K494" i="3" s="1"/>
  <c r="M493" i="3"/>
  <c r="L493" i="3"/>
  <c r="J493" i="3"/>
  <c r="K493" i="3" s="1"/>
  <c r="M492" i="3"/>
  <c r="L492" i="3"/>
  <c r="N492" i="3" s="1"/>
  <c r="O492" i="3" s="1"/>
  <c r="K492" i="3"/>
  <c r="J492" i="3"/>
  <c r="M491" i="3"/>
  <c r="L491" i="3"/>
  <c r="N491" i="3" s="1"/>
  <c r="O491" i="3" s="1"/>
  <c r="J491" i="3"/>
  <c r="K491" i="3" s="1"/>
  <c r="M490" i="3"/>
  <c r="L490" i="3"/>
  <c r="J490" i="3"/>
  <c r="K490" i="3" s="1"/>
  <c r="M489" i="3"/>
  <c r="L489" i="3"/>
  <c r="N489" i="3" s="1"/>
  <c r="O489" i="3" s="1"/>
  <c r="K489" i="3"/>
  <c r="J489" i="3"/>
  <c r="N488" i="3"/>
  <c r="O488" i="3" s="1"/>
  <c r="M488" i="3"/>
  <c r="L488" i="3"/>
  <c r="J488" i="3"/>
  <c r="K488" i="3" s="1"/>
  <c r="P488" i="3" s="1"/>
  <c r="N487" i="3"/>
  <c r="O487" i="3" s="1"/>
  <c r="M487" i="3"/>
  <c r="L487" i="3"/>
  <c r="J487" i="3"/>
  <c r="K487" i="3" s="1"/>
  <c r="M486" i="3"/>
  <c r="L486" i="3"/>
  <c r="J486" i="3"/>
  <c r="K486" i="3" s="1"/>
  <c r="M485" i="3"/>
  <c r="L485" i="3"/>
  <c r="K485" i="3"/>
  <c r="J485" i="3"/>
  <c r="O484" i="3"/>
  <c r="N484" i="3"/>
  <c r="M484" i="3"/>
  <c r="L484" i="3"/>
  <c r="K484" i="3"/>
  <c r="P484" i="3" s="1"/>
  <c r="J484" i="3"/>
  <c r="M483" i="3"/>
  <c r="L483" i="3"/>
  <c r="N483" i="3" s="1"/>
  <c r="O483" i="3" s="1"/>
  <c r="J483" i="3"/>
  <c r="K483" i="3" s="1"/>
  <c r="M482" i="3"/>
  <c r="L482" i="3"/>
  <c r="J482" i="3"/>
  <c r="K482" i="3" s="1"/>
  <c r="M481" i="3"/>
  <c r="L481" i="3"/>
  <c r="K481" i="3"/>
  <c r="J481" i="3"/>
  <c r="M480" i="3"/>
  <c r="L480" i="3"/>
  <c r="K480" i="3"/>
  <c r="J480" i="3"/>
  <c r="N479" i="3"/>
  <c r="O479" i="3" s="1"/>
  <c r="M479" i="3"/>
  <c r="L479" i="3"/>
  <c r="J479" i="3"/>
  <c r="K479" i="3" s="1"/>
  <c r="M478" i="3"/>
  <c r="L478" i="3"/>
  <c r="J478" i="3"/>
  <c r="K478" i="3" s="1"/>
  <c r="M477" i="3"/>
  <c r="L477" i="3"/>
  <c r="N477" i="3" s="1"/>
  <c r="O477" i="3" s="1"/>
  <c r="P477" i="3" s="1"/>
  <c r="K477" i="3"/>
  <c r="J477" i="3"/>
  <c r="N476" i="3"/>
  <c r="O476" i="3" s="1"/>
  <c r="M476" i="3"/>
  <c r="L476" i="3"/>
  <c r="J476" i="3"/>
  <c r="K476" i="3" s="1"/>
  <c r="P476" i="3" s="1"/>
  <c r="N475" i="3"/>
  <c r="O475" i="3" s="1"/>
  <c r="M475" i="3"/>
  <c r="L475" i="3"/>
  <c r="J475" i="3"/>
  <c r="K475" i="3" s="1"/>
  <c r="P475" i="3" s="1"/>
  <c r="M474" i="3"/>
  <c r="L474" i="3"/>
  <c r="J474" i="3"/>
  <c r="K474" i="3" s="1"/>
  <c r="M473" i="3"/>
  <c r="L473" i="3"/>
  <c r="J473" i="3"/>
  <c r="K473" i="3" s="1"/>
  <c r="M472" i="3"/>
  <c r="L472" i="3"/>
  <c r="N472" i="3" s="1"/>
  <c r="O472" i="3" s="1"/>
  <c r="K472" i="3"/>
  <c r="J472" i="3"/>
  <c r="M471" i="3"/>
  <c r="L471" i="3"/>
  <c r="J471" i="3"/>
  <c r="K471" i="3" s="1"/>
  <c r="M470" i="3"/>
  <c r="L470" i="3"/>
  <c r="N470" i="3" s="1"/>
  <c r="O470" i="3" s="1"/>
  <c r="J470" i="3"/>
  <c r="K470" i="3" s="1"/>
  <c r="M469" i="3"/>
  <c r="L469" i="3"/>
  <c r="K469" i="3"/>
  <c r="J469" i="3"/>
  <c r="M468" i="3"/>
  <c r="L468" i="3"/>
  <c r="K468" i="3"/>
  <c r="J468" i="3"/>
  <c r="N467" i="3"/>
  <c r="O467" i="3" s="1"/>
  <c r="M467" i="3"/>
  <c r="L467" i="3"/>
  <c r="J467" i="3"/>
  <c r="K467" i="3" s="1"/>
  <c r="M466" i="3"/>
  <c r="L466" i="3"/>
  <c r="J466" i="3"/>
  <c r="K466" i="3" s="1"/>
  <c r="M465" i="3"/>
  <c r="L465" i="3"/>
  <c r="K465" i="3"/>
  <c r="J465" i="3"/>
  <c r="O464" i="3"/>
  <c r="N464" i="3"/>
  <c r="M464" i="3"/>
  <c r="L464" i="3"/>
  <c r="K464" i="3"/>
  <c r="P464" i="3" s="1"/>
  <c r="J464" i="3"/>
  <c r="M463" i="3"/>
  <c r="L463" i="3"/>
  <c r="N463" i="3" s="1"/>
  <c r="O463" i="3" s="1"/>
  <c r="J463" i="3"/>
  <c r="K463" i="3" s="1"/>
  <c r="M462" i="3"/>
  <c r="L462" i="3"/>
  <c r="J462" i="3"/>
  <c r="K462" i="3" s="1"/>
  <c r="M461" i="3"/>
  <c r="L461" i="3"/>
  <c r="J461" i="3"/>
  <c r="K461" i="3" s="1"/>
  <c r="M460" i="3"/>
  <c r="L460" i="3"/>
  <c r="N460" i="3" s="1"/>
  <c r="O460" i="3" s="1"/>
  <c r="K460" i="3"/>
  <c r="J460" i="3"/>
  <c r="M459" i="3"/>
  <c r="L459" i="3"/>
  <c r="J459" i="3"/>
  <c r="K459" i="3" s="1"/>
  <c r="M458" i="3"/>
  <c r="L458" i="3"/>
  <c r="J458" i="3"/>
  <c r="K458" i="3" s="1"/>
  <c r="M457" i="3"/>
  <c r="L457" i="3"/>
  <c r="N457" i="3" s="1"/>
  <c r="O457" i="3" s="1"/>
  <c r="K457" i="3"/>
  <c r="P457" i="3" s="1"/>
  <c r="J457" i="3"/>
  <c r="N456" i="3"/>
  <c r="O456" i="3" s="1"/>
  <c r="M456" i="3"/>
  <c r="L456" i="3"/>
  <c r="J456" i="3"/>
  <c r="K456" i="3" s="1"/>
  <c r="N455" i="3"/>
  <c r="O455" i="3" s="1"/>
  <c r="M455" i="3"/>
  <c r="L455" i="3"/>
  <c r="J455" i="3"/>
  <c r="K455" i="3" s="1"/>
  <c r="M454" i="3"/>
  <c r="L454" i="3"/>
  <c r="J454" i="3"/>
  <c r="K454" i="3" s="1"/>
  <c r="M453" i="3"/>
  <c r="L453" i="3"/>
  <c r="K453" i="3"/>
  <c r="J453" i="3"/>
  <c r="O452" i="3"/>
  <c r="N452" i="3"/>
  <c r="M452" i="3"/>
  <c r="L452" i="3"/>
  <c r="K452" i="3"/>
  <c r="P452" i="3" s="1"/>
  <c r="J452" i="3"/>
  <c r="M451" i="3"/>
  <c r="L451" i="3"/>
  <c r="N451" i="3" s="1"/>
  <c r="O451" i="3" s="1"/>
  <c r="J451" i="3"/>
  <c r="K451" i="3" s="1"/>
  <c r="M450" i="3"/>
  <c r="L450" i="3"/>
  <c r="J450" i="3"/>
  <c r="K450" i="3" s="1"/>
  <c r="M449" i="3"/>
  <c r="L449" i="3"/>
  <c r="J449" i="3"/>
  <c r="K449" i="3" s="1"/>
  <c r="N448" i="3"/>
  <c r="O448" i="3" s="1"/>
  <c r="M448" i="3"/>
  <c r="L448" i="3"/>
  <c r="J448" i="3"/>
  <c r="K448" i="3" s="1"/>
  <c r="P448" i="3" s="1"/>
  <c r="N447" i="3"/>
  <c r="O447" i="3" s="1"/>
  <c r="M447" i="3"/>
  <c r="L447" i="3"/>
  <c r="J447" i="3"/>
  <c r="K447" i="3" s="1"/>
  <c r="P447" i="3" s="1"/>
  <c r="M446" i="3"/>
  <c r="L446" i="3"/>
  <c r="J446" i="3"/>
  <c r="K446" i="3" s="1"/>
  <c r="M445" i="3"/>
  <c r="L445" i="3"/>
  <c r="K445" i="3"/>
  <c r="J445" i="3"/>
  <c r="N444" i="3"/>
  <c r="O444" i="3" s="1"/>
  <c r="M444" i="3"/>
  <c r="L444" i="3"/>
  <c r="J444" i="3"/>
  <c r="K444" i="3" s="1"/>
  <c r="N443" i="3"/>
  <c r="O443" i="3" s="1"/>
  <c r="M443" i="3"/>
  <c r="L443" i="3"/>
  <c r="J443" i="3"/>
  <c r="K443" i="3" s="1"/>
  <c r="M442" i="3"/>
  <c r="L442" i="3"/>
  <c r="J442" i="3"/>
  <c r="K442" i="3" s="1"/>
  <c r="M441" i="3"/>
  <c r="L441" i="3"/>
  <c r="N441" i="3" s="1"/>
  <c r="O441" i="3" s="1"/>
  <c r="K441" i="3"/>
  <c r="J441" i="3"/>
  <c r="M440" i="3"/>
  <c r="L440" i="3"/>
  <c r="J440" i="3"/>
  <c r="K440" i="3" s="1"/>
  <c r="M439" i="3"/>
  <c r="L439" i="3"/>
  <c r="N439" i="3" s="1"/>
  <c r="O439" i="3" s="1"/>
  <c r="J439" i="3"/>
  <c r="K439" i="3" s="1"/>
  <c r="M438" i="3"/>
  <c r="L438" i="3"/>
  <c r="K438" i="3"/>
  <c r="J438" i="3"/>
  <c r="M437" i="3"/>
  <c r="L437" i="3"/>
  <c r="K437" i="3"/>
  <c r="J437" i="3"/>
  <c r="O436" i="3"/>
  <c r="N436" i="3"/>
  <c r="M436" i="3"/>
  <c r="L436" i="3"/>
  <c r="K436" i="3"/>
  <c r="P436" i="3" s="1"/>
  <c r="J436" i="3"/>
  <c r="M435" i="3"/>
  <c r="N435" i="3" s="1"/>
  <c r="O435" i="3" s="1"/>
  <c r="L435" i="3"/>
  <c r="J435" i="3"/>
  <c r="K435" i="3" s="1"/>
  <c r="M434" i="3"/>
  <c r="L434" i="3"/>
  <c r="J434" i="3"/>
  <c r="K434" i="3" s="1"/>
  <c r="M433" i="3"/>
  <c r="L433" i="3"/>
  <c r="K433" i="3"/>
  <c r="J433" i="3"/>
  <c r="M432" i="3"/>
  <c r="L432" i="3"/>
  <c r="K432" i="3"/>
  <c r="J432" i="3"/>
  <c r="M431" i="3"/>
  <c r="N431" i="3" s="1"/>
  <c r="O431" i="3" s="1"/>
  <c r="L431" i="3"/>
  <c r="J431" i="3"/>
  <c r="K431" i="3" s="1"/>
  <c r="M430" i="3"/>
  <c r="L430" i="3"/>
  <c r="K430" i="3"/>
  <c r="J430" i="3"/>
  <c r="M429" i="3"/>
  <c r="L429" i="3"/>
  <c r="K429" i="3"/>
  <c r="J429" i="3"/>
  <c r="N428" i="3"/>
  <c r="O428" i="3" s="1"/>
  <c r="M428" i="3"/>
  <c r="L428" i="3"/>
  <c r="J428" i="3"/>
  <c r="K428" i="3" s="1"/>
  <c r="N427" i="3"/>
  <c r="O427" i="3" s="1"/>
  <c r="M427" i="3"/>
  <c r="L427" i="3"/>
  <c r="J427" i="3"/>
  <c r="K427" i="3" s="1"/>
  <c r="M426" i="3"/>
  <c r="L426" i="3"/>
  <c r="K426" i="3"/>
  <c r="J426" i="3"/>
  <c r="M425" i="3"/>
  <c r="L425" i="3"/>
  <c r="K425" i="3"/>
  <c r="J425" i="3"/>
  <c r="N424" i="3"/>
  <c r="O424" i="3" s="1"/>
  <c r="M424" i="3"/>
  <c r="L424" i="3"/>
  <c r="J424" i="3"/>
  <c r="K424" i="3" s="1"/>
  <c r="N423" i="3"/>
  <c r="O423" i="3" s="1"/>
  <c r="M423" i="3"/>
  <c r="L423" i="3"/>
  <c r="J423" i="3"/>
  <c r="K423" i="3" s="1"/>
  <c r="M422" i="3"/>
  <c r="L422" i="3"/>
  <c r="J422" i="3"/>
  <c r="K422" i="3" s="1"/>
  <c r="M421" i="3"/>
  <c r="L421" i="3"/>
  <c r="J421" i="3"/>
  <c r="K421" i="3" s="1"/>
  <c r="M420" i="3"/>
  <c r="L420" i="3"/>
  <c r="N420" i="3" s="1"/>
  <c r="O420" i="3" s="1"/>
  <c r="K420" i="3"/>
  <c r="J420" i="3"/>
  <c r="M419" i="3"/>
  <c r="L419" i="3"/>
  <c r="J419" i="3"/>
  <c r="K419" i="3" s="1"/>
  <c r="M418" i="3"/>
  <c r="L418" i="3"/>
  <c r="K418" i="3"/>
  <c r="J418" i="3"/>
  <c r="M417" i="3"/>
  <c r="L417" i="3"/>
  <c r="N417" i="3" s="1"/>
  <c r="O417" i="3" s="1"/>
  <c r="K417" i="3"/>
  <c r="J417" i="3"/>
  <c r="N416" i="3"/>
  <c r="O416" i="3" s="1"/>
  <c r="M416" i="3"/>
  <c r="L416" i="3"/>
  <c r="J416" i="3"/>
  <c r="K416" i="3" s="1"/>
  <c r="P416" i="3" s="1"/>
  <c r="M415" i="3"/>
  <c r="N415" i="3" s="1"/>
  <c r="O415" i="3" s="1"/>
  <c r="L415" i="3"/>
  <c r="J415" i="3"/>
  <c r="K415" i="3" s="1"/>
  <c r="M414" i="3"/>
  <c r="L414" i="3"/>
  <c r="J414" i="3"/>
  <c r="K414" i="3" s="1"/>
  <c r="M413" i="3"/>
  <c r="L413" i="3"/>
  <c r="J413" i="3"/>
  <c r="K413" i="3" s="1"/>
  <c r="N412" i="3"/>
  <c r="O412" i="3" s="1"/>
  <c r="M412" i="3"/>
  <c r="L412" i="3"/>
  <c r="J412" i="3"/>
  <c r="K412" i="3" s="1"/>
  <c r="N411" i="3"/>
  <c r="O411" i="3" s="1"/>
  <c r="M411" i="3"/>
  <c r="L411" i="3"/>
  <c r="J411" i="3"/>
  <c r="K411" i="3" s="1"/>
  <c r="M410" i="3"/>
  <c r="L410" i="3"/>
  <c r="J410" i="3"/>
  <c r="K410" i="3" s="1"/>
  <c r="M409" i="3"/>
  <c r="L409" i="3"/>
  <c r="J409" i="3"/>
  <c r="K409" i="3" s="1"/>
  <c r="N408" i="3"/>
  <c r="O408" i="3" s="1"/>
  <c r="M408" i="3"/>
  <c r="L408" i="3"/>
  <c r="J408" i="3"/>
  <c r="K408" i="3" s="1"/>
  <c r="P408" i="3" s="1"/>
  <c r="N407" i="3"/>
  <c r="O407" i="3" s="1"/>
  <c r="M407" i="3"/>
  <c r="L407" i="3"/>
  <c r="J407" i="3"/>
  <c r="K407" i="3" s="1"/>
  <c r="P407" i="3" s="1"/>
  <c r="M406" i="3"/>
  <c r="L406" i="3"/>
  <c r="K406" i="3"/>
  <c r="J406" i="3"/>
  <c r="M405" i="3"/>
  <c r="L405" i="3"/>
  <c r="N405" i="3" s="1"/>
  <c r="O405" i="3" s="1"/>
  <c r="K405" i="3"/>
  <c r="P405" i="3" s="1"/>
  <c r="J405" i="3"/>
  <c r="M404" i="3"/>
  <c r="L404" i="3"/>
  <c r="N404" i="3" s="1"/>
  <c r="O404" i="3" s="1"/>
  <c r="J404" i="3"/>
  <c r="K404" i="3" s="1"/>
  <c r="M403" i="3"/>
  <c r="L403" i="3"/>
  <c r="J403" i="3"/>
  <c r="K403" i="3" s="1"/>
  <c r="N402" i="3"/>
  <c r="O402" i="3" s="1"/>
  <c r="M402" i="3"/>
  <c r="L402" i="3"/>
  <c r="J402" i="3"/>
  <c r="K402" i="3" s="1"/>
  <c r="P402" i="3" s="1"/>
  <c r="N401" i="3"/>
  <c r="O401" i="3" s="1"/>
  <c r="M401" i="3"/>
  <c r="L401" i="3"/>
  <c r="J401" i="3"/>
  <c r="K401" i="3" s="1"/>
  <c r="P401" i="3" s="1"/>
  <c r="M400" i="3"/>
  <c r="L400" i="3"/>
  <c r="J400" i="3"/>
  <c r="K400" i="3" s="1"/>
  <c r="M399" i="3"/>
  <c r="L399" i="3"/>
  <c r="J399" i="3"/>
  <c r="K399" i="3" s="1"/>
  <c r="M398" i="3"/>
  <c r="L398" i="3"/>
  <c r="N398" i="3" s="1"/>
  <c r="O398" i="3" s="1"/>
  <c r="K398" i="3"/>
  <c r="J398" i="3"/>
  <c r="M397" i="3"/>
  <c r="L397" i="3"/>
  <c r="J397" i="3"/>
  <c r="K397" i="3" s="1"/>
  <c r="M396" i="3"/>
  <c r="L396" i="3"/>
  <c r="N396" i="3" s="1"/>
  <c r="O396" i="3" s="1"/>
  <c r="J396" i="3"/>
  <c r="K396" i="3" s="1"/>
  <c r="M395" i="3"/>
  <c r="L395" i="3"/>
  <c r="K395" i="3"/>
  <c r="J395" i="3"/>
  <c r="M394" i="3"/>
  <c r="L394" i="3"/>
  <c r="J394" i="3"/>
  <c r="K394" i="3" s="1"/>
  <c r="N393" i="3"/>
  <c r="O393" i="3" s="1"/>
  <c r="M393" i="3"/>
  <c r="L393" i="3"/>
  <c r="J393" i="3"/>
  <c r="K393" i="3" s="1"/>
  <c r="M392" i="3"/>
  <c r="L392" i="3"/>
  <c r="J392" i="3"/>
  <c r="K392" i="3" s="1"/>
  <c r="M391" i="3"/>
  <c r="L391" i="3"/>
  <c r="J391" i="3"/>
  <c r="K391" i="3" s="1"/>
  <c r="O390" i="3"/>
  <c r="N390" i="3"/>
  <c r="M390" i="3"/>
  <c r="L390" i="3"/>
  <c r="K390" i="3"/>
  <c r="P390" i="3" s="1"/>
  <c r="J390" i="3"/>
  <c r="M389" i="3"/>
  <c r="L389" i="3"/>
  <c r="N389" i="3" s="1"/>
  <c r="O389" i="3" s="1"/>
  <c r="J389" i="3"/>
  <c r="K389" i="3" s="1"/>
  <c r="M388" i="3"/>
  <c r="L388" i="3"/>
  <c r="N388" i="3" s="1"/>
  <c r="O388" i="3" s="1"/>
  <c r="J388" i="3"/>
  <c r="K388" i="3" s="1"/>
  <c r="M387" i="3"/>
  <c r="L387" i="3"/>
  <c r="J387" i="3"/>
  <c r="K387" i="3" s="1"/>
  <c r="M386" i="3"/>
  <c r="L386" i="3"/>
  <c r="N386" i="3" s="1"/>
  <c r="O386" i="3" s="1"/>
  <c r="J386" i="3"/>
  <c r="K386" i="3" s="1"/>
  <c r="P386" i="3" s="1"/>
  <c r="M385" i="3"/>
  <c r="L385" i="3"/>
  <c r="N385" i="3" s="1"/>
  <c r="O385" i="3" s="1"/>
  <c r="J385" i="3"/>
  <c r="K385" i="3" s="1"/>
  <c r="M384" i="3"/>
  <c r="L384" i="3"/>
  <c r="J384" i="3"/>
  <c r="K384" i="3" s="1"/>
  <c r="M383" i="3"/>
  <c r="L383" i="3"/>
  <c r="N383" i="3" s="1"/>
  <c r="O383" i="3" s="1"/>
  <c r="J383" i="3"/>
  <c r="K383" i="3" s="1"/>
  <c r="N382" i="3"/>
  <c r="O382" i="3" s="1"/>
  <c r="M382" i="3"/>
  <c r="L382" i="3"/>
  <c r="J382" i="3"/>
  <c r="K382" i="3" s="1"/>
  <c r="M381" i="3"/>
  <c r="L381" i="3"/>
  <c r="N381" i="3" s="1"/>
  <c r="O381" i="3" s="1"/>
  <c r="J381" i="3"/>
  <c r="K381" i="3" s="1"/>
  <c r="M380" i="3"/>
  <c r="L380" i="3"/>
  <c r="N380" i="3" s="1"/>
  <c r="O380" i="3" s="1"/>
  <c r="J380" i="3"/>
  <c r="K380" i="3" s="1"/>
  <c r="M379" i="3"/>
  <c r="L379" i="3"/>
  <c r="K379" i="3"/>
  <c r="J379" i="3"/>
  <c r="O378" i="3"/>
  <c r="M378" i="3"/>
  <c r="L378" i="3"/>
  <c r="N378" i="3" s="1"/>
  <c r="K378" i="3"/>
  <c r="J378" i="3"/>
  <c r="M377" i="3"/>
  <c r="L377" i="3"/>
  <c r="N377" i="3" s="1"/>
  <c r="O377" i="3" s="1"/>
  <c r="J377" i="3"/>
  <c r="K377" i="3" s="1"/>
  <c r="M376" i="3"/>
  <c r="L376" i="3"/>
  <c r="J376" i="3"/>
  <c r="K376" i="3" s="1"/>
  <c r="M375" i="3"/>
  <c r="L375" i="3"/>
  <c r="N375" i="3" s="1"/>
  <c r="O375" i="3" s="1"/>
  <c r="K375" i="3"/>
  <c r="P375" i="3" s="1"/>
  <c r="J375" i="3"/>
  <c r="M374" i="3"/>
  <c r="L374" i="3"/>
  <c r="N374" i="3" s="1"/>
  <c r="O374" i="3" s="1"/>
  <c r="J374" i="3"/>
  <c r="K374" i="3" s="1"/>
  <c r="N373" i="3"/>
  <c r="O373" i="3" s="1"/>
  <c r="M373" i="3"/>
  <c r="L373" i="3"/>
  <c r="J373" i="3"/>
  <c r="K373" i="3" s="1"/>
  <c r="M372" i="3"/>
  <c r="L372" i="3"/>
  <c r="J372" i="3"/>
  <c r="K372" i="3" s="1"/>
  <c r="M371" i="3"/>
  <c r="L371" i="3"/>
  <c r="N371" i="3" s="1"/>
  <c r="O371" i="3" s="1"/>
  <c r="P371" i="3" s="1"/>
  <c r="J371" i="3"/>
  <c r="K371" i="3" s="1"/>
  <c r="N370" i="3"/>
  <c r="O370" i="3" s="1"/>
  <c r="M370" i="3"/>
  <c r="L370" i="3"/>
  <c r="J370" i="3"/>
  <c r="K370" i="3" s="1"/>
  <c r="M369" i="3"/>
  <c r="L369" i="3"/>
  <c r="N369" i="3" s="1"/>
  <c r="O369" i="3" s="1"/>
  <c r="J369" i="3"/>
  <c r="K369" i="3" s="1"/>
  <c r="P369" i="3" s="1"/>
  <c r="M368" i="3"/>
  <c r="L368" i="3"/>
  <c r="J368" i="3"/>
  <c r="K368" i="3" s="1"/>
  <c r="P367" i="3"/>
  <c r="M367" i="3"/>
  <c r="L367" i="3"/>
  <c r="N367" i="3" s="1"/>
  <c r="O367" i="3" s="1"/>
  <c r="J367" i="3"/>
  <c r="K367" i="3" s="1"/>
  <c r="M366" i="3"/>
  <c r="L366" i="3"/>
  <c r="N366" i="3" s="1"/>
  <c r="O366" i="3" s="1"/>
  <c r="J366" i="3"/>
  <c r="K366" i="3" s="1"/>
  <c r="P366" i="3" s="1"/>
  <c r="M365" i="3"/>
  <c r="L365" i="3"/>
  <c r="N365" i="3" s="1"/>
  <c r="O365" i="3" s="1"/>
  <c r="J365" i="3"/>
  <c r="K365" i="3" s="1"/>
  <c r="M364" i="3"/>
  <c r="L364" i="3"/>
  <c r="N364" i="3" s="1"/>
  <c r="O364" i="3" s="1"/>
  <c r="J364" i="3"/>
  <c r="K364" i="3" s="1"/>
  <c r="M363" i="3"/>
  <c r="L363" i="3"/>
  <c r="K363" i="3"/>
  <c r="J363" i="3"/>
  <c r="M362" i="3"/>
  <c r="L362" i="3"/>
  <c r="N362" i="3" s="1"/>
  <c r="O362" i="3" s="1"/>
  <c r="K362" i="3"/>
  <c r="J362" i="3"/>
  <c r="N361" i="3"/>
  <c r="O361" i="3" s="1"/>
  <c r="M361" i="3"/>
  <c r="L361" i="3"/>
  <c r="J361" i="3"/>
  <c r="K361" i="3" s="1"/>
  <c r="M360" i="3"/>
  <c r="L360" i="3"/>
  <c r="J360" i="3"/>
  <c r="K360" i="3" s="1"/>
  <c r="M359" i="3"/>
  <c r="L359" i="3"/>
  <c r="K359" i="3"/>
  <c r="J359" i="3"/>
  <c r="M358" i="3"/>
  <c r="L358" i="3"/>
  <c r="N358" i="3" s="1"/>
  <c r="O358" i="3" s="1"/>
  <c r="K358" i="3"/>
  <c r="J358" i="3"/>
  <c r="M357" i="3"/>
  <c r="L357" i="3"/>
  <c r="N357" i="3" s="1"/>
  <c r="O357" i="3" s="1"/>
  <c r="J357" i="3"/>
  <c r="K357" i="3" s="1"/>
  <c r="M356" i="3"/>
  <c r="L356" i="3"/>
  <c r="N356" i="3" s="1"/>
  <c r="O356" i="3" s="1"/>
  <c r="J356" i="3"/>
  <c r="K356" i="3" s="1"/>
  <c r="M355" i="3"/>
  <c r="L355" i="3"/>
  <c r="N355" i="3" s="1"/>
  <c r="O355" i="3" s="1"/>
  <c r="J355" i="3"/>
  <c r="K355" i="3" s="1"/>
  <c r="M354" i="3"/>
  <c r="L354" i="3"/>
  <c r="N354" i="3" s="1"/>
  <c r="O354" i="3" s="1"/>
  <c r="J354" i="3"/>
  <c r="K354" i="3" s="1"/>
  <c r="P354" i="3" s="1"/>
  <c r="M353" i="3"/>
  <c r="N353" i="3" s="1"/>
  <c r="O353" i="3" s="1"/>
  <c r="L353" i="3"/>
  <c r="J353" i="3"/>
  <c r="K353" i="3" s="1"/>
  <c r="M352" i="3"/>
  <c r="L352" i="3"/>
  <c r="J352" i="3"/>
  <c r="K352" i="3" s="1"/>
  <c r="M351" i="3"/>
  <c r="L351" i="3"/>
  <c r="N351" i="3" s="1"/>
  <c r="O351" i="3" s="1"/>
  <c r="J351" i="3"/>
  <c r="K351" i="3" s="1"/>
  <c r="N350" i="3"/>
  <c r="O350" i="3" s="1"/>
  <c r="M350" i="3"/>
  <c r="L350" i="3"/>
  <c r="J350" i="3"/>
  <c r="K350" i="3" s="1"/>
  <c r="M349" i="3"/>
  <c r="L349" i="3"/>
  <c r="N349" i="3" s="1"/>
  <c r="O349" i="3" s="1"/>
  <c r="J349" i="3"/>
  <c r="K349" i="3" s="1"/>
  <c r="M348" i="3"/>
  <c r="L348" i="3"/>
  <c r="N348" i="3" s="1"/>
  <c r="O348" i="3" s="1"/>
  <c r="J348" i="3"/>
  <c r="K348" i="3" s="1"/>
  <c r="M347" i="3"/>
  <c r="L347" i="3"/>
  <c r="K347" i="3"/>
  <c r="J347" i="3"/>
  <c r="M346" i="3"/>
  <c r="L346" i="3"/>
  <c r="N346" i="3" s="1"/>
  <c r="O346" i="3" s="1"/>
  <c r="K346" i="3"/>
  <c r="J346" i="3"/>
  <c r="M345" i="3"/>
  <c r="L345" i="3"/>
  <c r="N345" i="3" s="1"/>
  <c r="O345" i="3" s="1"/>
  <c r="J345" i="3"/>
  <c r="K345" i="3" s="1"/>
  <c r="M344" i="3"/>
  <c r="L344" i="3"/>
  <c r="J344" i="3"/>
  <c r="K344" i="3" s="1"/>
  <c r="M343" i="3"/>
  <c r="L343" i="3"/>
  <c r="K343" i="3"/>
  <c r="J343" i="3"/>
  <c r="M342" i="3"/>
  <c r="N342" i="3" s="1"/>
  <c r="O342" i="3" s="1"/>
  <c r="L342" i="3"/>
  <c r="J342" i="3"/>
  <c r="K342" i="3" s="1"/>
  <c r="M341" i="3"/>
  <c r="N341" i="3" s="1"/>
  <c r="O341" i="3" s="1"/>
  <c r="L341" i="3"/>
  <c r="J341" i="3"/>
  <c r="K341" i="3" s="1"/>
  <c r="M340" i="3"/>
  <c r="L340" i="3"/>
  <c r="J340" i="3"/>
  <c r="K340" i="3" s="1"/>
  <c r="M339" i="3"/>
  <c r="L339" i="3"/>
  <c r="N339" i="3" s="1"/>
  <c r="O339" i="3" s="1"/>
  <c r="J339" i="3"/>
  <c r="K339" i="3" s="1"/>
  <c r="P339" i="3" s="1"/>
  <c r="N338" i="3"/>
  <c r="O338" i="3" s="1"/>
  <c r="M338" i="3"/>
  <c r="L338" i="3"/>
  <c r="J338" i="3"/>
  <c r="K338" i="3" s="1"/>
  <c r="P338" i="3" s="1"/>
  <c r="M337" i="3"/>
  <c r="L337" i="3"/>
  <c r="J337" i="3"/>
  <c r="K337" i="3" s="1"/>
  <c r="M336" i="3"/>
  <c r="L336" i="3"/>
  <c r="J336" i="3"/>
  <c r="K336" i="3" s="1"/>
  <c r="M335" i="3"/>
  <c r="L335" i="3"/>
  <c r="K335" i="3"/>
  <c r="J335" i="3"/>
  <c r="M334" i="3"/>
  <c r="N334" i="3" s="1"/>
  <c r="O334" i="3" s="1"/>
  <c r="L334" i="3"/>
  <c r="K334" i="3"/>
  <c r="J334" i="3"/>
  <c r="M333" i="3"/>
  <c r="N333" i="3" s="1"/>
  <c r="O333" i="3" s="1"/>
  <c r="L333" i="3"/>
  <c r="J333" i="3"/>
  <c r="K333" i="3" s="1"/>
  <c r="M332" i="3"/>
  <c r="L332" i="3"/>
  <c r="J332" i="3"/>
  <c r="K332" i="3" s="1"/>
  <c r="O331" i="3"/>
  <c r="M331" i="3"/>
  <c r="L331" i="3"/>
  <c r="N331" i="3" s="1"/>
  <c r="J331" i="3"/>
  <c r="K331" i="3" s="1"/>
  <c r="M330" i="3"/>
  <c r="L330" i="3"/>
  <c r="N330" i="3" s="1"/>
  <c r="O330" i="3" s="1"/>
  <c r="J330" i="3"/>
  <c r="K330" i="3" s="1"/>
  <c r="P330" i="3" s="1"/>
  <c r="M329" i="3"/>
  <c r="L329" i="3"/>
  <c r="J329" i="3"/>
  <c r="K329" i="3" s="1"/>
  <c r="M328" i="3"/>
  <c r="L328" i="3"/>
  <c r="J328" i="3"/>
  <c r="K328" i="3" s="1"/>
  <c r="M327" i="3"/>
  <c r="L327" i="3"/>
  <c r="K327" i="3"/>
  <c r="J327" i="3"/>
  <c r="M326" i="3"/>
  <c r="L326" i="3"/>
  <c r="N326" i="3" s="1"/>
  <c r="O326" i="3" s="1"/>
  <c r="J326" i="3"/>
  <c r="K326" i="3" s="1"/>
  <c r="M325" i="3"/>
  <c r="N325" i="3" s="1"/>
  <c r="O325" i="3" s="1"/>
  <c r="L325" i="3"/>
  <c r="J325" i="3"/>
  <c r="K325" i="3" s="1"/>
  <c r="M324" i="3"/>
  <c r="L324" i="3"/>
  <c r="J324" i="3"/>
  <c r="K324" i="3" s="1"/>
  <c r="O323" i="3"/>
  <c r="M323" i="3"/>
  <c r="L323" i="3"/>
  <c r="N323" i="3" s="1"/>
  <c r="J323" i="3"/>
  <c r="K323" i="3" s="1"/>
  <c r="P323" i="3" s="1"/>
  <c r="M322" i="3"/>
  <c r="L322" i="3"/>
  <c r="N322" i="3" s="1"/>
  <c r="O322" i="3" s="1"/>
  <c r="J322" i="3"/>
  <c r="K322" i="3" s="1"/>
  <c r="P322" i="3" s="1"/>
  <c r="M321" i="3"/>
  <c r="L321" i="3"/>
  <c r="J321" i="3"/>
  <c r="K321" i="3" s="1"/>
  <c r="M320" i="3"/>
  <c r="L320" i="3"/>
  <c r="J320" i="3"/>
  <c r="K320" i="3" s="1"/>
  <c r="M319" i="3"/>
  <c r="L319" i="3"/>
  <c r="K319" i="3"/>
  <c r="J319" i="3"/>
  <c r="M318" i="3"/>
  <c r="L318" i="3"/>
  <c r="N318" i="3" s="1"/>
  <c r="O318" i="3" s="1"/>
  <c r="K318" i="3"/>
  <c r="J318" i="3"/>
  <c r="M317" i="3"/>
  <c r="N317" i="3" s="1"/>
  <c r="O317" i="3" s="1"/>
  <c r="L317" i="3"/>
  <c r="J317" i="3"/>
  <c r="K317" i="3" s="1"/>
  <c r="M316" i="3"/>
  <c r="L316" i="3"/>
  <c r="J316" i="3"/>
  <c r="K316" i="3" s="1"/>
  <c r="M315" i="3"/>
  <c r="L315" i="3"/>
  <c r="N315" i="3" s="1"/>
  <c r="O315" i="3" s="1"/>
  <c r="J315" i="3"/>
  <c r="K315" i="3" s="1"/>
  <c r="P315" i="3" s="1"/>
  <c r="N314" i="3"/>
  <c r="O314" i="3" s="1"/>
  <c r="M314" i="3"/>
  <c r="L314" i="3"/>
  <c r="J314" i="3"/>
  <c r="K314" i="3" s="1"/>
  <c r="M313" i="3"/>
  <c r="L313" i="3"/>
  <c r="J313" i="3"/>
  <c r="K313" i="3" s="1"/>
  <c r="M312" i="3"/>
  <c r="L312" i="3"/>
  <c r="J312" i="3"/>
  <c r="K312" i="3" s="1"/>
  <c r="M311" i="3"/>
  <c r="L311" i="3"/>
  <c r="K311" i="3"/>
  <c r="J311" i="3"/>
  <c r="M310" i="3"/>
  <c r="N310" i="3" s="1"/>
  <c r="O310" i="3" s="1"/>
  <c r="L310" i="3"/>
  <c r="K310" i="3"/>
  <c r="J310" i="3"/>
  <c r="M309" i="3"/>
  <c r="N309" i="3" s="1"/>
  <c r="O309" i="3" s="1"/>
  <c r="L309" i="3"/>
  <c r="J309" i="3"/>
  <c r="K309" i="3" s="1"/>
  <c r="M308" i="3"/>
  <c r="L308" i="3"/>
  <c r="J308" i="3"/>
  <c r="K308" i="3" s="1"/>
  <c r="O307" i="3"/>
  <c r="M307" i="3"/>
  <c r="L307" i="3"/>
  <c r="N307" i="3" s="1"/>
  <c r="J307" i="3"/>
  <c r="K307" i="3" s="1"/>
  <c r="P307" i="3" s="1"/>
  <c r="M306" i="3"/>
  <c r="L306" i="3"/>
  <c r="N306" i="3" s="1"/>
  <c r="O306" i="3" s="1"/>
  <c r="J306" i="3"/>
  <c r="K306" i="3" s="1"/>
  <c r="M305" i="3"/>
  <c r="L305" i="3"/>
  <c r="J305" i="3"/>
  <c r="K305" i="3" s="1"/>
  <c r="M304" i="3"/>
  <c r="L304" i="3"/>
  <c r="J304" i="3"/>
  <c r="K304" i="3" s="1"/>
  <c r="M303" i="3"/>
  <c r="L303" i="3"/>
  <c r="K303" i="3"/>
  <c r="J303" i="3"/>
  <c r="M302" i="3"/>
  <c r="L302" i="3"/>
  <c r="N302" i="3" s="1"/>
  <c r="O302" i="3" s="1"/>
  <c r="J302" i="3"/>
  <c r="K302" i="3" s="1"/>
  <c r="M301" i="3"/>
  <c r="N301" i="3" s="1"/>
  <c r="O301" i="3" s="1"/>
  <c r="L301" i="3"/>
  <c r="J301" i="3"/>
  <c r="K301" i="3" s="1"/>
  <c r="M300" i="3"/>
  <c r="L300" i="3"/>
  <c r="J300" i="3"/>
  <c r="K300" i="3" s="1"/>
  <c r="O299" i="3"/>
  <c r="M299" i="3"/>
  <c r="L299" i="3"/>
  <c r="N299" i="3" s="1"/>
  <c r="J299" i="3"/>
  <c r="K299" i="3" s="1"/>
  <c r="P299" i="3" s="1"/>
  <c r="M298" i="3"/>
  <c r="N298" i="3" s="1"/>
  <c r="O298" i="3" s="1"/>
  <c r="L298" i="3"/>
  <c r="J298" i="3"/>
  <c r="K298" i="3" s="1"/>
  <c r="M297" i="3"/>
  <c r="L297" i="3"/>
  <c r="J297" i="3"/>
  <c r="K297" i="3" s="1"/>
  <c r="M296" i="3"/>
  <c r="L296" i="3"/>
  <c r="J296" i="3"/>
  <c r="K296" i="3" s="1"/>
  <c r="M295" i="3"/>
  <c r="L295" i="3"/>
  <c r="K295" i="3"/>
  <c r="J295" i="3"/>
  <c r="M294" i="3"/>
  <c r="L294" i="3"/>
  <c r="J294" i="3"/>
  <c r="K294" i="3" s="1"/>
  <c r="M293" i="3"/>
  <c r="L293" i="3"/>
  <c r="N293" i="3" s="1"/>
  <c r="O293" i="3" s="1"/>
  <c r="J293" i="3"/>
  <c r="K293" i="3" s="1"/>
  <c r="M292" i="3"/>
  <c r="L292" i="3"/>
  <c r="J292" i="3"/>
  <c r="K292" i="3" s="1"/>
  <c r="M291" i="3"/>
  <c r="L291" i="3"/>
  <c r="J291" i="3"/>
  <c r="K291" i="3" s="1"/>
  <c r="M290" i="3"/>
  <c r="N290" i="3" s="1"/>
  <c r="O290" i="3" s="1"/>
  <c r="L290" i="3"/>
  <c r="K290" i="3"/>
  <c r="J290" i="3"/>
  <c r="N289" i="3"/>
  <c r="O289" i="3" s="1"/>
  <c r="M289" i="3"/>
  <c r="L289" i="3"/>
  <c r="J289" i="3"/>
  <c r="K289" i="3" s="1"/>
  <c r="M288" i="3"/>
  <c r="L288" i="3"/>
  <c r="K288" i="3"/>
  <c r="J288" i="3"/>
  <c r="M287" i="3"/>
  <c r="L287" i="3"/>
  <c r="J287" i="3"/>
  <c r="K287" i="3" s="1"/>
  <c r="M286" i="3"/>
  <c r="N286" i="3" s="1"/>
  <c r="O286" i="3" s="1"/>
  <c r="L286" i="3"/>
  <c r="K286" i="3"/>
  <c r="J286" i="3"/>
  <c r="N285" i="3"/>
  <c r="O285" i="3" s="1"/>
  <c r="M285" i="3"/>
  <c r="L285" i="3"/>
  <c r="J285" i="3"/>
  <c r="K285" i="3" s="1"/>
  <c r="M284" i="3"/>
  <c r="L284" i="3"/>
  <c r="K284" i="3"/>
  <c r="J284" i="3"/>
  <c r="M283" i="3"/>
  <c r="L283" i="3"/>
  <c r="J283" i="3"/>
  <c r="K283" i="3" s="1"/>
  <c r="M282" i="3"/>
  <c r="N282" i="3" s="1"/>
  <c r="O282" i="3" s="1"/>
  <c r="L282" i="3"/>
  <c r="K282" i="3"/>
  <c r="J282" i="3"/>
  <c r="N281" i="3"/>
  <c r="O281" i="3" s="1"/>
  <c r="M281" i="3"/>
  <c r="L281" i="3"/>
  <c r="J281" i="3"/>
  <c r="K281" i="3" s="1"/>
  <c r="M280" i="3"/>
  <c r="L280" i="3"/>
  <c r="K280" i="3"/>
  <c r="J280" i="3"/>
  <c r="M279" i="3"/>
  <c r="L279" i="3"/>
  <c r="J279" i="3"/>
  <c r="K279" i="3" s="1"/>
  <c r="M278" i="3"/>
  <c r="L278" i="3"/>
  <c r="J278" i="3"/>
  <c r="K278" i="3" s="1"/>
  <c r="M277" i="3"/>
  <c r="L277" i="3"/>
  <c r="N277" i="3" s="1"/>
  <c r="O277" i="3" s="1"/>
  <c r="J277" i="3"/>
  <c r="K277" i="3" s="1"/>
  <c r="M276" i="3"/>
  <c r="L276" i="3"/>
  <c r="J276" i="3"/>
  <c r="K276" i="3" s="1"/>
  <c r="M275" i="3"/>
  <c r="L275" i="3"/>
  <c r="J275" i="3"/>
  <c r="K275" i="3" s="1"/>
  <c r="M274" i="3"/>
  <c r="N274" i="3" s="1"/>
  <c r="O274" i="3" s="1"/>
  <c r="L274" i="3"/>
  <c r="K274" i="3"/>
  <c r="J274" i="3"/>
  <c r="N273" i="3"/>
  <c r="O273" i="3" s="1"/>
  <c r="M273" i="3"/>
  <c r="L273" i="3"/>
  <c r="J273" i="3"/>
  <c r="K273" i="3" s="1"/>
  <c r="M272" i="3"/>
  <c r="L272" i="3"/>
  <c r="K272" i="3"/>
  <c r="J272" i="3"/>
  <c r="M271" i="3"/>
  <c r="L271" i="3"/>
  <c r="J271" i="3"/>
  <c r="K271" i="3" s="1"/>
  <c r="M270" i="3"/>
  <c r="N270" i="3" s="1"/>
  <c r="O270" i="3" s="1"/>
  <c r="L270" i="3"/>
  <c r="K270" i="3"/>
  <c r="J270" i="3"/>
  <c r="N269" i="3"/>
  <c r="O269" i="3" s="1"/>
  <c r="M269" i="3"/>
  <c r="L269" i="3"/>
  <c r="J269" i="3"/>
  <c r="K269" i="3" s="1"/>
  <c r="M268" i="3"/>
  <c r="L268" i="3"/>
  <c r="K268" i="3"/>
  <c r="J268" i="3"/>
  <c r="M267" i="3"/>
  <c r="L267" i="3"/>
  <c r="J267" i="3"/>
  <c r="K267" i="3" s="1"/>
  <c r="M266" i="3"/>
  <c r="N266" i="3" s="1"/>
  <c r="O266" i="3" s="1"/>
  <c r="L266" i="3"/>
  <c r="K266" i="3"/>
  <c r="J266" i="3"/>
  <c r="N265" i="3"/>
  <c r="O265" i="3" s="1"/>
  <c r="M265" i="3"/>
  <c r="L265" i="3"/>
  <c r="J265" i="3"/>
  <c r="K265" i="3" s="1"/>
  <c r="M264" i="3"/>
  <c r="L264" i="3"/>
  <c r="K264" i="3"/>
  <c r="J264" i="3"/>
  <c r="M263" i="3"/>
  <c r="L263" i="3"/>
  <c r="J263" i="3"/>
  <c r="K263" i="3" s="1"/>
  <c r="M262" i="3"/>
  <c r="L262" i="3"/>
  <c r="J262" i="3"/>
  <c r="K262" i="3" s="1"/>
  <c r="M261" i="3"/>
  <c r="L261" i="3"/>
  <c r="J261" i="3"/>
  <c r="K261" i="3" s="1"/>
  <c r="M260" i="3"/>
  <c r="L260" i="3"/>
  <c r="J260" i="3"/>
  <c r="K260" i="3" s="1"/>
  <c r="M259" i="3"/>
  <c r="L259" i="3"/>
  <c r="J259" i="3"/>
  <c r="K259" i="3" s="1"/>
  <c r="M258" i="3"/>
  <c r="N258" i="3" s="1"/>
  <c r="O258" i="3" s="1"/>
  <c r="L258" i="3"/>
  <c r="K258" i="3"/>
  <c r="J258" i="3"/>
  <c r="N257" i="3"/>
  <c r="O257" i="3" s="1"/>
  <c r="M257" i="3"/>
  <c r="L257" i="3"/>
  <c r="J257" i="3"/>
  <c r="K257" i="3" s="1"/>
  <c r="M256" i="3"/>
  <c r="L256" i="3"/>
  <c r="K256" i="3"/>
  <c r="J256" i="3"/>
  <c r="M255" i="3"/>
  <c r="L255" i="3"/>
  <c r="J255" i="3"/>
  <c r="K255" i="3" s="1"/>
  <c r="M254" i="3"/>
  <c r="N254" i="3" s="1"/>
  <c r="O254" i="3" s="1"/>
  <c r="L254" i="3"/>
  <c r="K254" i="3"/>
  <c r="J254" i="3"/>
  <c r="N253" i="3"/>
  <c r="O253" i="3" s="1"/>
  <c r="M253" i="3"/>
  <c r="L253" i="3"/>
  <c r="J253" i="3"/>
  <c r="K253" i="3" s="1"/>
  <c r="M252" i="3"/>
  <c r="L252" i="3"/>
  <c r="K252" i="3"/>
  <c r="J252" i="3"/>
  <c r="M251" i="3"/>
  <c r="L251" i="3"/>
  <c r="J251" i="3"/>
  <c r="K251" i="3" s="1"/>
  <c r="M250" i="3"/>
  <c r="N250" i="3" s="1"/>
  <c r="O250" i="3" s="1"/>
  <c r="L250" i="3"/>
  <c r="K250" i="3"/>
  <c r="J250" i="3"/>
  <c r="N249" i="3"/>
  <c r="O249" i="3" s="1"/>
  <c r="M249" i="3"/>
  <c r="L249" i="3"/>
  <c r="J249" i="3"/>
  <c r="K249" i="3" s="1"/>
  <c r="M248" i="3"/>
  <c r="L248" i="3"/>
  <c r="K248" i="3"/>
  <c r="J248" i="3"/>
  <c r="N247" i="3"/>
  <c r="O247" i="3" s="1"/>
  <c r="M247" i="3"/>
  <c r="L247" i="3"/>
  <c r="J247" i="3"/>
  <c r="K247" i="3" s="1"/>
  <c r="M246" i="3"/>
  <c r="L246" i="3"/>
  <c r="J246" i="3"/>
  <c r="K246" i="3" s="1"/>
  <c r="M245" i="3"/>
  <c r="L245" i="3"/>
  <c r="N245" i="3" s="1"/>
  <c r="O245" i="3" s="1"/>
  <c r="J245" i="3"/>
  <c r="K245" i="3" s="1"/>
  <c r="M244" i="3"/>
  <c r="L244" i="3"/>
  <c r="K244" i="3"/>
  <c r="J244" i="3"/>
  <c r="N243" i="3"/>
  <c r="O243" i="3" s="1"/>
  <c r="M243" i="3"/>
  <c r="L243" i="3"/>
  <c r="J243" i="3"/>
  <c r="K243" i="3" s="1"/>
  <c r="M242" i="3"/>
  <c r="L242" i="3"/>
  <c r="J242" i="3"/>
  <c r="K242" i="3" s="1"/>
  <c r="M241" i="3"/>
  <c r="L241" i="3"/>
  <c r="N241" i="3" s="1"/>
  <c r="O241" i="3" s="1"/>
  <c r="J241" i="3"/>
  <c r="K241" i="3" s="1"/>
  <c r="M240" i="3"/>
  <c r="L240" i="3"/>
  <c r="K240" i="3"/>
  <c r="J240" i="3"/>
  <c r="N239" i="3"/>
  <c r="O239" i="3" s="1"/>
  <c r="M239" i="3"/>
  <c r="L239" i="3"/>
  <c r="J239" i="3"/>
  <c r="K239" i="3" s="1"/>
  <c r="M238" i="3"/>
  <c r="L238" i="3"/>
  <c r="J238" i="3"/>
  <c r="K238" i="3" s="1"/>
  <c r="M237" i="3"/>
  <c r="L237" i="3"/>
  <c r="J237" i="3"/>
  <c r="K237" i="3" s="1"/>
  <c r="M236" i="3"/>
  <c r="L236" i="3"/>
  <c r="K236" i="3"/>
  <c r="J236" i="3"/>
  <c r="M235" i="3"/>
  <c r="L235" i="3"/>
  <c r="K235" i="3"/>
  <c r="J235" i="3"/>
  <c r="O234" i="3"/>
  <c r="M234" i="3"/>
  <c r="N234" i="3" s="1"/>
  <c r="L234" i="3"/>
  <c r="K234" i="3"/>
  <c r="J234" i="3"/>
  <c r="M233" i="3"/>
  <c r="L233" i="3"/>
  <c r="J233" i="3"/>
  <c r="K233" i="3" s="1"/>
  <c r="M232" i="3"/>
  <c r="L232" i="3"/>
  <c r="J232" i="3"/>
  <c r="K232" i="3" s="1"/>
  <c r="M231" i="3"/>
  <c r="L231" i="3"/>
  <c r="N231" i="3" s="1"/>
  <c r="O231" i="3" s="1"/>
  <c r="J231" i="3"/>
  <c r="K231" i="3" s="1"/>
  <c r="M230" i="3"/>
  <c r="L230" i="3"/>
  <c r="N230" i="3" s="1"/>
  <c r="O230" i="3" s="1"/>
  <c r="J230" i="3"/>
  <c r="K230" i="3" s="1"/>
  <c r="P230" i="3" s="1"/>
  <c r="M229" i="3"/>
  <c r="L229" i="3"/>
  <c r="J229" i="3"/>
  <c r="K229" i="3" s="1"/>
  <c r="M228" i="3"/>
  <c r="L228" i="3"/>
  <c r="K228" i="3"/>
  <c r="J228" i="3"/>
  <c r="M227" i="3"/>
  <c r="L227" i="3"/>
  <c r="K227" i="3"/>
  <c r="J227" i="3"/>
  <c r="M226" i="3"/>
  <c r="L226" i="3"/>
  <c r="K226" i="3"/>
  <c r="J226" i="3"/>
  <c r="M225" i="3"/>
  <c r="L225" i="3"/>
  <c r="J225" i="3"/>
  <c r="K225" i="3" s="1"/>
  <c r="M224" i="3"/>
  <c r="L224" i="3"/>
  <c r="J224" i="3"/>
  <c r="K224" i="3" s="1"/>
  <c r="M223" i="3"/>
  <c r="L223" i="3"/>
  <c r="N223" i="3" s="1"/>
  <c r="O223" i="3" s="1"/>
  <c r="J223" i="3"/>
  <c r="K223" i="3" s="1"/>
  <c r="N222" i="3"/>
  <c r="O222" i="3" s="1"/>
  <c r="M222" i="3"/>
  <c r="L222" i="3"/>
  <c r="J222" i="3"/>
  <c r="K222" i="3" s="1"/>
  <c r="P222" i="3" s="1"/>
  <c r="M221" i="3"/>
  <c r="L221" i="3"/>
  <c r="J221" i="3"/>
  <c r="K221" i="3" s="1"/>
  <c r="M220" i="3"/>
  <c r="L220" i="3"/>
  <c r="K220" i="3"/>
  <c r="J220" i="3"/>
  <c r="M219" i="3"/>
  <c r="L219" i="3"/>
  <c r="K219" i="3"/>
  <c r="J219" i="3"/>
  <c r="O218" i="3"/>
  <c r="M218" i="3"/>
  <c r="N218" i="3" s="1"/>
  <c r="L218" i="3"/>
  <c r="K218" i="3"/>
  <c r="J218" i="3"/>
  <c r="M217" i="3"/>
  <c r="L217" i="3"/>
  <c r="J217" i="3"/>
  <c r="K217" i="3" s="1"/>
  <c r="M216" i="3"/>
  <c r="L216" i="3"/>
  <c r="J216" i="3"/>
  <c r="K216" i="3" s="1"/>
  <c r="M215" i="3"/>
  <c r="L215" i="3"/>
  <c r="N215" i="3" s="1"/>
  <c r="O215" i="3" s="1"/>
  <c r="P215" i="3" s="1"/>
  <c r="J215" i="3"/>
  <c r="K215" i="3" s="1"/>
  <c r="M214" i="3"/>
  <c r="L214" i="3"/>
  <c r="N214" i="3" s="1"/>
  <c r="O214" i="3" s="1"/>
  <c r="J214" i="3"/>
  <c r="K214" i="3" s="1"/>
  <c r="M213" i="3"/>
  <c r="L213" i="3"/>
  <c r="N213" i="3" s="1"/>
  <c r="O213" i="3" s="1"/>
  <c r="J213" i="3"/>
  <c r="K213" i="3" s="1"/>
  <c r="M212" i="3"/>
  <c r="L212" i="3"/>
  <c r="J212" i="3"/>
  <c r="K212" i="3" s="1"/>
  <c r="M211" i="3"/>
  <c r="L211" i="3"/>
  <c r="K211" i="3"/>
  <c r="J211" i="3"/>
  <c r="O210" i="3"/>
  <c r="M210" i="3"/>
  <c r="N210" i="3" s="1"/>
  <c r="L210" i="3"/>
  <c r="K210" i="3"/>
  <c r="J210" i="3"/>
  <c r="N209" i="3"/>
  <c r="O209" i="3" s="1"/>
  <c r="M209" i="3"/>
  <c r="L209" i="3"/>
  <c r="J209" i="3"/>
  <c r="K209" i="3" s="1"/>
  <c r="M208" i="3"/>
  <c r="L208" i="3"/>
  <c r="K208" i="3"/>
  <c r="J208" i="3"/>
  <c r="M207" i="3"/>
  <c r="L207" i="3"/>
  <c r="K207" i="3"/>
  <c r="J207" i="3"/>
  <c r="O206" i="3"/>
  <c r="M206" i="3"/>
  <c r="L206" i="3"/>
  <c r="N206" i="3" s="1"/>
  <c r="K206" i="3"/>
  <c r="P206" i="3" s="1"/>
  <c r="J206" i="3"/>
  <c r="M205" i="3"/>
  <c r="L205" i="3"/>
  <c r="N205" i="3" s="1"/>
  <c r="O205" i="3" s="1"/>
  <c r="J205" i="3"/>
  <c r="K205" i="3" s="1"/>
  <c r="M204" i="3"/>
  <c r="L204" i="3"/>
  <c r="K204" i="3"/>
  <c r="J204" i="3"/>
  <c r="M203" i="3"/>
  <c r="L203" i="3"/>
  <c r="K203" i="3"/>
  <c r="J203" i="3"/>
  <c r="M202" i="3"/>
  <c r="N202" i="3" s="1"/>
  <c r="O202" i="3" s="1"/>
  <c r="L202" i="3"/>
  <c r="K202" i="3"/>
  <c r="J202" i="3"/>
  <c r="M201" i="3"/>
  <c r="L201" i="3"/>
  <c r="N201" i="3" s="1"/>
  <c r="O201" i="3" s="1"/>
  <c r="J201" i="3"/>
  <c r="K201" i="3" s="1"/>
  <c r="M200" i="3"/>
  <c r="L200" i="3"/>
  <c r="K200" i="3"/>
  <c r="J200" i="3"/>
  <c r="M199" i="3"/>
  <c r="L199" i="3"/>
  <c r="K199" i="3"/>
  <c r="J199" i="3"/>
  <c r="M198" i="3"/>
  <c r="L198" i="3"/>
  <c r="K198" i="3"/>
  <c r="J198" i="3"/>
  <c r="N197" i="3"/>
  <c r="O197" i="3" s="1"/>
  <c r="M197" i="3"/>
  <c r="L197" i="3"/>
  <c r="J197" i="3"/>
  <c r="K197" i="3" s="1"/>
  <c r="M196" i="3"/>
  <c r="L196" i="3"/>
  <c r="K196" i="3"/>
  <c r="J196" i="3"/>
  <c r="P195" i="3"/>
  <c r="M195" i="3"/>
  <c r="L195" i="3"/>
  <c r="N195" i="3" s="1"/>
  <c r="O195" i="3" s="1"/>
  <c r="J195" i="3"/>
  <c r="K195" i="3" s="1"/>
  <c r="N194" i="3"/>
  <c r="O194" i="3" s="1"/>
  <c r="M194" i="3"/>
  <c r="L194" i="3"/>
  <c r="J194" i="3"/>
  <c r="K194" i="3" s="1"/>
  <c r="M193" i="3"/>
  <c r="L193" i="3"/>
  <c r="J193" i="3"/>
  <c r="K193" i="3" s="1"/>
  <c r="M192" i="3"/>
  <c r="L192" i="3"/>
  <c r="N192" i="3" s="1"/>
  <c r="O192" i="3" s="1"/>
  <c r="P192" i="3" s="1"/>
  <c r="J192" i="3"/>
  <c r="K192" i="3" s="1"/>
  <c r="M191" i="3"/>
  <c r="L191" i="3"/>
  <c r="K191" i="3"/>
  <c r="J191" i="3"/>
  <c r="M190" i="3"/>
  <c r="N190" i="3" s="1"/>
  <c r="O190" i="3" s="1"/>
  <c r="L190" i="3"/>
  <c r="K190" i="3"/>
  <c r="J190" i="3"/>
  <c r="M189" i="3"/>
  <c r="L189" i="3"/>
  <c r="N189" i="3" s="1"/>
  <c r="O189" i="3" s="1"/>
  <c r="J189" i="3"/>
  <c r="K189" i="3" s="1"/>
  <c r="M188" i="3"/>
  <c r="L188" i="3"/>
  <c r="K188" i="3"/>
  <c r="J188" i="3"/>
  <c r="M187" i="3"/>
  <c r="L187" i="3"/>
  <c r="K187" i="3"/>
  <c r="J187" i="3"/>
  <c r="M186" i="3"/>
  <c r="L186" i="3"/>
  <c r="K186" i="3"/>
  <c r="J186" i="3"/>
  <c r="N185" i="3"/>
  <c r="O185" i="3" s="1"/>
  <c r="M185" i="3"/>
  <c r="L185" i="3"/>
  <c r="J185" i="3"/>
  <c r="K185" i="3" s="1"/>
  <c r="M184" i="3"/>
  <c r="L184" i="3"/>
  <c r="K184" i="3"/>
  <c r="J184" i="3"/>
  <c r="M183" i="3"/>
  <c r="L183" i="3"/>
  <c r="K183" i="3"/>
  <c r="J183" i="3"/>
  <c r="O182" i="3"/>
  <c r="M182" i="3"/>
  <c r="N182" i="3" s="1"/>
  <c r="L182" i="3"/>
  <c r="K182" i="3"/>
  <c r="J182" i="3"/>
  <c r="N181" i="3"/>
  <c r="O181" i="3" s="1"/>
  <c r="M181" i="3"/>
  <c r="L181" i="3"/>
  <c r="J181" i="3"/>
  <c r="K181" i="3" s="1"/>
  <c r="M180" i="3"/>
  <c r="L180" i="3"/>
  <c r="K180" i="3"/>
  <c r="J180" i="3"/>
  <c r="M179" i="3"/>
  <c r="L179" i="3"/>
  <c r="N179" i="3" s="1"/>
  <c r="O179" i="3" s="1"/>
  <c r="J179" i="3"/>
  <c r="K179" i="3" s="1"/>
  <c r="P179" i="3" s="1"/>
  <c r="N178" i="3"/>
  <c r="O178" i="3" s="1"/>
  <c r="M178" i="3"/>
  <c r="L178" i="3"/>
  <c r="J178" i="3"/>
  <c r="K178" i="3" s="1"/>
  <c r="P178" i="3" s="1"/>
  <c r="M177" i="3"/>
  <c r="N177" i="3" s="1"/>
  <c r="O177" i="3" s="1"/>
  <c r="L177" i="3"/>
  <c r="J177" i="3"/>
  <c r="K177" i="3" s="1"/>
  <c r="M176" i="3"/>
  <c r="L176" i="3"/>
  <c r="N176" i="3" s="1"/>
  <c r="O176" i="3" s="1"/>
  <c r="P176" i="3" s="1"/>
  <c r="J176" i="3"/>
  <c r="K176" i="3" s="1"/>
  <c r="M175" i="3"/>
  <c r="L175" i="3"/>
  <c r="K175" i="3"/>
  <c r="J175" i="3"/>
  <c r="M174" i="3"/>
  <c r="L174" i="3"/>
  <c r="K174" i="3"/>
  <c r="J174" i="3"/>
  <c r="N173" i="3"/>
  <c r="O173" i="3" s="1"/>
  <c r="M173" i="3"/>
  <c r="L173" i="3"/>
  <c r="J173" i="3"/>
  <c r="K173" i="3" s="1"/>
  <c r="M172" i="3"/>
  <c r="L172" i="3"/>
  <c r="K172" i="3"/>
  <c r="J172" i="3"/>
  <c r="M171" i="3"/>
  <c r="L171" i="3"/>
  <c r="K171" i="3"/>
  <c r="J171" i="3"/>
  <c r="O170" i="3"/>
  <c r="N170" i="3"/>
  <c r="M170" i="3"/>
  <c r="L170" i="3"/>
  <c r="K170" i="3"/>
  <c r="P170" i="3" s="1"/>
  <c r="J170" i="3"/>
  <c r="M169" i="3"/>
  <c r="L169" i="3"/>
  <c r="N169" i="3" s="1"/>
  <c r="O169" i="3" s="1"/>
  <c r="J169" i="3"/>
  <c r="K169" i="3" s="1"/>
  <c r="M168" i="3"/>
  <c r="L168" i="3"/>
  <c r="K168" i="3"/>
  <c r="J168" i="3"/>
  <c r="M167" i="3"/>
  <c r="L167" i="3"/>
  <c r="K167" i="3"/>
  <c r="J167" i="3"/>
  <c r="M166" i="3"/>
  <c r="L166" i="3"/>
  <c r="N166" i="3" s="1"/>
  <c r="O166" i="3" s="1"/>
  <c r="K166" i="3"/>
  <c r="J166" i="3"/>
  <c r="M165" i="3"/>
  <c r="L165" i="3"/>
  <c r="N165" i="3" s="1"/>
  <c r="O165" i="3" s="1"/>
  <c r="J165" i="3"/>
  <c r="K165" i="3" s="1"/>
  <c r="M164" i="3"/>
  <c r="L164" i="3"/>
  <c r="K164" i="3"/>
  <c r="J164" i="3"/>
  <c r="M163" i="3"/>
  <c r="L163" i="3"/>
  <c r="J163" i="3"/>
  <c r="K163" i="3" s="1"/>
  <c r="N162" i="3"/>
  <c r="O162" i="3" s="1"/>
  <c r="M162" i="3"/>
  <c r="L162" i="3"/>
  <c r="J162" i="3"/>
  <c r="K162" i="3" s="1"/>
  <c r="P162" i="3" s="1"/>
  <c r="M161" i="3"/>
  <c r="L161" i="3"/>
  <c r="J161" i="3"/>
  <c r="K161" i="3" s="1"/>
  <c r="M160" i="3"/>
  <c r="L160" i="3"/>
  <c r="N160" i="3" s="1"/>
  <c r="O160" i="3" s="1"/>
  <c r="J160" i="3"/>
  <c r="K160" i="3" s="1"/>
  <c r="M159" i="3"/>
  <c r="L159" i="3"/>
  <c r="K159" i="3"/>
  <c r="J159" i="3"/>
  <c r="O158" i="3"/>
  <c r="N158" i="3"/>
  <c r="M158" i="3"/>
  <c r="L158" i="3"/>
  <c r="K158" i="3"/>
  <c r="P158" i="3" s="1"/>
  <c r="J158" i="3"/>
  <c r="M157" i="3"/>
  <c r="L157" i="3"/>
  <c r="N157" i="3" s="1"/>
  <c r="O157" i="3" s="1"/>
  <c r="J157" i="3"/>
  <c r="K157" i="3" s="1"/>
  <c r="M156" i="3"/>
  <c r="L156" i="3"/>
  <c r="K156" i="3"/>
  <c r="J156" i="3"/>
  <c r="M155" i="3"/>
  <c r="L155" i="3"/>
  <c r="K155" i="3"/>
  <c r="J155" i="3"/>
  <c r="M154" i="3"/>
  <c r="L154" i="3"/>
  <c r="N154" i="3" s="1"/>
  <c r="O154" i="3" s="1"/>
  <c r="K154" i="3"/>
  <c r="J154" i="3"/>
  <c r="M153" i="3"/>
  <c r="L153" i="3"/>
  <c r="N153" i="3" s="1"/>
  <c r="O153" i="3" s="1"/>
  <c r="J153" i="3"/>
  <c r="K153" i="3" s="1"/>
  <c r="M152" i="3"/>
  <c r="L152" i="3"/>
  <c r="K152" i="3"/>
  <c r="J152" i="3"/>
  <c r="M151" i="3"/>
  <c r="L151" i="3"/>
  <c r="N151" i="3" s="1"/>
  <c r="O151" i="3" s="1"/>
  <c r="P151" i="3" s="1"/>
  <c r="K151" i="3"/>
  <c r="J151" i="3"/>
  <c r="N150" i="3"/>
  <c r="O150" i="3" s="1"/>
  <c r="M150" i="3"/>
  <c r="L150" i="3"/>
  <c r="J150" i="3"/>
  <c r="K150" i="3" s="1"/>
  <c r="N149" i="3"/>
  <c r="O149" i="3" s="1"/>
  <c r="M149" i="3"/>
  <c r="L149" i="3"/>
  <c r="J149" i="3"/>
  <c r="K149" i="3" s="1"/>
  <c r="M148" i="3"/>
  <c r="L148" i="3"/>
  <c r="J148" i="3"/>
  <c r="K148" i="3" s="1"/>
  <c r="M147" i="3"/>
  <c r="L147" i="3"/>
  <c r="N147" i="3" s="1"/>
  <c r="O147" i="3" s="1"/>
  <c r="K147" i="3"/>
  <c r="P147" i="3" s="1"/>
  <c r="J147" i="3"/>
  <c r="M146" i="3"/>
  <c r="L146" i="3"/>
  <c r="N146" i="3" s="1"/>
  <c r="O146" i="3" s="1"/>
  <c r="J146" i="3"/>
  <c r="K146" i="3" s="1"/>
  <c r="N145" i="3"/>
  <c r="O145" i="3" s="1"/>
  <c r="M145" i="3"/>
  <c r="L145" i="3"/>
  <c r="J145" i="3"/>
  <c r="K145" i="3" s="1"/>
  <c r="M144" i="3"/>
  <c r="L144" i="3"/>
  <c r="J144" i="3"/>
  <c r="K144" i="3" s="1"/>
  <c r="M143" i="3"/>
  <c r="L143" i="3"/>
  <c r="J143" i="3"/>
  <c r="K143" i="3" s="1"/>
  <c r="M142" i="3"/>
  <c r="L142" i="3"/>
  <c r="N142" i="3" s="1"/>
  <c r="O142" i="3" s="1"/>
  <c r="K142" i="3"/>
  <c r="J142" i="3"/>
  <c r="M141" i="3"/>
  <c r="L141" i="3"/>
  <c r="N141" i="3" s="1"/>
  <c r="O141" i="3" s="1"/>
  <c r="J141" i="3"/>
  <c r="K141" i="3" s="1"/>
  <c r="M140" i="3"/>
  <c r="L140" i="3"/>
  <c r="N140" i="3" s="1"/>
  <c r="O140" i="3" s="1"/>
  <c r="P140" i="3" s="1"/>
  <c r="K140" i="3"/>
  <c r="J140" i="3"/>
  <c r="M139" i="3"/>
  <c r="L139" i="3"/>
  <c r="N139" i="3" s="1"/>
  <c r="O139" i="3" s="1"/>
  <c r="P139" i="3" s="1"/>
  <c r="K139" i="3"/>
  <c r="J139" i="3"/>
  <c r="N138" i="3"/>
  <c r="O138" i="3" s="1"/>
  <c r="M138" i="3"/>
  <c r="L138" i="3"/>
  <c r="J138" i="3"/>
  <c r="K138" i="3" s="1"/>
  <c r="N137" i="3"/>
  <c r="O137" i="3" s="1"/>
  <c r="M137" i="3"/>
  <c r="L137" i="3"/>
  <c r="J137" i="3"/>
  <c r="K137" i="3" s="1"/>
  <c r="P137" i="3" s="1"/>
  <c r="M136" i="3"/>
  <c r="L136" i="3"/>
  <c r="J136" i="3"/>
  <c r="K136" i="3" s="1"/>
  <c r="M135" i="3"/>
  <c r="L135" i="3"/>
  <c r="J135" i="3"/>
  <c r="K135" i="3" s="1"/>
  <c r="M134" i="3"/>
  <c r="L134" i="3"/>
  <c r="N134" i="3" s="1"/>
  <c r="O134" i="3" s="1"/>
  <c r="K134" i="3"/>
  <c r="J134" i="3"/>
  <c r="M133" i="3"/>
  <c r="L133" i="3"/>
  <c r="N133" i="3" s="1"/>
  <c r="O133" i="3" s="1"/>
  <c r="J133" i="3"/>
  <c r="K133" i="3" s="1"/>
  <c r="M132" i="3"/>
  <c r="L132" i="3"/>
  <c r="K132" i="3"/>
  <c r="J132" i="3"/>
  <c r="M131" i="3"/>
  <c r="L131" i="3"/>
  <c r="J131" i="3"/>
  <c r="K131" i="3" s="1"/>
  <c r="O130" i="3"/>
  <c r="N130" i="3"/>
  <c r="M130" i="3"/>
  <c r="L130" i="3"/>
  <c r="K130" i="3"/>
  <c r="P130" i="3" s="1"/>
  <c r="J130" i="3"/>
  <c r="M129" i="3"/>
  <c r="L129" i="3"/>
  <c r="N129" i="3" s="1"/>
  <c r="O129" i="3" s="1"/>
  <c r="J129" i="3"/>
  <c r="K129" i="3" s="1"/>
  <c r="M128" i="3"/>
  <c r="L128" i="3"/>
  <c r="N128" i="3" s="1"/>
  <c r="O128" i="3" s="1"/>
  <c r="K128" i="3"/>
  <c r="J128" i="3"/>
  <c r="M127" i="3"/>
  <c r="L127" i="3"/>
  <c r="N127" i="3" s="1"/>
  <c r="O127" i="3" s="1"/>
  <c r="K127" i="3"/>
  <c r="P127" i="3" s="1"/>
  <c r="J127" i="3"/>
  <c r="N126" i="3"/>
  <c r="O126" i="3" s="1"/>
  <c r="M126" i="3"/>
  <c r="L126" i="3"/>
  <c r="J126" i="3"/>
  <c r="K126" i="3" s="1"/>
  <c r="N125" i="3"/>
  <c r="O125" i="3" s="1"/>
  <c r="M125" i="3"/>
  <c r="L125" i="3"/>
  <c r="J125" i="3"/>
  <c r="K125" i="3" s="1"/>
  <c r="P125" i="3" s="1"/>
  <c r="M124" i="3"/>
  <c r="L124" i="3"/>
  <c r="J124" i="3"/>
  <c r="K124" i="3" s="1"/>
  <c r="M123" i="3"/>
  <c r="L123" i="3"/>
  <c r="J123" i="3"/>
  <c r="K123" i="3" s="1"/>
  <c r="M122" i="3"/>
  <c r="L122" i="3"/>
  <c r="N122" i="3" s="1"/>
  <c r="O122" i="3" s="1"/>
  <c r="K122" i="3"/>
  <c r="J122" i="3"/>
  <c r="M121" i="3"/>
  <c r="L121" i="3"/>
  <c r="N121" i="3" s="1"/>
  <c r="O121" i="3" s="1"/>
  <c r="J121" i="3"/>
  <c r="K121" i="3" s="1"/>
  <c r="M120" i="3"/>
  <c r="L120" i="3"/>
  <c r="K120" i="3"/>
  <c r="J120" i="3"/>
  <c r="M119" i="3"/>
  <c r="L119" i="3"/>
  <c r="N119" i="3" s="1"/>
  <c r="O119" i="3" s="1"/>
  <c r="P119" i="3" s="1"/>
  <c r="K119" i="3"/>
  <c r="J119" i="3"/>
  <c r="N118" i="3"/>
  <c r="O118" i="3" s="1"/>
  <c r="M118" i="3"/>
  <c r="L118" i="3"/>
  <c r="J118" i="3"/>
  <c r="K118" i="3" s="1"/>
  <c r="P118" i="3" s="1"/>
  <c r="N117" i="3"/>
  <c r="O117" i="3" s="1"/>
  <c r="M117" i="3"/>
  <c r="L117" i="3"/>
  <c r="J117" i="3"/>
  <c r="K117" i="3" s="1"/>
  <c r="M116" i="3"/>
  <c r="L116" i="3"/>
  <c r="J116" i="3"/>
  <c r="K116" i="3" s="1"/>
  <c r="M115" i="3"/>
  <c r="L115" i="3"/>
  <c r="N115" i="3" s="1"/>
  <c r="O115" i="3" s="1"/>
  <c r="K115" i="3"/>
  <c r="P115" i="3" s="1"/>
  <c r="J115" i="3"/>
  <c r="M114" i="3"/>
  <c r="L114" i="3"/>
  <c r="N114" i="3" s="1"/>
  <c r="O114" i="3" s="1"/>
  <c r="J114" i="3"/>
  <c r="K114" i="3" s="1"/>
  <c r="N113" i="3"/>
  <c r="O113" i="3" s="1"/>
  <c r="M113" i="3"/>
  <c r="L113" i="3"/>
  <c r="J113" i="3"/>
  <c r="K113" i="3" s="1"/>
  <c r="M112" i="3"/>
  <c r="L112" i="3"/>
  <c r="J112" i="3"/>
  <c r="K112" i="3" s="1"/>
  <c r="M111" i="3"/>
  <c r="L111" i="3"/>
  <c r="J111" i="3"/>
  <c r="K111" i="3" s="1"/>
  <c r="M110" i="3"/>
  <c r="L110" i="3"/>
  <c r="N110" i="3" s="1"/>
  <c r="O110" i="3" s="1"/>
  <c r="K110" i="3"/>
  <c r="J110" i="3"/>
  <c r="M109" i="3"/>
  <c r="L109" i="3"/>
  <c r="N109" i="3" s="1"/>
  <c r="O109" i="3" s="1"/>
  <c r="J109" i="3"/>
  <c r="K109" i="3" s="1"/>
  <c r="M108" i="3"/>
  <c r="L108" i="3"/>
  <c r="N108" i="3" s="1"/>
  <c r="O108" i="3" s="1"/>
  <c r="P108" i="3" s="1"/>
  <c r="K108" i="3"/>
  <c r="J108" i="3"/>
  <c r="M107" i="3"/>
  <c r="L107" i="3"/>
  <c r="N107" i="3" s="1"/>
  <c r="O107" i="3" s="1"/>
  <c r="P107" i="3" s="1"/>
  <c r="K107" i="3"/>
  <c r="J107" i="3"/>
  <c r="N106" i="3"/>
  <c r="O106" i="3" s="1"/>
  <c r="M106" i="3"/>
  <c r="L106" i="3"/>
  <c r="J106" i="3"/>
  <c r="K106" i="3" s="1"/>
  <c r="P106" i="3" s="1"/>
  <c r="N105" i="3"/>
  <c r="O105" i="3" s="1"/>
  <c r="M105" i="3"/>
  <c r="L105" i="3"/>
  <c r="J105" i="3"/>
  <c r="K105" i="3" s="1"/>
  <c r="P105" i="3" s="1"/>
  <c r="M104" i="3"/>
  <c r="L104" i="3"/>
  <c r="J104" i="3"/>
  <c r="K104" i="3" s="1"/>
  <c r="M103" i="3"/>
  <c r="L103" i="3"/>
  <c r="J103" i="3"/>
  <c r="K103" i="3" s="1"/>
  <c r="M102" i="3"/>
  <c r="L102" i="3"/>
  <c r="N102" i="3" s="1"/>
  <c r="O102" i="3" s="1"/>
  <c r="K102" i="3"/>
  <c r="J102" i="3"/>
  <c r="M101" i="3"/>
  <c r="L101" i="3"/>
  <c r="N101" i="3" s="1"/>
  <c r="O101" i="3" s="1"/>
  <c r="J101" i="3"/>
  <c r="K101" i="3" s="1"/>
  <c r="M100" i="3"/>
  <c r="L100" i="3"/>
  <c r="K100" i="3"/>
  <c r="J100" i="3"/>
  <c r="M99" i="3"/>
  <c r="L99" i="3"/>
  <c r="J99" i="3"/>
  <c r="K99" i="3" s="1"/>
  <c r="O98" i="3"/>
  <c r="N98" i="3"/>
  <c r="M98" i="3"/>
  <c r="L98" i="3"/>
  <c r="K98" i="3"/>
  <c r="P98" i="3" s="1"/>
  <c r="J98" i="3"/>
  <c r="M97" i="3"/>
  <c r="L97" i="3"/>
  <c r="N97" i="3" s="1"/>
  <c r="O97" i="3" s="1"/>
  <c r="J97" i="3"/>
  <c r="K97" i="3" s="1"/>
  <c r="M96" i="3"/>
  <c r="L96" i="3"/>
  <c r="N96" i="3" s="1"/>
  <c r="O96" i="3" s="1"/>
  <c r="K96" i="3"/>
  <c r="J96" i="3"/>
  <c r="M95" i="3"/>
  <c r="L95" i="3"/>
  <c r="N95" i="3" s="1"/>
  <c r="O95" i="3" s="1"/>
  <c r="K95" i="3"/>
  <c r="P95" i="3" s="1"/>
  <c r="J95" i="3"/>
  <c r="M94" i="3"/>
  <c r="N94" i="3" s="1"/>
  <c r="O94" i="3" s="1"/>
  <c r="L94" i="3"/>
  <c r="J94" i="3"/>
  <c r="K94" i="3" s="1"/>
  <c r="N93" i="3"/>
  <c r="O93" i="3" s="1"/>
  <c r="M93" i="3"/>
  <c r="L93" i="3"/>
  <c r="J93" i="3"/>
  <c r="K93" i="3" s="1"/>
  <c r="P93" i="3" s="1"/>
  <c r="M92" i="3"/>
  <c r="L92" i="3"/>
  <c r="J92" i="3"/>
  <c r="K92" i="3" s="1"/>
  <c r="M91" i="3"/>
  <c r="L91" i="3"/>
  <c r="J91" i="3"/>
  <c r="K91" i="3" s="1"/>
  <c r="O90" i="3"/>
  <c r="M90" i="3"/>
  <c r="L90" i="3"/>
  <c r="N90" i="3" s="1"/>
  <c r="K90" i="3"/>
  <c r="J90" i="3"/>
  <c r="M89" i="3"/>
  <c r="L89" i="3"/>
  <c r="J89" i="3"/>
  <c r="K89" i="3" s="1"/>
  <c r="M88" i="3"/>
  <c r="L88" i="3"/>
  <c r="K88" i="3"/>
  <c r="J88" i="3"/>
  <c r="M87" i="3"/>
  <c r="L87" i="3"/>
  <c r="N87" i="3" s="1"/>
  <c r="O87" i="3" s="1"/>
  <c r="P87" i="3" s="1"/>
  <c r="K87" i="3"/>
  <c r="J87" i="3"/>
  <c r="N86" i="3"/>
  <c r="O86" i="3" s="1"/>
  <c r="M86" i="3"/>
  <c r="L86" i="3"/>
  <c r="J86" i="3"/>
  <c r="K86" i="3" s="1"/>
  <c r="N85" i="3"/>
  <c r="O85" i="3" s="1"/>
  <c r="M85" i="3"/>
  <c r="L85" i="3"/>
  <c r="J85" i="3"/>
  <c r="K85" i="3" s="1"/>
  <c r="M84" i="3"/>
  <c r="L84" i="3"/>
  <c r="J84" i="3"/>
  <c r="K84" i="3" s="1"/>
  <c r="M83" i="3"/>
  <c r="L83" i="3"/>
  <c r="N83" i="3" s="1"/>
  <c r="O83" i="3" s="1"/>
  <c r="J83" i="3"/>
  <c r="K83" i="3" s="1"/>
  <c r="P83" i="3" s="1"/>
  <c r="M82" i="3"/>
  <c r="L82" i="3"/>
  <c r="J82" i="3"/>
  <c r="K82" i="3" s="1"/>
  <c r="M81" i="3"/>
  <c r="N81" i="3" s="1"/>
  <c r="O81" i="3" s="1"/>
  <c r="L81" i="3"/>
  <c r="J81" i="3"/>
  <c r="K81" i="3" s="1"/>
  <c r="M80" i="3"/>
  <c r="L80" i="3"/>
  <c r="N80" i="3" s="1"/>
  <c r="O80" i="3" s="1"/>
  <c r="P80" i="3" s="1"/>
  <c r="J80" i="3"/>
  <c r="K80" i="3" s="1"/>
  <c r="M79" i="3"/>
  <c r="L79" i="3"/>
  <c r="J79" i="3"/>
  <c r="K79" i="3" s="1"/>
  <c r="M78" i="3"/>
  <c r="L78" i="3"/>
  <c r="N78" i="3" s="1"/>
  <c r="O78" i="3" s="1"/>
  <c r="K78" i="3"/>
  <c r="J78" i="3"/>
  <c r="M77" i="3"/>
  <c r="L77" i="3"/>
  <c r="N77" i="3" s="1"/>
  <c r="O77" i="3" s="1"/>
  <c r="J77" i="3"/>
  <c r="K77" i="3" s="1"/>
  <c r="M76" i="3"/>
  <c r="L76" i="3"/>
  <c r="N76" i="3" s="1"/>
  <c r="O76" i="3" s="1"/>
  <c r="K76" i="3"/>
  <c r="J76" i="3"/>
  <c r="M75" i="3"/>
  <c r="L75" i="3"/>
  <c r="N75" i="3" s="1"/>
  <c r="O75" i="3" s="1"/>
  <c r="K75" i="3"/>
  <c r="J75" i="3"/>
  <c r="M74" i="3"/>
  <c r="N74" i="3" s="1"/>
  <c r="O74" i="3" s="1"/>
  <c r="L74" i="3"/>
  <c r="J74" i="3"/>
  <c r="K74" i="3" s="1"/>
  <c r="N73" i="3"/>
  <c r="O73" i="3" s="1"/>
  <c r="M73" i="3"/>
  <c r="L73" i="3"/>
  <c r="J73" i="3"/>
  <c r="K73" i="3" s="1"/>
  <c r="P73" i="3" s="1"/>
  <c r="M72" i="3"/>
  <c r="L72" i="3"/>
  <c r="J72" i="3"/>
  <c r="K72" i="3" s="1"/>
  <c r="M71" i="3"/>
  <c r="L71" i="3"/>
  <c r="J71" i="3"/>
  <c r="K71" i="3" s="1"/>
  <c r="O70" i="3"/>
  <c r="M70" i="3"/>
  <c r="L70" i="3"/>
  <c r="N70" i="3" s="1"/>
  <c r="K70" i="3"/>
  <c r="J70" i="3"/>
  <c r="M69" i="3"/>
  <c r="L69" i="3"/>
  <c r="J69" i="3"/>
  <c r="K69" i="3" s="1"/>
  <c r="M68" i="3"/>
  <c r="L68" i="3"/>
  <c r="K68" i="3"/>
  <c r="J68" i="3"/>
  <c r="M67" i="3"/>
  <c r="L67" i="3"/>
  <c r="J67" i="3"/>
  <c r="K67" i="3" s="1"/>
  <c r="N66" i="3"/>
  <c r="O66" i="3" s="1"/>
  <c r="M66" i="3"/>
  <c r="L66" i="3"/>
  <c r="J66" i="3"/>
  <c r="K66" i="3" s="1"/>
  <c r="M65" i="3"/>
  <c r="L65" i="3"/>
  <c r="J65" i="3"/>
  <c r="K65" i="3" s="1"/>
  <c r="M64" i="3"/>
  <c r="L64" i="3"/>
  <c r="N64" i="3" s="1"/>
  <c r="O64" i="3" s="1"/>
  <c r="J64" i="3"/>
  <c r="K64" i="3" s="1"/>
  <c r="M63" i="3"/>
  <c r="L63" i="3"/>
  <c r="K63" i="3"/>
  <c r="J63" i="3"/>
  <c r="O62" i="3"/>
  <c r="N62" i="3"/>
  <c r="M62" i="3"/>
  <c r="L62" i="3"/>
  <c r="K62" i="3"/>
  <c r="P62" i="3" s="1"/>
  <c r="J62" i="3"/>
  <c r="M61" i="3"/>
  <c r="L61" i="3"/>
  <c r="N61" i="3" s="1"/>
  <c r="O61" i="3" s="1"/>
  <c r="J61" i="3"/>
  <c r="K61" i="3" s="1"/>
  <c r="M60" i="3"/>
  <c r="L60" i="3"/>
  <c r="K60" i="3"/>
  <c r="J60" i="3"/>
  <c r="M59" i="3"/>
  <c r="L59" i="3"/>
  <c r="K59" i="3"/>
  <c r="J59" i="3"/>
  <c r="M58" i="3"/>
  <c r="L58" i="3"/>
  <c r="N58" i="3" s="1"/>
  <c r="O58" i="3" s="1"/>
  <c r="K58" i="3"/>
  <c r="J58" i="3"/>
  <c r="M57" i="3"/>
  <c r="L57" i="3"/>
  <c r="N57" i="3" s="1"/>
  <c r="O57" i="3" s="1"/>
  <c r="J57" i="3"/>
  <c r="K57" i="3" s="1"/>
  <c r="M56" i="3"/>
  <c r="L56" i="3"/>
  <c r="K56" i="3"/>
  <c r="J56" i="3"/>
  <c r="M55" i="3"/>
  <c r="L55" i="3"/>
  <c r="N55" i="3" s="1"/>
  <c r="O55" i="3" s="1"/>
  <c r="P55" i="3" s="1"/>
  <c r="K55" i="3"/>
  <c r="J55" i="3"/>
  <c r="N54" i="3"/>
  <c r="O54" i="3" s="1"/>
  <c r="M54" i="3"/>
  <c r="L54" i="3"/>
  <c r="J54" i="3"/>
  <c r="K54" i="3" s="1"/>
  <c r="P54" i="3" s="1"/>
  <c r="N53" i="3"/>
  <c r="O53" i="3" s="1"/>
  <c r="M53" i="3"/>
  <c r="L53" i="3"/>
  <c r="J53" i="3"/>
  <c r="K53" i="3" s="1"/>
  <c r="M52" i="3"/>
  <c r="L52" i="3"/>
  <c r="J52" i="3"/>
  <c r="K52" i="3" s="1"/>
  <c r="M51" i="3"/>
  <c r="L51" i="3"/>
  <c r="N51" i="3" s="1"/>
  <c r="O51" i="3" s="1"/>
  <c r="K51" i="3"/>
  <c r="P51" i="3" s="1"/>
  <c r="J51" i="3"/>
  <c r="M50" i="3"/>
  <c r="L50" i="3"/>
  <c r="N50" i="3" s="1"/>
  <c r="O50" i="3" s="1"/>
  <c r="J50" i="3"/>
  <c r="K50" i="3" s="1"/>
  <c r="M49" i="3"/>
  <c r="N49" i="3" s="1"/>
  <c r="O49" i="3" s="1"/>
  <c r="L49" i="3"/>
  <c r="J49" i="3"/>
  <c r="K49" i="3" s="1"/>
  <c r="M48" i="3"/>
  <c r="L48" i="3"/>
  <c r="N48" i="3" s="1"/>
  <c r="O48" i="3" s="1"/>
  <c r="J48" i="3"/>
  <c r="K48" i="3" s="1"/>
  <c r="M47" i="3"/>
  <c r="L47" i="3"/>
  <c r="K47" i="3"/>
  <c r="J47" i="3"/>
  <c r="M46" i="3"/>
  <c r="L46" i="3"/>
  <c r="N46" i="3" s="1"/>
  <c r="O46" i="3" s="1"/>
  <c r="K46" i="3"/>
  <c r="J46" i="3"/>
  <c r="M45" i="3"/>
  <c r="L45" i="3"/>
  <c r="N45" i="3" s="1"/>
  <c r="O45" i="3" s="1"/>
  <c r="J45" i="3"/>
  <c r="K45" i="3" s="1"/>
  <c r="M44" i="3"/>
  <c r="L44" i="3"/>
  <c r="N44" i="3" s="1"/>
  <c r="O44" i="3" s="1"/>
  <c r="P44" i="3" s="1"/>
  <c r="K44" i="3"/>
  <c r="J44" i="3"/>
  <c r="M43" i="3"/>
  <c r="L43" i="3"/>
  <c r="N43" i="3" s="1"/>
  <c r="O43" i="3" s="1"/>
  <c r="P43" i="3" s="1"/>
  <c r="K43" i="3"/>
  <c r="J43" i="3"/>
  <c r="N42" i="3"/>
  <c r="O42" i="3" s="1"/>
  <c r="M42" i="3"/>
  <c r="L42" i="3"/>
  <c r="J42" i="3"/>
  <c r="K42" i="3" s="1"/>
  <c r="N41" i="3"/>
  <c r="O41" i="3" s="1"/>
  <c r="M41" i="3"/>
  <c r="L41" i="3"/>
  <c r="J41" i="3"/>
  <c r="K41" i="3" s="1"/>
  <c r="P41" i="3" s="1"/>
  <c r="M40" i="3"/>
  <c r="L40" i="3"/>
  <c r="J40" i="3"/>
  <c r="K40" i="3" s="1"/>
  <c r="M39" i="3"/>
  <c r="L39" i="3"/>
  <c r="J39" i="3"/>
  <c r="K39" i="3" s="1"/>
  <c r="O38" i="3"/>
  <c r="M38" i="3"/>
  <c r="L38" i="3"/>
  <c r="N38" i="3" s="1"/>
  <c r="K38" i="3"/>
  <c r="P38" i="3" s="1"/>
  <c r="J38" i="3"/>
  <c r="M37" i="3"/>
  <c r="L37" i="3"/>
  <c r="N37" i="3" s="1"/>
  <c r="O37" i="3" s="1"/>
  <c r="J37" i="3"/>
  <c r="K37" i="3" s="1"/>
  <c r="M36" i="3"/>
  <c r="L36" i="3"/>
  <c r="K36" i="3"/>
  <c r="J36" i="3"/>
  <c r="M35" i="3"/>
  <c r="L35" i="3"/>
  <c r="N35" i="3" s="1"/>
  <c r="O35" i="3" s="1"/>
  <c r="J35" i="3"/>
  <c r="K35" i="3" s="1"/>
  <c r="P35" i="3" s="1"/>
  <c r="M34" i="3"/>
  <c r="L34" i="3"/>
  <c r="N34" i="3" s="1"/>
  <c r="O34" i="3" s="1"/>
  <c r="J34" i="3"/>
  <c r="K34" i="3" s="1"/>
  <c r="P34" i="3" s="1"/>
  <c r="M33" i="3"/>
  <c r="L33" i="3"/>
  <c r="J33" i="3"/>
  <c r="K33" i="3" s="1"/>
  <c r="M32" i="3"/>
  <c r="L32" i="3"/>
  <c r="N32" i="3" s="1"/>
  <c r="O32" i="3" s="1"/>
  <c r="P32" i="3" s="1"/>
  <c r="K32" i="3"/>
  <c r="J32" i="3"/>
  <c r="M31" i="3"/>
  <c r="L31" i="3"/>
  <c r="N31" i="3" s="1"/>
  <c r="O31" i="3" s="1"/>
  <c r="K31" i="3"/>
  <c r="J31" i="3"/>
  <c r="N30" i="3"/>
  <c r="O30" i="3" s="1"/>
  <c r="M30" i="3"/>
  <c r="L30" i="3"/>
  <c r="J30" i="3"/>
  <c r="K30" i="3" s="1"/>
  <c r="N29" i="3"/>
  <c r="O29" i="3" s="1"/>
  <c r="M29" i="3"/>
  <c r="L29" i="3"/>
  <c r="J29" i="3"/>
  <c r="K29" i="3" s="1"/>
  <c r="P29" i="3" s="1"/>
  <c r="M28" i="3"/>
  <c r="L28" i="3"/>
  <c r="J28" i="3"/>
  <c r="K28" i="3" s="1"/>
  <c r="M27" i="3"/>
  <c r="L27" i="3"/>
  <c r="J27" i="3"/>
  <c r="K27" i="3" s="1"/>
  <c r="O26" i="3"/>
  <c r="M26" i="3"/>
  <c r="L26" i="3"/>
  <c r="N26" i="3" s="1"/>
  <c r="K26" i="3"/>
  <c r="P26" i="3" s="1"/>
  <c r="J26" i="3"/>
  <c r="M25" i="3"/>
  <c r="L25" i="3"/>
  <c r="N25" i="3" s="1"/>
  <c r="O25" i="3" s="1"/>
  <c r="J25" i="3"/>
  <c r="K25" i="3" s="1"/>
  <c r="M24" i="3"/>
  <c r="L24" i="3"/>
  <c r="K24" i="3"/>
  <c r="J24" i="3"/>
  <c r="M23" i="3"/>
  <c r="L23" i="3"/>
  <c r="N23" i="3" s="1"/>
  <c r="O23" i="3" s="1"/>
  <c r="K23" i="3"/>
  <c r="P23" i="3" s="1"/>
  <c r="J23" i="3"/>
  <c r="M22" i="3"/>
  <c r="L22" i="3"/>
  <c r="N22" i="3" s="1"/>
  <c r="O22" i="3" s="1"/>
  <c r="J22" i="3"/>
  <c r="K22" i="3" s="1"/>
  <c r="M21" i="3"/>
  <c r="L21" i="3"/>
  <c r="N21" i="3" s="1"/>
  <c r="O21" i="3" s="1"/>
  <c r="J21" i="3"/>
  <c r="K21" i="3" s="1"/>
  <c r="M20" i="3"/>
  <c r="L20" i="3"/>
  <c r="N20" i="3" s="1"/>
  <c r="O20" i="3" s="1"/>
  <c r="K20" i="3"/>
  <c r="J20" i="3"/>
  <c r="M19" i="3"/>
  <c r="L19" i="3"/>
  <c r="N19" i="3" s="1"/>
  <c r="O19" i="3" s="1"/>
  <c r="J19" i="3"/>
  <c r="K19" i="3" s="1"/>
  <c r="M18" i="3"/>
  <c r="L18" i="3"/>
  <c r="N18" i="3" s="1"/>
  <c r="O18" i="3" s="1"/>
  <c r="J18" i="3"/>
  <c r="K18" i="3" s="1"/>
  <c r="P18" i="3" s="1"/>
  <c r="M17" i="3"/>
  <c r="L17" i="3"/>
  <c r="J17" i="3"/>
  <c r="K17" i="3" s="1"/>
  <c r="M16" i="3"/>
  <c r="L16" i="3"/>
  <c r="K16" i="3"/>
  <c r="J16" i="3"/>
  <c r="M15" i="3"/>
  <c r="L15" i="3"/>
  <c r="J15" i="3"/>
  <c r="K15" i="3" s="1"/>
  <c r="O14" i="3"/>
  <c r="N14" i="3"/>
  <c r="M14" i="3"/>
  <c r="L14" i="3"/>
  <c r="K14" i="3"/>
  <c r="P14" i="3" s="1"/>
  <c r="J14" i="3"/>
  <c r="M13" i="3"/>
  <c r="L13" i="3"/>
  <c r="J13" i="3"/>
  <c r="K13" i="3" s="1"/>
  <c r="M12" i="3"/>
  <c r="L12" i="3"/>
  <c r="J12" i="3"/>
  <c r="K12" i="3" s="1"/>
  <c r="M11" i="3"/>
  <c r="L11" i="3"/>
  <c r="J11" i="3"/>
  <c r="K11" i="3" s="1"/>
  <c r="N10" i="3"/>
  <c r="O10" i="3" s="1"/>
  <c r="M10" i="3"/>
  <c r="L10" i="3"/>
  <c r="J10" i="3"/>
  <c r="K10" i="3" s="1"/>
  <c r="P10" i="3" s="1"/>
  <c r="N9" i="3"/>
  <c r="O9" i="3" s="1"/>
  <c r="M9" i="3"/>
  <c r="L9" i="3"/>
  <c r="J9" i="3"/>
  <c r="K9" i="3" s="1"/>
  <c r="M8" i="3"/>
  <c r="L8" i="3"/>
  <c r="J8" i="3"/>
  <c r="K8" i="3" s="1"/>
  <c r="M7" i="3"/>
  <c r="L7" i="3"/>
  <c r="J7" i="3"/>
  <c r="K7" i="3" s="1"/>
  <c r="N6" i="3"/>
  <c r="O6" i="3" s="1"/>
  <c r="M6" i="3"/>
  <c r="L6" i="3"/>
  <c r="J6" i="3"/>
  <c r="K6" i="3" s="1"/>
  <c r="N5" i="3"/>
  <c r="O5" i="3" s="1"/>
  <c r="M5" i="3"/>
  <c r="L5" i="3"/>
  <c r="J5" i="3"/>
  <c r="K5" i="3" s="1"/>
  <c r="P5" i="3" s="1"/>
  <c r="M4" i="3"/>
  <c r="L4" i="3"/>
  <c r="J4" i="3"/>
  <c r="K4" i="3" s="1"/>
  <c r="O3" i="3"/>
  <c r="M3" i="3"/>
  <c r="L3" i="3"/>
  <c r="N3" i="3" s="1"/>
  <c r="K3" i="3"/>
  <c r="P3" i="3" s="1"/>
  <c r="J3" i="3"/>
  <c r="M2" i="3"/>
  <c r="L2" i="3"/>
  <c r="N2" i="3" s="1"/>
  <c r="O2" i="3" s="1"/>
  <c r="J2" i="3"/>
  <c r="K2" i="3" s="1"/>
  <c r="M228" i="2"/>
  <c r="N228" i="2" s="1"/>
  <c r="O228" i="2" s="1"/>
  <c r="L228" i="2"/>
  <c r="J228" i="2"/>
  <c r="K228" i="2" s="1"/>
  <c r="M227" i="2"/>
  <c r="L227" i="2"/>
  <c r="N227" i="2" s="1"/>
  <c r="O227" i="2" s="1"/>
  <c r="P227" i="2" s="1"/>
  <c r="K227" i="2"/>
  <c r="J227" i="2"/>
  <c r="M226" i="2"/>
  <c r="L226" i="2"/>
  <c r="J226" i="2"/>
  <c r="K226" i="2" s="1"/>
  <c r="O225" i="2"/>
  <c r="N225" i="2"/>
  <c r="M225" i="2"/>
  <c r="L225" i="2"/>
  <c r="K225" i="2"/>
  <c r="P225" i="2" s="1"/>
  <c r="J225" i="2"/>
  <c r="M224" i="2"/>
  <c r="L224" i="2"/>
  <c r="J224" i="2"/>
  <c r="K224" i="2" s="1"/>
  <c r="M223" i="2"/>
  <c r="L223" i="2"/>
  <c r="J223" i="2"/>
  <c r="K223" i="2" s="1"/>
  <c r="M222" i="2"/>
  <c r="L222" i="2"/>
  <c r="J222" i="2"/>
  <c r="K222" i="2" s="1"/>
  <c r="N221" i="2"/>
  <c r="O221" i="2" s="1"/>
  <c r="M221" i="2"/>
  <c r="L221" i="2"/>
  <c r="J221" i="2"/>
  <c r="K221" i="2" s="1"/>
  <c r="M220" i="2"/>
  <c r="L220" i="2"/>
  <c r="N220" i="2" s="1"/>
  <c r="O220" i="2" s="1"/>
  <c r="J220" i="2"/>
  <c r="K220" i="2" s="1"/>
  <c r="P220" i="2" s="1"/>
  <c r="M219" i="2"/>
  <c r="L219" i="2"/>
  <c r="J219" i="2"/>
  <c r="K219" i="2" s="1"/>
  <c r="O218" i="2"/>
  <c r="M218" i="2"/>
  <c r="L218" i="2"/>
  <c r="N218" i="2" s="1"/>
  <c r="K218" i="2"/>
  <c r="J218" i="2"/>
  <c r="M217" i="2"/>
  <c r="L217" i="2"/>
  <c r="J217" i="2"/>
  <c r="K217" i="2" s="1"/>
  <c r="M216" i="2"/>
  <c r="L216" i="2"/>
  <c r="N216" i="2" s="1"/>
  <c r="O216" i="2" s="1"/>
  <c r="J216" i="2"/>
  <c r="K216" i="2" s="1"/>
  <c r="P216" i="2" s="1"/>
  <c r="M215" i="2"/>
  <c r="L215" i="2"/>
  <c r="J215" i="2"/>
  <c r="K215" i="2" s="1"/>
  <c r="O214" i="2"/>
  <c r="M214" i="2"/>
  <c r="L214" i="2"/>
  <c r="N214" i="2" s="1"/>
  <c r="K214" i="2"/>
  <c r="J214" i="2"/>
  <c r="M213" i="2"/>
  <c r="L213" i="2"/>
  <c r="J213" i="2"/>
  <c r="K213" i="2" s="1"/>
  <c r="M212" i="2"/>
  <c r="L212" i="2"/>
  <c r="N212" i="2" s="1"/>
  <c r="O212" i="2" s="1"/>
  <c r="J212" i="2"/>
  <c r="K212" i="2" s="1"/>
  <c r="P212" i="2" s="1"/>
  <c r="M211" i="2"/>
  <c r="L211" i="2"/>
  <c r="J211" i="2"/>
  <c r="K211" i="2" s="1"/>
  <c r="O210" i="2"/>
  <c r="M210" i="2"/>
  <c r="L210" i="2"/>
  <c r="N210" i="2" s="1"/>
  <c r="K210" i="2"/>
  <c r="J210" i="2"/>
  <c r="M209" i="2"/>
  <c r="L209" i="2"/>
  <c r="J209" i="2"/>
  <c r="K209" i="2" s="1"/>
  <c r="M208" i="2"/>
  <c r="L208" i="2"/>
  <c r="N208" i="2" s="1"/>
  <c r="O208" i="2" s="1"/>
  <c r="J208" i="2"/>
  <c r="K208" i="2" s="1"/>
  <c r="P208" i="2" s="1"/>
  <c r="M207" i="2"/>
  <c r="L207" i="2"/>
  <c r="J207" i="2"/>
  <c r="K207" i="2" s="1"/>
  <c r="M206" i="2"/>
  <c r="L206" i="2"/>
  <c r="N206" i="2" s="1"/>
  <c r="O206" i="2" s="1"/>
  <c r="K206" i="2"/>
  <c r="J206" i="2"/>
  <c r="M205" i="2"/>
  <c r="L205" i="2"/>
  <c r="J205" i="2"/>
  <c r="K205" i="2" s="1"/>
  <c r="M204" i="2"/>
  <c r="L204" i="2"/>
  <c r="N204" i="2" s="1"/>
  <c r="O204" i="2" s="1"/>
  <c r="J204" i="2"/>
  <c r="K204" i="2" s="1"/>
  <c r="P204" i="2" s="1"/>
  <c r="M203" i="2"/>
  <c r="L203" i="2"/>
  <c r="J203" i="2"/>
  <c r="K203" i="2" s="1"/>
  <c r="M202" i="2"/>
  <c r="L202" i="2"/>
  <c r="N202" i="2" s="1"/>
  <c r="O202" i="2" s="1"/>
  <c r="K202" i="2"/>
  <c r="J202" i="2"/>
  <c r="M201" i="2"/>
  <c r="L201" i="2"/>
  <c r="J201" i="2"/>
  <c r="K201" i="2" s="1"/>
  <c r="M200" i="2"/>
  <c r="L200" i="2"/>
  <c r="N200" i="2" s="1"/>
  <c r="O200" i="2" s="1"/>
  <c r="J200" i="2"/>
  <c r="K200" i="2" s="1"/>
  <c r="P200" i="2" s="1"/>
  <c r="M199" i="2"/>
  <c r="L199" i="2"/>
  <c r="J199" i="2"/>
  <c r="K199" i="2" s="1"/>
  <c r="M198" i="2"/>
  <c r="L198" i="2"/>
  <c r="N198" i="2" s="1"/>
  <c r="O198" i="2" s="1"/>
  <c r="K198" i="2"/>
  <c r="J198" i="2"/>
  <c r="M197" i="2"/>
  <c r="L197" i="2"/>
  <c r="J197" i="2"/>
  <c r="K197" i="2" s="1"/>
  <c r="M196" i="2"/>
  <c r="L196" i="2"/>
  <c r="N196" i="2" s="1"/>
  <c r="O196" i="2" s="1"/>
  <c r="J196" i="2"/>
  <c r="K196" i="2" s="1"/>
  <c r="P196" i="2" s="1"/>
  <c r="M195" i="2"/>
  <c r="L195" i="2"/>
  <c r="J195" i="2"/>
  <c r="K195" i="2" s="1"/>
  <c r="M194" i="2"/>
  <c r="L194" i="2"/>
  <c r="N194" i="2" s="1"/>
  <c r="O194" i="2" s="1"/>
  <c r="K194" i="2"/>
  <c r="J194" i="2"/>
  <c r="M193" i="2"/>
  <c r="L193" i="2"/>
  <c r="J193" i="2"/>
  <c r="K193" i="2" s="1"/>
  <c r="M192" i="2"/>
  <c r="L192" i="2"/>
  <c r="N192" i="2" s="1"/>
  <c r="O192" i="2" s="1"/>
  <c r="J192" i="2"/>
  <c r="K192" i="2" s="1"/>
  <c r="P192" i="2" s="1"/>
  <c r="M191" i="2"/>
  <c r="L191" i="2"/>
  <c r="J191" i="2"/>
  <c r="K191" i="2" s="1"/>
  <c r="M190" i="2"/>
  <c r="L190" i="2"/>
  <c r="N190" i="2" s="1"/>
  <c r="O190" i="2" s="1"/>
  <c r="K190" i="2"/>
  <c r="J190" i="2"/>
  <c r="M189" i="2"/>
  <c r="L189" i="2"/>
  <c r="J189" i="2"/>
  <c r="K189" i="2" s="1"/>
  <c r="M188" i="2"/>
  <c r="L188" i="2"/>
  <c r="N188" i="2" s="1"/>
  <c r="O188" i="2" s="1"/>
  <c r="J188" i="2"/>
  <c r="K188" i="2" s="1"/>
  <c r="P188" i="2" s="1"/>
  <c r="M187" i="2"/>
  <c r="L187" i="2"/>
  <c r="J187" i="2"/>
  <c r="K187" i="2" s="1"/>
  <c r="M186" i="2"/>
  <c r="L186" i="2"/>
  <c r="N186" i="2" s="1"/>
  <c r="O186" i="2" s="1"/>
  <c r="K186" i="2"/>
  <c r="J186" i="2"/>
  <c r="M185" i="2"/>
  <c r="L185" i="2"/>
  <c r="J185" i="2"/>
  <c r="K185" i="2" s="1"/>
  <c r="M184" i="2"/>
  <c r="L184" i="2"/>
  <c r="N184" i="2" s="1"/>
  <c r="O184" i="2" s="1"/>
  <c r="J184" i="2"/>
  <c r="K184" i="2" s="1"/>
  <c r="P184" i="2" s="1"/>
  <c r="M183" i="2"/>
  <c r="L183" i="2"/>
  <c r="J183" i="2"/>
  <c r="K183" i="2" s="1"/>
  <c r="M182" i="2"/>
  <c r="L182" i="2"/>
  <c r="N182" i="2" s="1"/>
  <c r="O182" i="2" s="1"/>
  <c r="K182" i="2"/>
  <c r="J182" i="2"/>
  <c r="M181" i="2"/>
  <c r="L181" i="2"/>
  <c r="J181" i="2"/>
  <c r="K181" i="2" s="1"/>
  <c r="M180" i="2"/>
  <c r="L180" i="2"/>
  <c r="N180" i="2" s="1"/>
  <c r="O180" i="2" s="1"/>
  <c r="J180" i="2"/>
  <c r="K180" i="2" s="1"/>
  <c r="P180" i="2" s="1"/>
  <c r="M179" i="2"/>
  <c r="L179" i="2"/>
  <c r="J179" i="2"/>
  <c r="K179" i="2" s="1"/>
  <c r="M178" i="2"/>
  <c r="L178" i="2"/>
  <c r="N178" i="2" s="1"/>
  <c r="O178" i="2" s="1"/>
  <c r="K178" i="2"/>
  <c r="J178" i="2"/>
  <c r="M177" i="2"/>
  <c r="L177" i="2"/>
  <c r="J177" i="2"/>
  <c r="K177" i="2" s="1"/>
  <c r="M176" i="2"/>
  <c r="L176" i="2"/>
  <c r="N176" i="2" s="1"/>
  <c r="O176" i="2" s="1"/>
  <c r="J176" i="2"/>
  <c r="K176" i="2" s="1"/>
  <c r="P176" i="2" s="1"/>
  <c r="M175" i="2"/>
  <c r="L175" i="2"/>
  <c r="J175" i="2"/>
  <c r="K175" i="2" s="1"/>
  <c r="M174" i="2"/>
  <c r="L174" i="2"/>
  <c r="N174" i="2" s="1"/>
  <c r="O174" i="2" s="1"/>
  <c r="K174" i="2"/>
  <c r="J174" i="2"/>
  <c r="M173" i="2"/>
  <c r="L173" i="2"/>
  <c r="J173" i="2"/>
  <c r="K173" i="2" s="1"/>
  <c r="M172" i="2"/>
  <c r="L172" i="2"/>
  <c r="N172" i="2" s="1"/>
  <c r="O172" i="2" s="1"/>
  <c r="J172" i="2"/>
  <c r="K172" i="2" s="1"/>
  <c r="P172" i="2" s="1"/>
  <c r="M171" i="2"/>
  <c r="L171" i="2"/>
  <c r="J171" i="2"/>
  <c r="K171" i="2" s="1"/>
  <c r="M170" i="2"/>
  <c r="L170" i="2"/>
  <c r="N170" i="2" s="1"/>
  <c r="O170" i="2" s="1"/>
  <c r="K170" i="2"/>
  <c r="J170" i="2"/>
  <c r="M169" i="2"/>
  <c r="L169" i="2"/>
  <c r="J169" i="2"/>
  <c r="K169" i="2" s="1"/>
  <c r="M168" i="2"/>
  <c r="L168" i="2"/>
  <c r="N168" i="2" s="1"/>
  <c r="O168" i="2" s="1"/>
  <c r="J168" i="2"/>
  <c r="K168" i="2" s="1"/>
  <c r="P168" i="2" s="1"/>
  <c r="M167" i="2"/>
  <c r="L167" i="2"/>
  <c r="J167" i="2"/>
  <c r="K167" i="2" s="1"/>
  <c r="M166" i="2"/>
  <c r="L166" i="2"/>
  <c r="N166" i="2" s="1"/>
  <c r="O166" i="2" s="1"/>
  <c r="K166" i="2"/>
  <c r="J166" i="2"/>
  <c r="M165" i="2"/>
  <c r="L165" i="2"/>
  <c r="J165" i="2"/>
  <c r="K165" i="2" s="1"/>
  <c r="M164" i="2"/>
  <c r="L164" i="2"/>
  <c r="N164" i="2" s="1"/>
  <c r="O164" i="2" s="1"/>
  <c r="J164" i="2"/>
  <c r="K164" i="2" s="1"/>
  <c r="P164" i="2" s="1"/>
  <c r="M163" i="2"/>
  <c r="L163" i="2"/>
  <c r="J163" i="2"/>
  <c r="K163" i="2" s="1"/>
  <c r="M162" i="2"/>
  <c r="L162" i="2"/>
  <c r="N162" i="2" s="1"/>
  <c r="O162" i="2" s="1"/>
  <c r="K162" i="2"/>
  <c r="J162" i="2"/>
  <c r="M161" i="2"/>
  <c r="L161" i="2"/>
  <c r="J161" i="2"/>
  <c r="K161" i="2" s="1"/>
  <c r="M160" i="2"/>
  <c r="L160" i="2"/>
  <c r="N160" i="2" s="1"/>
  <c r="O160" i="2" s="1"/>
  <c r="J160" i="2"/>
  <c r="K160" i="2" s="1"/>
  <c r="P160" i="2" s="1"/>
  <c r="M159" i="2"/>
  <c r="L159" i="2"/>
  <c r="J159" i="2"/>
  <c r="K159" i="2" s="1"/>
  <c r="M158" i="2"/>
  <c r="L158" i="2"/>
  <c r="N158" i="2" s="1"/>
  <c r="O158" i="2" s="1"/>
  <c r="K158" i="2"/>
  <c r="J158" i="2"/>
  <c r="M157" i="2"/>
  <c r="L157" i="2"/>
  <c r="J157" i="2"/>
  <c r="K157" i="2" s="1"/>
  <c r="M156" i="2"/>
  <c r="L156" i="2"/>
  <c r="N156" i="2" s="1"/>
  <c r="O156" i="2" s="1"/>
  <c r="J156" i="2"/>
  <c r="K156" i="2" s="1"/>
  <c r="P156" i="2" s="1"/>
  <c r="M155" i="2"/>
  <c r="L155" i="2"/>
  <c r="J155" i="2"/>
  <c r="K155" i="2" s="1"/>
  <c r="M154" i="2"/>
  <c r="L154" i="2"/>
  <c r="N154" i="2" s="1"/>
  <c r="O154" i="2" s="1"/>
  <c r="K154" i="2"/>
  <c r="J154" i="2"/>
  <c r="M153" i="2"/>
  <c r="L153" i="2"/>
  <c r="J153" i="2"/>
  <c r="K153" i="2" s="1"/>
  <c r="M152" i="2"/>
  <c r="L152" i="2"/>
  <c r="N152" i="2" s="1"/>
  <c r="O152" i="2" s="1"/>
  <c r="J152" i="2"/>
  <c r="K152" i="2" s="1"/>
  <c r="P152" i="2" s="1"/>
  <c r="M151" i="2"/>
  <c r="L151" i="2"/>
  <c r="J151" i="2"/>
  <c r="K151" i="2" s="1"/>
  <c r="M150" i="2"/>
  <c r="L150" i="2"/>
  <c r="N150" i="2" s="1"/>
  <c r="O150" i="2" s="1"/>
  <c r="K150" i="2"/>
  <c r="J150" i="2"/>
  <c r="M149" i="2"/>
  <c r="L149" i="2"/>
  <c r="J149" i="2"/>
  <c r="K149" i="2" s="1"/>
  <c r="M148" i="2"/>
  <c r="L148" i="2"/>
  <c r="N148" i="2" s="1"/>
  <c r="O148" i="2" s="1"/>
  <c r="J148" i="2"/>
  <c r="K148" i="2" s="1"/>
  <c r="P148" i="2" s="1"/>
  <c r="M147" i="2"/>
  <c r="N147" i="2" s="1"/>
  <c r="O147" i="2" s="1"/>
  <c r="L147" i="2"/>
  <c r="J147" i="2"/>
  <c r="K147" i="2" s="1"/>
  <c r="M146" i="2"/>
  <c r="L146" i="2"/>
  <c r="J146" i="2"/>
  <c r="K146" i="2" s="1"/>
  <c r="M145" i="2"/>
  <c r="L145" i="2"/>
  <c r="J145" i="2"/>
  <c r="K145" i="2" s="1"/>
  <c r="M144" i="2"/>
  <c r="L144" i="2"/>
  <c r="N144" i="2" s="1"/>
  <c r="O144" i="2" s="1"/>
  <c r="J144" i="2"/>
  <c r="K144" i="2" s="1"/>
  <c r="M143" i="2"/>
  <c r="N143" i="2" s="1"/>
  <c r="O143" i="2" s="1"/>
  <c r="L143" i="2"/>
  <c r="J143" i="2"/>
  <c r="K143" i="2" s="1"/>
  <c r="M142" i="2"/>
  <c r="L142" i="2"/>
  <c r="J142" i="2"/>
  <c r="K142" i="2" s="1"/>
  <c r="M141" i="2"/>
  <c r="L141" i="2"/>
  <c r="N141" i="2" s="1"/>
  <c r="O141" i="2" s="1"/>
  <c r="K141" i="2"/>
  <c r="J141" i="2"/>
  <c r="M140" i="2"/>
  <c r="L140" i="2"/>
  <c r="N140" i="2" s="1"/>
  <c r="O140" i="2" s="1"/>
  <c r="J140" i="2"/>
  <c r="K140" i="2" s="1"/>
  <c r="M139" i="2"/>
  <c r="L139" i="2"/>
  <c r="J139" i="2"/>
  <c r="K139" i="2" s="1"/>
  <c r="M138" i="2"/>
  <c r="L138" i="2"/>
  <c r="N138" i="2" s="1"/>
  <c r="O138" i="2" s="1"/>
  <c r="K138" i="2"/>
  <c r="P138" i="2" s="1"/>
  <c r="J138" i="2"/>
  <c r="M137" i="2"/>
  <c r="L137" i="2"/>
  <c r="N137" i="2" s="1"/>
  <c r="O137" i="2" s="1"/>
  <c r="K137" i="2"/>
  <c r="J137" i="2"/>
  <c r="M136" i="2"/>
  <c r="L136" i="2"/>
  <c r="N136" i="2" s="1"/>
  <c r="O136" i="2" s="1"/>
  <c r="J136" i="2"/>
  <c r="K136" i="2" s="1"/>
  <c r="M135" i="2"/>
  <c r="L135" i="2"/>
  <c r="J135" i="2"/>
  <c r="K135" i="2" s="1"/>
  <c r="M134" i="2"/>
  <c r="L134" i="2"/>
  <c r="J134" i="2"/>
  <c r="K134" i="2" s="1"/>
  <c r="M133" i="2"/>
  <c r="L133" i="2"/>
  <c r="J133" i="2"/>
  <c r="K133" i="2" s="1"/>
  <c r="M132" i="2"/>
  <c r="L132" i="2"/>
  <c r="N132" i="2" s="1"/>
  <c r="O132" i="2" s="1"/>
  <c r="J132" i="2"/>
  <c r="K132" i="2" s="1"/>
  <c r="M131" i="2"/>
  <c r="N131" i="2" s="1"/>
  <c r="O131" i="2" s="1"/>
  <c r="L131" i="2"/>
  <c r="J131" i="2"/>
  <c r="K131" i="2" s="1"/>
  <c r="M130" i="2"/>
  <c r="L130" i="2"/>
  <c r="J130" i="2"/>
  <c r="K130" i="2" s="1"/>
  <c r="M129" i="2"/>
  <c r="L129" i="2"/>
  <c r="J129" i="2"/>
  <c r="K129" i="2" s="1"/>
  <c r="M128" i="2"/>
  <c r="L128" i="2"/>
  <c r="N128" i="2" s="1"/>
  <c r="O128" i="2" s="1"/>
  <c r="J128" i="2"/>
  <c r="K128" i="2" s="1"/>
  <c r="P128" i="2" s="1"/>
  <c r="M127" i="2"/>
  <c r="N127" i="2" s="1"/>
  <c r="O127" i="2" s="1"/>
  <c r="L127" i="2"/>
  <c r="J127" i="2"/>
  <c r="K127" i="2" s="1"/>
  <c r="M126" i="2"/>
  <c r="L126" i="2"/>
  <c r="J126" i="2"/>
  <c r="K126" i="2" s="1"/>
  <c r="M125" i="2"/>
  <c r="L125" i="2"/>
  <c r="N125" i="2" s="1"/>
  <c r="O125" i="2" s="1"/>
  <c r="K125" i="2"/>
  <c r="J125" i="2"/>
  <c r="M124" i="2"/>
  <c r="L124" i="2"/>
  <c r="N124" i="2" s="1"/>
  <c r="O124" i="2" s="1"/>
  <c r="J124" i="2"/>
  <c r="K124" i="2" s="1"/>
  <c r="M123" i="2"/>
  <c r="L123" i="2"/>
  <c r="J123" i="2"/>
  <c r="K123" i="2" s="1"/>
  <c r="M122" i="2"/>
  <c r="L122" i="2"/>
  <c r="N122" i="2" s="1"/>
  <c r="O122" i="2" s="1"/>
  <c r="K122" i="2"/>
  <c r="P122" i="2" s="1"/>
  <c r="J122" i="2"/>
  <c r="M121" i="2"/>
  <c r="L121" i="2"/>
  <c r="N121" i="2" s="1"/>
  <c r="O121" i="2" s="1"/>
  <c r="K121" i="2"/>
  <c r="J121" i="2"/>
  <c r="M120" i="2"/>
  <c r="L120" i="2"/>
  <c r="N120" i="2" s="1"/>
  <c r="O120" i="2" s="1"/>
  <c r="J120" i="2"/>
  <c r="K120" i="2" s="1"/>
  <c r="M119" i="2"/>
  <c r="L119" i="2"/>
  <c r="J119" i="2"/>
  <c r="K119" i="2" s="1"/>
  <c r="M118" i="2"/>
  <c r="L118" i="2"/>
  <c r="J118" i="2"/>
  <c r="K118" i="2" s="1"/>
  <c r="M117" i="2"/>
  <c r="L117" i="2"/>
  <c r="J117" i="2"/>
  <c r="K117" i="2" s="1"/>
  <c r="M116" i="2"/>
  <c r="L116" i="2"/>
  <c r="N116" i="2" s="1"/>
  <c r="O116" i="2" s="1"/>
  <c r="J116" i="2"/>
  <c r="K116" i="2" s="1"/>
  <c r="M115" i="2"/>
  <c r="N115" i="2" s="1"/>
  <c r="O115" i="2" s="1"/>
  <c r="L115" i="2"/>
  <c r="J115" i="2"/>
  <c r="K115" i="2" s="1"/>
  <c r="M114" i="2"/>
  <c r="L114" i="2"/>
  <c r="J114" i="2"/>
  <c r="K114" i="2" s="1"/>
  <c r="M113" i="2"/>
  <c r="L113" i="2"/>
  <c r="J113" i="2"/>
  <c r="K113" i="2" s="1"/>
  <c r="M112" i="2"/>
  <c r="L112" i="2"/>
  <c r="N112" i="2" s="1"/>
  <c r="O112" i="2" s="1"/>
  <c r="J112" i="2"/>
  <c r="K112" i="2" s="1"/>
  <c r="P112" i="2" s="1"/>
  <c r="M111" i="2"/>
  <c r="N111" i="2" s="1"/>
  <c r="O111" i="2" s="1"/>
  <c r="L111" i="2"/>
  <c r="J111" i="2"/>
  <c r="K111" i="2" s="1"/>
  <c r="M110" i="2"/>
  <c r="L110" i="2"/>
  <c r="J110" i="2"/>
  <c r="K110" i="2" s="1"/>
  <c r="M109" i="2"/>
  <c r="L109" i="2"/>
  <c r="N109" i="2" s="1"/>
  <c r="O109" i="2" s="1"/>
  <c r="K109" i="2"/>
  <c r="J109" i="2"/>
  <c r="M108" i="2"/>
  <c r="L108" i="2"/>
  <c r="N108" i="2" s="1"/>
  <c r="O108" i="2" s="1"/>
  <c r="J108" i="2"/>
  <c r="K108" i="2" s="1"/>
  <c r="M107" i="2"/>
  <c r="L107" i="2"/>
  <c r="J107" i="2"/>
  <c r="K107" i="2" s="1"/>
  <c r="M106" i="2"/>
  <c r="L106" i="2"/>
  <c r="N106" i="2" s="1"/>
  <c r="O106" i="2" s="1"/>
  <c r="K106" i="2"/>
  <c r="P106" i="2" s="1"/>
  <c r="J106" i="2"/>
  <c r="M105" i="2"/>
  <c r="L105" i="2"/>
  <c r="N105" i="2" s="1"/>
  <c r="O105" i="2" s="1"/>
  <c r="K105" i="2"/>
  <c r="J105" i="2"/>
  <c r="M104" i="2"/>
  <c r="L104" i="2"/>
  <c r="N104" i="2" s="1"/>
  <c r="O104" i="2" s="1"/>
  <c r="J104" i="2"/>
  <c r="K104" i="2" s="1"/>
  <c r="M103" i="2"/>
  <c r="L103" i="2"/>
  <c r="J103" i="2"/>
  <c r="K103" i="2" s="1"/>
  <c r="M102" i="2"/>
  <c r="L102" i="2"/>
  <c r="J102" i="2"/>
  <c r="K102" i="2" s="1"/>
  <c r="M101" i="2"/>
  <c r="L101" i="2"/>
  <c r="J101" i="2"/>
  <c r="K101" i="2" s="1"/>
  <c r="M100" i="2"/>
  <c r="L100" i="2"/>
  <c r="N100" i="2" s="1"/>
  <c r="O100" i="2" s="1"/>
  <c r="J100" i="2"/>
  <c r="K100" i="2" s="1"/>
  <c r="M99" i="2"/>
  <c r="N99" i="2" s="1"/>
  <c r="O99" i="2" s="1"/>
  <c r="L99" i="2"/>
  <c r="J99" i="2"/>
  <c r="K99" i="2" s="1"/>
  <c r="M98" i="2"/>
  <c r="L98" i="2"/>
  <c r="J98" i="2"/>
  <c r="K98" i="2" s="1"/>
  <c r="M97" i="2"/>
  <c r="L97" i="2"/>
  <c r="J97" i="2"/>
  <c r="K97" i="2" s="1"/>
  <c r="M96" i="2"/>
  <c r="L96" i="2"/>
  <c r="N96" i="2" s="1"/>
  <c r="O96" i="2" s="1"/>
  <c r="J96" i="2"/>
  <c r="K96" i="2" s="1"/>
  <c r="M95" i="2"/>
  <c r="N95" i="2" s="1"/>
  <c r="O95" i="2" s="1"/>
  <c r="L95" i="2"/>
  <c r="J95" i="2"/>
  <c r="K95" i="2" s="1"/>
  <c r="M94" i="2"/>
  <c r="L94" i="2"/>
  <c r="J94" i="2"/>
  <c r="K94" i="2" s="1"/>
  <c r="M93" i="2"/>
  <c r="L93" i="2"/>
  <c r="N93" i="2" s="1"/>
  <c r="O93" i="2" s="1"/>
  <c r="K93" i="2"/>
  <c r="P93" i="2" s="1"/>
  <c r="J93" i="2"/>
  <c r="M92" i="2"/>
  <c r="L92" i="2"/>
  <c r="N92" i="2" s="1"/>
  <c r="O92" i="2" s="1"/>
  <c r="J92" i="2"/>
  <c r="K92" i="2" s="1"/>
  <c r="M91" i="2"/>
  <c r="L91" i="2"/>
  <c r="J91" i="2"/>
  <c r="K91" i="2" s="1"/>
  <c r="M90" i="2"/>
  <c r="L90" i="2"/>
  <c r="N90" i="2" s="1"/>
  <c r="O90" i="2" s="1"/>
  <c r="K90" i="2"/>
  <c r="P90" i="2" s="1"/>
  <c r="J90" i="2"/>
  <c r="M89" i="2"/>
  <c r="L89" i="2"/>
  <c r="N89" i="2" s="1"/>
  <c r="O89" i="2" s="1"/>
  <c r="K89" i="2"/>
  <c r="J89" i="2"/>
  <c r="M88" i="2"/>
  <c r="L88" i="2"/>
  <c r="N88" i="2" s="1"/>
  <c r="O88" i="2" s="1"/>
  <c r="J88" i="2"/>
  <c r="K88" i="2" s="1"/>
  <c r="M87" i="2"/>
  <c r="L87" i="2"/>
  <c r="J87" i="2"/>
  <c r="K87" i="2" s="1"/>
  <c r="M86" i="2"/>
  <c r="L86" i="2"/>
  <c r="J86" i="2"/>
  <c r="K86" i="2" s="1"/>
  <c r="M85" i="2"/>
  <c r="L85" i="2"/>
  <c r="J85" i="2"/>
  <c r="K85" i="2" s="1"/>
  <c r="M84" i="2"/>
  <c r="L84" i="2"/>
  <c r="N84" i="2" s="1"/>
  <c r="O84" i="2" s="1"/>
  <c r="J84" i="2"/>
  <c r="K84" i="2" s="1"/>
  <c r="M83" i="2"/>
  <c r="N83" i="2" s="1"/>
  <c r="O83" i="2" s="1"/>
  <c r="L83" i="2"/>
  <c r="J83" i="2"/>
  <c r="K83" i="2" s="1"/>
  <c r="M82" i="2"/>
  <c r="L82" i="2"/>
  <c r="J82" i="2"/>
  <c r="K82" i="2" s="1"/>
  <c r="M81" i="2"/>
  <c r="L81" i="2"/>
  <c r="J81" i="2"/>
  <c r="K81" i="2" s="1"/>
  <c r="M80" i="2"/>
  <c r="L80" i="2"/>
  <c r="N80" i="2" s="1"/>
  <c r="O80" i="2" s="1"/>
  <c r="J80" i="2"/>
  <c r="K80" i="2" s="1"/>
  <c r="M79" i="2"/>
  <c r="L79" i="2"/>
  <c r="N79" i="2" s="1"/>
  <c r="O79" i="2" s="1"/>
  <c r="J79" i="2"/>
  <c r="K79" i="2" s="1"/>
  <c r="M78" i="2"/>
  <c r="L78" i="2"/>
  <c r="N78" i="2" s="1"/>
  <c r="O78" i="2" s="1"/>
  <c r="K78" i="2"/>
  <c r="P78" i="2" s="1"/>
  <c r="J78" i="2"/>
  <c r="M77" i="2"/>
  <c r="L77" i="2"/>
  <c r="N77" i="2" s="1"/>
  <c r="O77" i="2" s="1"/>
  <c r="K77" i="2"/>
  <c r="J77" i="2"/>
  <c r="M76" i="2"/>
  <c r="L76" i="2"/>
  <c r="N76" i="2" s="1"/>
  <c r="O76" i="2" s="1"/>
  <c r="J76" i="2"/>
  <c r="K76" i="2" s="1"/>
  <c r="M75" i="2"/>
  <c r="L75" i="2"/>
  <c r="J75" i="2"/>
  <c r="K75" i="2" s="1"/>
  <c r="M74" i="2"/>
  <c r="L74" i="2"/>
  <c r="K74" i="2"/>
  <c r="J74" i="2"/>
  <c r="O73" i="2"/>
  <c r="M73" i="2"/>
  <c r="L73" i="2"/>
  <c r="N73" i="2" s="1"/>
  <c r="J73" i="2"/>
  <c r="K73" i="2" s="1"/>
  <c r="P73" i="2" s="1"/>
  <c r="M72" i="2"/>
  <c r="L72" i="2"/>
  <c r="N72" i="2" s="1"/>
  <c r="O72" i="2" s="1"/>
  <c r="K72" i="2"/>
  <c r="J72" i="2"/>
  <c r="M71" i="2"/>
  <c r="L71" i="2"/>
  <c r="J71" i="2"/>
  <c r="K71" i="2" s="1"/>
  <c r="M70" i="2"/>
  <c r="L70" i="2"/>
  <c r="K70" i="2"/>
  <c r="J70" i="2"/>
  <c r="M69" i="2"/>
  <c r="L69" i="2"/>
  <c r="N69" i="2" s="1"/>
  <c r="O69" i="2" s="1"/>
  <c r="K69" i="2"/>
  <c r="J69" i="2"/>
  <c r="M68" i="2"/>
  <c r="L68" i="2"/>
  <c r="N68" i="2" s="1"/>
  <c r="O68" i="2" s="1"/>
  <c r="J68" i="2"/>
  <c r="K68" i="2" s="1"/>
  <c r="M67" i="2"/>
  <c r="L67" i="2"/>
  <c r="N67" i="2" s="1"/>
  <c r="O67" i="2" s="1"/>
  <c r="J67" i="2"/>
  <c r="K67" i="2" s="1"/>
  <c r="M66" i="2"/>
  <c r="L66" i="2"/>
  <c r="J66" i="2"/>
  <c r="K66" i="2" s="1"/>
  <c r="M65" i="2"/>
  <c r="L65" i="2"/>
  <c r="N65" i="2" s="1"/>
  <c r="O65" i="2" s="1"/>
  <c r="J65" i="2"/>
  <c r="K65" i="2" s="1"/>
  <c r="M64" i="2"/>
  <c r="L64" i="2"/>
  <c r="J64" i="2"/>
  <c r="K64" i="2" s="1"/>
  <c r="M63" i="2"/>
  <c r="L63" i="2"/>
  <c r="J63" i="2"/>
  <c r="K63" i="2" s="1"/>
  <c r="M62" i="2"/>
  <c r="L62" i="2"/>
  <c r="N62" i="2" s="1"/>
  <c r="O62" i="2" s="1"/>
  <c r="K62" i="2"/>
  <c r="J62" i="2"/>
  <c r="M61" i="2"/>
  <c r="L61" i="2"/>
  <c r="N61" i="2" s="1"/>
  <c r="O61" i="2" s="1"/>
  <c r="K61" i="2"/>
  <c r="J61" i="2"/>
  <c r="N60" i="2"/>
  <c r="O60" i="2" s="1"/>
  <c r="M60" i="2"/>
  <c r="L60" i="2"/>
  <c r="J60" i="2"/>
  <c r="K60" i="2" s="1"/>
  <c r="P60" i="2" s="1"/>
  <c r="M59" i="2"/>
  <c r="N59" i="2" s="1"/>
  <c r="O59" i="2" s="1"/>
  <c r="L59" i="2"/>
  <c r="J59" i="2"/>
  <c r="K59" i="2" s="1"/>
  <c r="M58" i="2"/>
  <c r="L58" i="2"/>
  <c r="J58" i="2"/>
  <c r="K58" i="2" s="1"/>
  <c r="M57" i="2"/>
  <c r="L57" i="2"/>
  <c r="J57" i="2"/>
  <c r="K57" i="2" s="1"/>
  <c r="M56" i="2"/>
  <c r="L56" i="2"/>
  <c r="K56" i="2"/>
  <c r="J56" i="2"/>
  <c r="M55" i="2"/>
  <c r="N55" i="2" s="1"/>
  <c r="O55" i="2" s="1"/>
  <c r="L55" i="2"/>
  <c r="J55" i="2"/>
  <c r="K55" i="2" s="1"/>
  <c r="M54" i="2"/>
  <c r="L54" i="2"/>
  <c r="J54" i="2"/>
  <c r="K54" i="2" s="1"/>
  <c r="M53" i="2"/>
  <c r="L53" i="2"/>
  <c r="K53" i="2"/>
  <c r="J53" i="2"/>
  <c r="N52" i="2"/>
  <c r="O52" i="2" s="1"/>
  <c r="M52" i="2"/>
  <c r="L52" i="2"/>
  <c r="J52" i="2"/>
  <c r="K52" i="2" s="1"/>
  <c r="N51" i="2"/>
  <c r="O51" i="2" s="1"/>
  <c r="M51" i="2"/>
  <c r="L51" i="2"/>
  <c r="J51" i="2"/>
  <c r="K51" i="2" s="1"/>
  <c r="M50" i="2"/>
  <c r="L50" i="2"/>
  <c r="K50" i="2"/>
  <c r="J50" i="2"/>
  <c r="M49" i="2"/>
  <c r="L49" i="2"/>
  <c r="J49" i="2"/>
  <c r="K49" i="2" s="1"/>
  <c r="M48" i="2"/>
  <c r="L48" i="2"/>
  <c r="N48" i="2" s="1"/>
  <c r="O48" i="2" s="1"/>
  <c r="J48" i="2"/>
  <c r="K48" i="2" s="1"/>
  <c r="M47" i="2"/>
  <c r="L47" i="2"/>
  <c r="N47" i="2" s="1"/>
  <c r="O47" i="2" s="1"/>
  <c r="J47" i="2"/>
  <c r="K47" i="2" s="1"/>
  <c r="M46" i="2"/>
  <c r="L46" i="2"/>
  <c r="K46" i="2"/>
  <c r="J46" i="2"/>
  <c r="M45" i="2"/>
  <c r="L45" i="2"/>
  <c r="N45" i="2" s="1"/>
  <c r="O45" i="2" s="1"/>
  <c r="J45" i="2"/>
  <c r="K45" i="2" s="1"/>
  <c r="P45" i="2" s="1"/>
  <c r="N44" i="2"/>
  <c r="O44" i="2" s="1"/>
  <c r="M44" i="2"/>
  <c r="L44" i="2"/>
  <c r="J44" i="2"/>
  <c r="K44" i="2" s="1"/>
  <c r="P44" i="2" s="1"/>
  <c r="M43" i="2"/>
  <c r="L43" i="2"/>
  <c r="J43" i="2"/>
  <c r="K43" i="2" s="1"/>
  <c r="M42" i="2"/>
  <c r="L42" i="2"/>
  <c r="K42" i="2"/>
  <c r="J42" i="2"/>
  <c r="M41" i="2"/>
  <c r="L41" i="2"/>
  <c r="J41" i="2"/>
  <c r="K41" i="2" s="1"/>
  <c r="M40" i="2"/>
  <c r="L40" i="2"/>
  <c r="N40" i="2" s="1"/>
  <c r="O40" i="2" s="1"/>
  <c r="J40" i="2"/>
  <c r="K40" i="2" s="1"/>
  <c r="M39" i="2"/>
  <c r="L39" i="2"/>
  <c r="N39" i="2" s="1"/>
  <c r="O39" i="2" s="1"/>
  <c r="J39" i="2"/>
  <c r="K39" i="2" s="1"/>
  <c r="M38" i="2"/>
  <c r="L38" i="2"/>
  <c r="K38" i="2"/>
  <c r="J38" i="2"/>
  <c r="M37" i="2"/>
  <c r="L37" i="2"/>
  <c r="N37" i="2" s="1"/>
  <c r="O37" i="2" s="1"/>
  <c r="J37" i="2"/>
  <c r="K37" i="2" s="1"/>
  <c r="P37" i="2" s="1"/>
  <c r="N36" i="2"/>
  <c r="O36" i="2" s="1"/>
  <c r="M36" i="2"/>
  <c r="L36" i="2"/>
  <c r="J36" i="2"/>
  <c r="K36" i="2" s="1"/>
  <c r="P36" i="2" s="1"/>
  <c r="M35" i="2"/>
  <c r="L35" i="2"/>
  <c r="J35" i="2"/>
  <c r="K35" i="2" s="1"/>
  <c r="M34" i="2"/>
  <c r="L34" i="2"/>
  <c r="K34" i="2"/>
  <c r="J34" i="2"/>
  <c r="M33" i="2"/>
  <c r="L33" i="2"/>
  <c r="J33" i="2"/>
  <c r="K33" i="2" s="1"/>
  <c r="M32" i="2"/>
  <c r="L32" i="2"/>
  <c r="N32" i="2" s="1"/>
  <c r="O32" i="2" s="1"/>
  <c r="J32" i="2"/>
  <c r="K32" i="2" s="1"/>
  <c r="M31" i="2"/>
  <c r="L31" i="2"/>
  <c r="N31" i="2" s="1"/>
  <c r="O31" i="2" s="1"/>
  <c r="J31" i="2"/>
  <c r="K31" i="2" s="1"/>
  <c r="M30" i="2"/>
  <c r="L30" i="2"/>
  <c r="K30" i="2"/>
  <c r="J30" i="2"/>
  <c r="M29" i="2"/>
  <c r="L29" i="2"/>
  <c r="N29" i="2" s="1"/>
  <c r="O29" i="2" s="1"/>
  <c r="J29" i="2"/>
  <c r="K29" i="2" s="1"/>
  <c r="P29" i="2" s="1"/>
  <c r="N28" i="2"/>
  <c r="O28" i="2" s="1"/>
  <c r="M28" i="2"/>
  <c r="L28" i="2"/>
  <c r="J28" i="2"/>
  <c r="K28" i="2" s="1"/>
  <c r="P28" i="2" s="1"/>
  <c r="M27" i="2"/>
  <c r="L27" i="2"/>
  <c r="J27" i="2"/>
  <c r="K27" i="2" s="1"/>
  <c r="M26" i="2"/>
  <c r="L26" i="2"/>
  <c r="K26" i="2"/>
  <c r="J26" i="2"/>
  <c r="M25" i="2"/>
  <c r="L25" i="2"/>
  <c r="J25" i="2"/>
  <c r="K25" i="2" s="1"/>
  <c r="M24" i="2"/>
  <c r="L24" i="2"/>
  <c r="N24" i="2" s="1"/>
  <c r="O24" i="2" s="1"/>
  <c r="J24" i="2"/>
  <c r="K24" i="2" s="1"/>
  <c r="M23" i="2"/>
  <c r="L23" i="2"/>
  <c r="N23" i="2" s="1"/>
  <c r="O23" i="2" s="1"/>
  <c r="J23" i="2"/>
  <c r="K23" i="2" s="1"/>
  <c r="M22" i="2"/>
  <c r="L22" i="2"/>
  <c r="K22" i="2"/>
  <c r="J22" i="2"/>
  <c r="M21" i="2"/>
  <c r="L21" i="2"/>
  <c r="N21" i="2" s="1"/>
  <c r="O21" i="2" s="1"/>
  <c r="J21" i="2"/>
  <c r="K21" i="2" s="1"/>
  <c r="P21" i="2" s="1"/>
  <c r="N20" i="2"/>
  <c r="O20" i="2" s="1"/>
  <c r="M20" i="2"/>
  <c r="L20" i="2"/>
  <c r="J20" i="2"/>
  <c r="K20" i="2" s="1"/>
  <c r="P20" i="2" s="1"/>
  <c r="M19" i="2"/>
  <c r="L19" i="2"/>
  <c r="J19" i="2"/>
  <c r="K19" i="2" s="1"/>
  <c r="M18" i="2"/>
  <c r="L18" i="2"/>
  <c r="K18" i="2"/>
  <c r="J18" i="2"/>
  <c r="M17" i="2"/>
  <c r="L17" i="2"/>
  <c r="J17" i="2"/>
  <c r="K17" i="2" s="1"/>
  <c r="M16" i="2"/>
  <c r="L16" i="2"/>
  <c r="N16" i="2" s="1"/>
  <c r="O16" i="2" s="1"/>
  <c r="J16" i="2"/>
  <c r="K16" i="2" s="1"/>
  <c r="M15" i="2"/>
  <c r="L15" i="2"/>
  <c r="N15" i="2" s="1"/>
  <c r="O15" i="2" s="1"/>
  <c r="J15" i="2"/>
  <c r="K15" i="2" s="1"/>
  <c r="M14" i="2"/>
  <c r="L14" i="2"/>
  <c r="K14" i="2"/>
  <c r="J14" i="2"/>
  <c r="M13" i="2"/>
  <c r="L13" i="2"/>
  <c r="N13" i="2" s="1"/>
  <c r="O13" i="2" s="1"/>
  <c r="J13" i="2"/>
  <c r="K13" i="2" s="1"/>
  <c r="P13" i="2" s="1"/>
  <c r="N12" i="2"/>
  <c r="O12" i="2" s="1"/>
  <c r="M12" i="2"/>
  <c r="L12" i="2"/>
  <c r="J12" i="2"/>
  <c r="K12" i="2" s="1"/>
  <c r="P12" i="2" s="1"/>
  <c r="M11" i="2"/>
  <c r="L11" i="2"/>
  <c r="J11" i="2"/>
  <c r="K11" i="2" s="1"/>
  <c r="M10" i="2"/>
  <c r="L10" i="2"/>
  <c r="K10" i="2"/>
  <c r="J10" i="2"/>
  <c r="M9" i="2"/>
  <c r="L9" i="2"/>
  <c r="J9" i="2"/>
  <c r="K9" i="2" s="1"/>
  <c r="M8" i="2"/>
  <c r="L8" i="2"/>
  <c r="N8" i="2" s="1"/>
  <c r="O8" i="2" s="1"/>
  <c r="J8" i="2"/>
  <c r="K8" i="2" s="1"/>
  <c r="M7" i="2"/>
  <c r="L7" i="2"/>
  <c r="N7" i="2" s="1"/>
  <c r="O7" i="2" s="1"/>
  <c r="J7" i="2"/>
  <c r="K7" i="2" s="1"/>
  <c r="M6" i="2"/>
  <c r="L6" i="2"/>
  <c r="K6" i="2"/>
  <c r="J6" i="2"/>
  <c r="M5" i="2"/>
  <c r="L5" i="2"/>
  <c r="N5" i="2" s="1"/>
  <c r="O5" i="2" s="1"/>
  <c r="J5" i="2"/>
  <c r="K5" i="2" s="1"/>
  <c r="N4" i="2"/>
  <c r="O4" i="2" s="1"/>
  <c r="M4" i="2"/>
  <c r="L4" i="2"/>
  <c r="J4" i="2"/>
  <c r="K4" i="2" s="1"/>
  <c r="P4" i="2" s="1"/>
  <c r="M3" i="2"/>
  <c r="L3" i="2"/>
  <c r="J3" i="2"/>
  <c r="K3" i="2" s="1"/>
  <c r="M2" i="2"/>
  <c r="L2" i="2"/>
  <c r="K2" i="2"/>
  <c r="J2" i="2"/>
  <c r="P57" i="2" l="1"/>
  <c r="N3" i="2"/>
  <c r="O3" i="2" s="1"/>
  <c r="P8" i="2"/>
  <c r="N11" i="2"/>
  <c r="O11" i="2" s="1"/>
  <c r="P16" i="2"/>
  <c r="N19" i="2"/>
  <c r="O19" i="2" s="1"/>
  <c r="P24" i="2"/>
  <c r="N27" i="2"/>
  <c r="O27" i="2" s="1"/>
  <c r="P32" i="2"/>
  <c r="N35" i="2"/>
  <c r="O35" i="2" s="1"/>
  <c r="P40" i="2"/>
  <c r="N43" i="2"/>
  <c r="O43" i="2" s="1"/>
  <c r="P48" i="2"/>
  <c r="P53" i="2"/>
  <c r="N56" i="2"/>
  <c r="O56" i="2" s="1"/>
  <c r="P56" i="2" s="1"/>
  <c r="N64" i="2"/>
  <c r="O64" i="2" s="1"/>
  <c r="N74" i="2"/>
  <c r="O74" i="2" s="1"/>
  <c r="P74" i="2" s="1"/>
  <c r="N75" i="2"/>
  <c r="O75" i="2" s="1"/>
  <c r="P80" i="2"/>
  <c r="P109" i="2"/>
  <c r="P30" i="3"/>
  <c r="P66" i="3"/>
  <c r="N9" i="2"/>
  <c r="O9" i="2" s="1"/>
  <c r="P9" i="2" s="1"/>
  <c r="N17" i="2"/>
  <c r="O17" i="2" s="1"/>
  <c r="P17" i="2" s="1"/>
  <c r="N25" i="2"/>
  <c r="O25" i="2" s="1"/>
  <c r="P25" i="2" s="1"/>
  <c r="N33" i="2"/>
  <c r="O33" i="2" s="1"/>
  <c r="P33" i="2" s="1"/>
  <c r="N41" i="2"/>
  <c r="O41" i="2" s="1"/>
  <c r="P41" i="2" s="1"/>
  <c r="N49" i="2"/>
  <c r="O49" i="2" s="1"/>
  <c r="P49" i="2" s="1"/>
  <c r="N53" i="2"/>
  <c r="O53" i="2" s="1"/>
  <c r="N58" i="2"/>
  <c r="O58" i="2" s="1"/>
  <c r="P58" i="2" s="1"/>
  <c r="P61" i="2"/>
  <c r="P62" i="2"/>
  <c r="N63" i="2"/>
  <c r="O63" i="2" s="1"/>
  <c r="P63" i="2" s="1"/>
  <c r="P69" i="2"/>
  <c r="P72" i="2"/>
  <c r="P76" i="2"/>
  <c r="P79" i="2"/>
  <c r="P96" i="2"/>
  <c r="P107" i="2"/>
  <c r="P125" i="2"/>
  <c r="P111" i="3"/>
  <c r="P42" i="3"/>
  <c r="P47" i="3"/>
  <c r="P3" i="2"/>
  <c r="P7" i="2"/>
  <c r="P11" i="2"/>
  <c r="P15" i="2"/>
  <c r="P19" i="2"/>
  <c r="P23" i="2"/>
  <c r="P27" i="2"/>
  <c r="P31" i="2"/>
  <c r="P35" i="2"/>
  <c r="P39" i="2"/>
  <c r="P43" i="2"/>
  <c r="P47" i="2"/>
  <c r="P52" i="2"/>
  <c r="N57" i="2"/>
  <c r="O57" i="2" s="1"/>
  <c r="N71" i="2"/>
  <c r="O71" i="2" s="1"/>
  <c r="N81" i="2"/>
  <c r="O81" i="2" s="1"/>
  <c r="N85" i="2"/>
  <c r="O85" i="2" s="1"/>
  <c r="N86" i="2"/>
  <c r="O86" i="2" s="1"/>
  <c r="P86" i="2" s="1"/>
  <c r="N87" i="2"/>
  <c r="O87" i="2" s="1"/>
  <c r="P87" i="2" s="1"/>
  <c r="N91" i="2"/>
  <c r="O91" i="2" s="1"/>
  <c r="P91" i="2" s="1"/>
  <c r="N94" i="2"/>
  <c r="O94" i="2" s="1"/>
  <c r="P94" i="2" s="1"/>
  <c r="N97" i="2"/>
  <c r="O97" i="2" s="1"/>
  <c r="N101" i="2"/>
  <c r="O101" i="2" s="1"/>
  <c r="N102" i="2"/>
  <c r="O102" i="2" s="1"/>
  <c r="P102" i="2" s="1"/>
  <c r="N103" i="2"/>
  <c r="O103" i="2" s="1"/>
  <c r="P103" i="2" s="1"/>
  <c r="N107" i="2"/>
  <c r="O107" i="2" s="1"/>
  <c r="N110" i="2"/>
  <c r="O110" i="2" s="1"/>
  <c r="P110" i="2" s="1"/>
  <c r="N113" i="2"/>
  <c r="O113" i="2" s="1"/>
  <c r="N117" i="2"/>
  <c r="O117" i="2" s="1"/>
  <c r="N118" i="2"/>
  <c r="O118" i="2" s="1"/>
  <c r="P118" i="2" s="1"/>
  <c r="N119" i="2"/>
  <c r="O119" i="2" s="1"/>
  <c r="P119" i="2" s="1"/>
  <c r="N123" i="2"/>
  <c r="O123" i="2" s="1"/>
  <c r="P123" i="2" s="1"/>
  <c r="N126" i="2"/>
  <c r="O126" i="2" s="1"/>
  <c r="P126" i="2" s="1"/>
  <c r="N129" i="2"/>
  <c r="O129" i="2" s="1"/>
  <c r="N133" i="2"/>
  <c r="O133" i="2" s="1"/>
  <c r="N134" i="2"/>
  <c r="O134" i="2" s="1"/>
  <c r="P134" i="2" s="1"/>
  <c r="N135" i="2"/>
  <c r="O135" i="2" s="1"/>
  <c r="P135" i="2" s="1"/>
  <c r="N139" i="2"/>
  <c r="O139" i="2" s="1"/>
  <c r="N142" i="2"/>
  <c r="O142" i="2" s="1"/>
  <c r="P142" i="2" s="1"/>
  <c r="N145" i="2"/>
  <c r="O145" i="2" s="1"/>
  <c r="N149" i="2"/>
  <c r="O149" i="2" s="1"/>
  <c r="N151" i="2"/>
  <c r="O151" i="2" s="1"/>
  <c r="N153" i="2"/>
  <c r="O153" i="2" s="1"/>
  <c r="N155" i="2"/>
  <c r="O155" i="2" s="1"/>
  <c r="N157" i="2"/>
  <c r="O157" i="2" s="1"/>
  <c r="N159" i="2"/>
  <c r="O159" i="2" s="1"/>
  <c r="N161" i="2"/>
  <c r="O161" i="2" s="1"/>
  <c r="N163" i="2"/>
  <c r="O163" i="2" s="1"/>
  <c r="N165" i="2"/>
  <c r="O165" i="2" s="1"/>
  <c r="N167" i="2"/>
  <c r="O167" i="2" s="1"/>
  <c r="N169" i="2"/>
  <c r="O169" i="2" s="1"/>
  <c r="N171" i="2"/>
  <c r="O171" i="2" s="1"/>
  <c r="N173" i="2"/>
  <c r="O173" i="2" s="1"/>
  <c r="N175" i="2"/>
  <c r="O175" i="2" s="1"/>
  <c r="N177" i="2"/>
  <c r="O177" i="2" s="1"/>
  <c r="N179" i="2"/>
  <c r="O179" i="2" s="1"/>
  <c r="N181" i="2"/>
  <c r="O181" i="2" s="1"/>
  <c r="N183" i="2"/>
  <c r="O183" i="2" s="1"/>
  <c r="N185" i="2"/>
  <c r="O185" i="2" s="1"/>
  <c r="N187" i="2"/>
  <c r="O187" i="2" s="1"/>
  <c r="N189" i="2"/>
  <c r="O189" i="2" s="1"/>
  <c r="N191" i="2"/>
  <c r="O191" i="2" s="1"/>
  <c r="N193" i="2"/>
  <c r="O193" i="2" s="1"/>
  <c r="N195" i="2"/>
  <c r="O195" i="2" s="1"/>
  <c r="N197" i="2"/>
  <c r="O197" i="2" s="1"/>
  <c r="N199" i="2"/>
  <c r="O199" i="2" s="1"/>
  <c r="N201" i="2"/>
  <c r="O201" i="2" s="1"/>
  <c r="N203" i="2"/>
  <c r="O203" i="2" s="1"/>
  <c r="N205" i="2"/>
  <c r="O205" i="2" s="1"/>
  <c r="N207" i="2"/>
  <c r="O207" i="2" s="1"/>
  <c r="N209" i="2"/>
  <c r="O209" i="2" s="1"/>
  <c r="N211" i="2"/>
  <c r="O211" i="2" s="1"/>
  <c r="N213" i="2"/>
  <c r="O213" i="2" s="1"/>
  <c r="N215" i="2"/>
  <c r="O215" i="2" s="1"/>
  <c r="N217" i="2"/>
  <c r="O217" i="2" s="1"/>
  <c r="N219" i="2"/>
  <c r="O219" i="2" s="1"/>
  <c r="N222" i="2"/>
  <c r="O222" i="2" s="1"/>
  <c r="P222" i="2" s="1"/>
  <c r="N224" i="2"/>
  <c r="O224" i="2" s="1"/>
  <c r="N4" i="3"/>
  <c r="O4" i="3" s="1"/>
  <c r="P4" i="3" s="1"/>
  <c r="N7" i="3"/>
  <c r="O7" i="3" s="1"/>
  <c r="N11" i="3"/>
  <c r="O11" i="3" s="1"/>
  <c r="P11" i="3" s="1"/>
  <c r="N13" i="3"/>
  <c r="O13" i="3" s="1"/>
  <c r="P63" i="3"/>
  <c r="N65" i="3"/>
  <c r="O65" i="3" s="1"/>
  <c r="N69" i="3"/>
  <c r="O69" i="3" s="1"/>
  <c r="N89" i="3"/>
  <c r="O89" i="3" s="1"/>
  <c r="P114" i="3"/>
  <c r="P138" i="3"/>
  <c r="N82" i="2"/>
  <c r="O82" i="2" s="1"/>
  <c r="P82" i="2" s="1"/>
  <c r="P92" i="2"/>
  <c r="N98" i="2"/>
  <c r="O98" i="2" s="1"/>
  <c r="P98" i="2" s="1"/>
  <c r="P108" i="2"/>
  <c r="N114" i="2"/>
  <c r="O114" i="2" s="1"/>
  <c r="P114" i="2" s="1"/>
  <c r="P124" i="2"/>
  <c r="N130" i="2"/>
  <c r="O130" i="2" s="1"/>
  <c r="P130" i="2" s="1"/>
  <c r="P140" i="2"/>
  <c r="N146" i="2"/>
  <c r="O146" i="2" s="1"/>
  <c r="P146" i="2" s="1"/>
  <c r="N226" i="2"/>
  <c r="O226" i="2" s="1"/>
  <c r="P226" i="2" s="1"/>
  <c r="N15" i="3"/>
  <c r="O15" i="3" s="1"/>
  <c r="P19" i="3"/>
  <c r="P31" i="3"/>
  <c r="N33" i="3"/>
  <c r="O33" i="3" s="1"/>
  <c r="P46" i="3"/>
  <c r="P50" i="3"/>
  <c r="P58" i="3"/>
  <c r="P61" i="3"/>
  <c r="N63" i="3"/>
  <c r="O63" i="3" s="1"/>
  <c r="P64" i="3"/>
  <c r="N67" i="3"/>
  <c r="O67" i="3" s="1"/>
  <c r="P67" i="3" s="1"/>
  <c r="P74" i="3"/>
  <c r="P78" i="3"/>
  <c r="N82" i="3"/>
  <c r="O82" i="3" s="1"/>
  <c r="P82" i="3" s="1"/>
  <c r="P94" i="3"/>
  <c r="P146" i="3"/>
  <c r="P139" i="2"/>
  <c r="P141" i="2"/>
  <c r="P144" i="2"/>
  <c r="P20" i="3"/>
  <c r="P48" i="3"/>
  <c r="P70" i="3"/>
  <c r="P75" i="3"/>
  <c r="P76" i="3"/>
  <c r="P86" i="3"/>
  <c r="P90" i="3"/>
  <c r="P126" i="3"/>
  <c r="P150" i="3"/>
  <c r="N16" i="3"/>
  <c r="O16" i="3" s="1"/>
  <c r="P16" i="3" s="1"/>
  <c r="N17" i="3"/>
  <c r="O17" i="3" s="1"/>
  <c r="P21" i="3"/>
  <c r="P22" i="3"/>
  <c r="P25" i="3"/>
  <c r="N27" i="3"/>
  <c r="O27" i="3" s="1"/>
  <c r="P27" i="3" s="1"/>
  <c r="N28" i="3"/>
  <c r="O28" i="3" s="1"/>
  <c r="P28" i="3" s="1"/>
  <c r="N39" i="3"/>
  <c r="O39" i="3" s="1"/>
  <c r="P39" i="3" s="1"/>
  <c r="P45" i="3"/>
  <c r="N47" i="3"/>
  <c r="O47" i="3" s="1"/>
  <c r="P57" i="3"/>
  <c r="N59" i="3"/>
  <c r="O59" i="3" s="1"/>
  <c r="P59" i="3" s="1"/>
  <c r="N60" i="3"/>
  <c r="O60" i="3" s="1"/>
  <c r="P60" i="3" s="1"/>
  <c r="N71" i="3"/>
  <c r="O71" i="3" s="1"/>
  <c r="P71" i="3" s="1"/>
  <c r="P77" i="3"/>
  <c r="N79" i="3"/>
  <c r="O79" i="3" s="1"/>
  <c r="P79" i="3" s="1"/>
  <c r="P89" i="3"/>
  <c r="N91" i="3"/>
  <c r="O91" i="3" s="1"/>
  <c r="P91" i="3" s="1"/>
  <c r="N92" i="3"/>
  <c r="O92" i="3" s="1"/>
  <c r="P92" i="3" s="1"/>
  <c r="N103" i="3"/>
  <c r="O103" i="3" s="1"/>
  <c r="P103" i="3" s="1"/>
  <c r="P109" i="3"/>
  <c r="N111" i="3"/>
  <c r="O111" i="3" s="1"/>
  <c r="P121" i="3"/>
  <c r="N123" i="3"/>
  <c r="O123" i="3" s="1"/>
  <c r="P123" i="3" s="1"/>
  <c r="N124" i="3"/>
  <c r="O124" i="3" s="1"/>
  <c r="P124" i="3" s="1"/>
  <c r="N135" i="3"/>
  <c r="O135" i="3" s="1"/>
  <c r="P135" i="3" s="1"/>
  <c r="P141" i="3"/>
  <c r="N143" i="3"/>
  <c r="O143" i="3" s="1"/>
  <c r="P143" i="3" s="1"/>
  <c r="P153" i="3"/>
  <c r="N161" i="3"/>
  <c r="O161" i="3" s="1"/>
  <c r="P174" i="3"/>
  <c r="P291" i="3"/>
  <c r="P306" i="3"/>
  <c r="N99" i="3"/>
  <c r="O99" i="3" s="1"/>
  <c r="P99" i="3" s="1"/>
  <c r="P102" i="3"/>
  <c r="P110" i="3"/>
  <c r="N112" i="3"/>
  <c r="O112" i="3" s="1"/>
  <c r="P112" i="3" s="1"/>
  <c r="P122" i="3"/>
  <c r="N131" i="3"/>
  <c r="O131" i="3" s="1"/>
  <c r="P131" i="3" s="1"/>
  <c r="P134" i="3"/>
  <c r="P142" i="3"/>
  <c r="N144" i="3"/>
  <c r="O144" i="3" s="1"/>
  <c r="P144" i="3" s="1"/>
  <c r="P154" i="3"/>
  <c r="P157" i="3"/>
  <c r="N159" i="3"/>
  <c r="O159" i="3" s="1"/>
  <c r="P159" i="3" s="1"/>
  <c r="P160" i="3"/>
  <c r="N163" i="3"/>
  <c r="O163" i="3" s="1"/>
  <c r="P163" i="3" s="1"/>
  <c r="P166" i="3"/>
  <c r="P169" i="3"/>
  <c r="N174" i="3"/>
  <c r="O174" i="3" s="1"/>
  <c r="N186" i="3"/>
  <c r="O186" i="3" s="1"/>
  <c r="P186" i="3" s="1"/>
  <c r="P190" i="3"/>
  <c r="N193" i="3"/>
  <c r="O193" i="3" s="1"/>
  <c r="N198" i="3"/>
  <c r="O198" i="3" s="1"/>
  <c r="P198" i="3" s="1"/>
  <c r="P202" i="3"/>
  <c r="P214" i="3"/>
  <c r="N226" i="3"/>
  <c r="O226" i="3" s="1"/>
  <c r="N261" i="3"/>
  <c r="O261" i="3" s="1"/>
  <c r="P96" i="3"/>
  <c r="P128" i="3"/>
  <c r="P182" i="3"/>
  <c r="P194" i="3"/>
  <c r="P210" i="3"/>
  <c r="P218" i="3"/>
  <c r="P223" i="3"/>
  <c r="P233" i="3"/>
  <c r="P234" i="3"/>
  <c r="P314" i="3"/>
  <c r="P298" i="3"/>
  <c r="P303" i="3"/>
  <c r="P310" i="3"/>
  <c r="P433" i="3"/>
  <c r="P661" i="3"/>
  <c r="N155" i="3"/>
  <c r="O155" i="3" s="1"/>
  <c r="P155" i="3" s="1"/>
  <c r="N156" i="3"/>
  <c r="O156" i="3" s="1"/>
  <c r="P156" i="3" s="1"/>
  <c r="N167" i="3"/>
  <c r="O167" i="3" s="1"/>
  <c r="P167" i="3" s="1"/>
  <c r="P173" i="3"/>
  <c r="N175" i="3"/>
  <c r="O175" i="3" s="1"/>
  <c r="P175" i="3" s="1"/>
  <c r="P185" i="3"/>
  <c r="N187" i="3"/>
  <c r="O187" i="3" s="1"/>
  <c r="P187" i="3" s="1"/>
  <c r="N188" i="3"/>
  <c r="O188" i="3" s="1"/>
  <c r="P188" i="3" s="1"/>
  <c r="N199" i="3"/>
  <c r="O199" i="3" s="1"/>
  <c r="P199" i="3" s="1"/>
  <c r="P205" i="3"/>
  <c r="N207" i="3"/>
  <c r="O207" i="3" s="1"/>
  <c r="P207" i="3" s="1"/>
  <c r="N208" i="3"/>
  <c r="O208" i="3" s="1"/>
  <c r="P208" i="3" s="1"/>
  <c r="N217" i="3"/>
  <c r="O217" i="3" s="1"/>
  <c r="P217" i="3" s="1"/>
  <c r="N227" i="3"/>
  <c r="O227" i="3" s="1"/>
  <c r="P227" i="3" s="1"/>
  <c r="N233" i="3"/>
  <c r="O233" i="3" s="1"/>
  <c r="P239" i="3"/>
  <c r="P243" i="3"/>
  <c r="P245" i="3"/>
  <c r="P247" i="3"/>
  <c r="P249" i="3"/>
  <c r="P253" i="3"/>
  <c r="P257" i="3"/>
  <c r="N262" i="3"/>
  <c r="O262" i="3" s="1"/>
  <c r="P265" i="3"/>
  <c r="P269" i="3"/>
  <c r="P273" i="3"/>
  <c r="N278" i="3"/>
  <c r="O278" i="3" s="1"/>
  <c r="P281" i="3"/>
  <c r="P285" i="3"/>
  <c r="P289" i="3"/>
  <c r="N303" i="3"/>
  <c r="O303" i="3" s="1"/>
  <c r="N305" i="3"/>
  <c r="O305" i="3" s="1"/>
  <c r="N319" i="3"/>
  <c r="O319" i="3" s="1"/>
  <c r="P319" i="3" s="1"/>
  <c r="N321" i="3"/>
  <c r="O321" i="3" s="1"/>
  <c r="P342" i="3"/>
  <c r="P350" i="3"/>
  <c r="P351" i="3"/>
  <c r="P370" i="3"/>
  <c r="P378" i="3"/>
  <c r="N394" i="3"/>
  <c r="O394" i="3" s="1"/>
  <c r="P394" i="3" s="1"/>
  <c r="N432" i="3"/>
  <c r="O432" i="3" s="1"/>
  <c r="P456" i="3"/>
  <c r="N459" i="3"/>
  <c r="O459" i="3" s="1"/>
  <c r="N471" i="3"/>
  <c r="O471" i="3" s="1"/>
  <c r="P489" i="3"/>
  <c r="P226" i="3"/>
  <c r="P231" i="3"/>
  <c r="P250" i="3"/>
  <c r="P254" i="3"/>
  <c r="P255" i="3"/>
  <c r="P266" i="3"/>
  <c r="P270" i="3"/>
  <c r="P279" i="3"/>
  <c r="P282" i="3"/>
  <c r="P286" i="3"/>
  <c r="P287" i="3"/>
  <c r="P318" i="3"/>
  <c r="P334" i="3"/>
  <c r="P409" i="3"/>
  <c r="N171" i="3"/>
  <c r="O171" i="3" s="1"/>
  <c r="P171" i="3" s="1"/>
  <c r="N172" i="3"/>
  <c r="O172" i="3" s="1"/>
  <c r="P172" i="3" s="1"/>
  <c r="N183" i="3"/>
  <c r="O183" i="3" s="1"/>
  <c r="P183" i="3" s="1"/>
  <c r="P189" i="3"/>
  <c r="N191" i="3"/>
  <c r="O191" i="3" s="1"/>
  <c r="P191" i="3" s="1"/>
  <c r="P201" i="3"/>
  <c r="N203" i="3"/>
  <c r="O203" i="3" s="1"/>
  <c r="P203" i="3" s="1"/>
  <c r="N204" i="3"/>
  <c r="O204" i="3" s="1"/>
  <c r="P204" i="3" s="1"/>
  <c r="N211" i="3"/>
  <c r="O211" i="3" s="1"/>
  <c r="P211" i="3" s="1"/>
  <c r="N219" i="3"/>
  <c r="O219" i="3" s="1"/>
  <c r="P219" i="3" s="1"/>
  <c r="N225" i="3"/>
  <c r="O225" i="3" s="1"/>
  <c r="P225" i="3" s="1"/>
  <c r="N235" i="3"/>
  <c r="O235" i="3" s="1"/>
  <c r="P235" i="3" s="1"/>
  <c r="N238" i="3"/>
  <c r="O238" i="3" s="1"/>
  <c r="P238" i="3" s="1"/>
  <c r="N242" i="3"/>
  <c r="O242" i="3" s="1"/>
  <c r="P242" i="3" s="1"/>
  <c r="N246" i="3"/>
  <c r="O246" i="3" s="1"/>
  <c r="P246" i="3" s="1"/>
  <c r="N251" i="3"/>
  <c r="O251" i="3" s="1"/>
  <c r="N255" i="3"/>
  <c r="O255" i="3" s="1"/>
  <c r="N259" i="3"/>
  <c r="O259" i="3" s="1"/>
  <c r="P259" i="3" s="1"/>
  <c r="N263" i="3"/>
  <c r="O263" i="3" s="1"/>
  <c r="P263" i="3" s="1"/>
  <c r="N264" i="3"/>
  <c r="O264" i="3" s="1"/>
  <c r="N267" i="3"/>
  <c r="O267" i="3" s="1"/>
  <c r="N271" i="3"/>
  <c r="O271" i="3" s="1"/>
  <c r="P271" i="3" s="1"/>
  <c r="N275" i="3"/>
  <c r="O275" i="3" s="1"/>
  <c r="P275" i="3" s="1"/>
  <c r="N279" i="3"/>
  <c r="O279" i="3" s="1"/>
  <c r="N280" i="3"/>
  <c r="O280" i="3" s="1"/>
  <c r="N283" i="3"/>
  <c r="O283" i="3" s="1"/>
  <c r="N287" i="3"/>
  <c r="O287" i="3" s="1"/>
  <c r="N291" i="3"/>
  <c r="O291" i="3" s="1"/>
  <c r="N294" i="3"/>
  <c r="O294" i="3" s="1"/>
  <c r="N295" i="3"/>
  <c r="O295" i="3" s="1"/>
  <c r="N297" i="3"/>
  <c r="O297" i="3" s="1"/>
  <c r="P302" i="3"/>
  <c r="N311" i="3"/>
  <c r="O311" i="3" s="1"/>
  <c r="N313" i="3"/>
  <c r="O313" i="3" s="1"/>
  <c r="P326" i="3"/>
  <c r="P331" i="3"/>
  <c r="P346" i="3"/>
  <c r="P358" i="3"/>
  <c r="P374" i="3"/>
  <c r="P382" i="3"/>
  <c r="P383" i="3"/>
  <c r="N397" i="3"/>
  <c r="O397" i="3" s="1"/>
  <c r="P404" i="3"/>
  <c r="N440" i="3"/>
  <c r="O440" i="3" s="1"/>
  <c r="N468" i="3"/>
  <c r="O468" i="3" s="1"/>
  <c r="N480" i="3"/>
  <c r="O480" i="3" s="1"/>
  <c r="N327" i="3"/>
  <c r="O327" i="3" s="1"/>
  <c r="N329" i="3"/>
  <c r="O329" i="3" s="1"/>
  <c r="N343" i="3"/>
  <c r="O343" i="3" s="1"/>
  <c r="P343" i="3" s="1"/>
  <c r="P361" i="3"/>
  <c r="N363" i="3"/>
  <c r="O363" i="3" s="1"/>
  <c r="P363" i="3" s="1"/>
  <c r="P393" i="3"/>
  <c r="N395" i="3"/>
  <c r="O395" i="3" s="1"/>
  <c r="P395" i="3" s="1"/>
  <c r="N406" i="3"/>
  <c r="O406" i="3" s="1"/>
  <c r="P406" i="3" s="1"/>
  <c r="N418" i="3"/>
  <c r="O418" i="3" s="1"/>
  <c r="P418" i="3" s="1"/>
  <c r="N419" i="3"/>
  <c r="O419" i="3" s="1"/>
  <c r="P423" i="3"/>
  <c r="P424" i="3"/>
  <c r="P428" i="3"/>
  <c r="N433" i="3"/>
  <c r="O433" i="3" s="1"/>
  <c r="P443" i="3"/>
  <c r="N450" i="3"/>
  <c r="O450" i="3" s="1"/>
  <c r="P450" i="3" s="1"/>
  <c r="N462" i="3"/>
  <c r="O462" i="3" s="1"/>
  <c r="P467" i="3"/>
  <c r="N469" i="3"/>
  <c r="O469" i="3" s="1"/>
  <c r="P469" i="3" s="1"/>
  <c r="N481" i="3"/>
  <c r="O481" i="3" s="1"/>
  <c r="P481" i="3" s="1"/>
  <c r="N494" i="3"/>
  <c r="O494" i="3" s="1"/>
  <c r="N503" i="3"/>
  <c r="O503" i="3" s="1"/>
  <c r="P508" i="3"/>
  <c r="N512" i="3"/>
  <c r="O512" i="3" s="1"/>
  <c r="P512" i="3" s="1"/>
  <c r="N516" i="3"/>
  <c r="O516" i="3" s="1"/>
  <c r="P516" i="3" s="1"/>
  <c r="N523" i="3"/>
  <c r="O523" i="3" s="1"/>
  <c r="N532" i="3"/>
  <c r="O532" i="3" s="1"/>
  <c r="P536" i="3"/>
  <c r="N567" i="3"/>
  <c r="O567" i="3" s="1"/>
  <c r="P578" i="3"/>
  <c r="P580" i="3"/>
  <c r="P587" i="3"/>
  <c r="N599" i="3"/>
  <c r="O599" i="3" s="1"/>
  <c r="N607" i="3"/>
  <c r="O607" i="3" s="1"/>
  <c r="N615" i="3"/>
  <c r="O615" i="3" s="1"/>
  <c r="P353" i="3"/>
  <c r="P355" i="3"/>
  <c r="P362" i="3"/>
  <c r="P385" i="3"/>
  <c r="N387" i="3"/>
  <c r="O387" i="3" s="1"/>
  <c r="P387" i="3" s="1"/>
  <c r="N399" i="3"/>
  <c r="O399" i="3" s="1"/>
  <c r="P399" i="3" s="1"/>
  <c r="N409" i="3"/>
  <c r="O409" i="3" s="1"/>
  <c r="N413" i="3"/>
  <c r="O413" i="3" s="1"/>
  <c r="P413" i="3" s="1"/>
  <c r="N421" i="3"/>
  <c r="O421" i="3" s="1"/>
  <c r="N422" i="3"/>
  <c r="O422" i="3" s="1"/>
  <c r="P422" i="3" s="1"/>
  <c r="P432" i="3"/>
  <c r="N434" i="3"/>
  <c r="O434" i="3" s="1"/>
  <c r="P434" i="3" s="1"/>
  <c r="P439" i="3"/>
  <c r="N446" i="3"/>
  <c r="O446" i="3" s="1"/>
  <c r="P446" i="3" s="1"/>
  <c r="N449" i="3"/>
  <c r="O449" i="3" s="1"/>
  <c r="P449" i="3" s="1"/>
  <c r="N454" i="3"/>
  <c r="O454" i="3" s="1"/>
  <c r="P459" i="3"/>
  <c r="N461" i="3"/>
  <c r="O461" i="3" s="1"/>
  <c r="P461" i="3" s="1"/>
  <c r="P468" i="3"/>
  <c r="N473" i="3"/>
  <c r="O473" i="3" s="1"/>
  <c r="P473" i="3" s="1"/>
  <c r="P480" i="3"/>
  <c r="N486" i="3"/>
  <c r="O486" i="3" s="1"/>
  <c r="P491" i="3"/>
  <c r="N493" i="3"/>
  <c r="O493" i="3" s="1"/>
  <c r="P493" i="3" s="1"/>
  <c r="N500" i="3"/>
  <c r="O500" i="3" s="1"/>
  <c r="P500" i="3" s="1"/>
  <c r="P521" i="3"/>
  <c r="N544" i="3"/>
  <c r="O544" i="3" s="1"/>
  <c r="N555" i="3"/>
  <c r="O555" i="3" s="1"/>
  <c r="P555" i="3" s="1"/>
  <c r="P559" i="3"/>
  <c r="N571" i="3"/>
  <c r="O571" i="3" s="1"/>
  <c r="N594" i="3"/>
  <c r="O594" i="3" s="1"/>
  <c r="P632" i="3"/>
  <c r="N647" i="3"/>
  <c r="O647" i="3" s="1"/>
  <c r="N229" i="2"/>
  <c r="O229" i="2" s="1"/>
  <c r="P229" i="2" s="1"/>
  <c r="N335" i="3"/>
  <c r="O335" i="3" s="1"/>
  <c r="P335" i="3" s="1"/>
  <c r="N337" i="3"/>
  <c r="O337" i="3" s="1"/>
  <c r="P345" i="3"/>
  <c r="N347" i="3"/>
  <c r="O347" i="3" s="1"/>
  <c r="P347" i="3" s="1"/>
  <c r="N359" i="3"/>
  <c r="O359" i="3" s="1"/>
  <c r="P359" i="3" s="1"/>
  <c r="N372" i="3"/>
  <c r="O372" i="3" s="1"/>
  <c r="P377" i="3"/>
  <c r="N379" i="3"/>
  <c r="O379" i="3" s="1"/>
  <c r="P379" i="3" s="1"/>
  <c r="N391" i="3"/>
  <c r="O391" i="3" s="1"/>
  <c r="P391" i="3" s="1"/>
  <c r="P398" i="3"/>
  <c r="P420" i="3"/>
  <c r="N425" i="3"/>
  <c r="O425" i="3" s="1"/>
  <c r="P425" i="3" s="1"/>
  <c r="N429" i="3"/>
  <c r="O429" i="3" s="1"/>
  <c r="P429" i="3" s="1"/>
  <c r="N437" i="3"/>
  <c r="O437" i="3" s="1"/>
  <c r="P437" i="3" s="1"/>
  <c r="N438" i="3"/>
  <c r="O438" i="3" s="1"/>
  <c r="P438" i="3" s="1"/>
  <c r="N442" i="3"/>
  <c r="O442" i="3" s="1"/>
  <c r="P442" i="3" s="1"/>
  <c r="N445" i="3"/>
  <c r="O445" i="3" s="1"/>
  <c r="P451" i="3"/>
  <c r="N453" i="3"/>
  <c r="O453" i="3" s="1"/>
  <c r="P453" i="3" s="1"/>
  <c r="P460" i="3"/>
  <c r="N465" i="3"/>
  <c r="O465" i="3" s="1"/>
  <c r="P465" i="3" s="1"/>
  <c r="P472" i="3"/>
  <c r="N478" i="3"/>
  <c r="O478" i="3" s="1"/>
  <c r="P483" i="3"/>
  <c r="N485" i="3"/>
  <c r="O485" i="3" s="1"/>
  <c r="P485" i="3" s="1"/>
  <c r="P492" i="3"/>
  <c r="P504" i="3"/>
  <c r="N507" i="3"/>
  <c r="O507" i="3" s="1"/>
  <c r="P507" i="3" s="1"/>
  <c r="P524" i="3"/>
  <c r="N535" i="3"/>
  <c r="O535" i="3" s="1"/>
  <c r="P539" i="3"/>
  <c r="N553" i="3"/>
  <c r="O553" i="3" s="1"/>
  <c r="P563" i="3"/>
  <c r="N570" i="3"/>
  <c r="O570" i="3" s="1"/>
  <c r="P592" i="3"/>
  <c r="N663" i="3"/>
  <c r="O663" i="3" s="1"/>
  <c r="P663" i="3" s="1"/>
  <c r="N667" i="3"/>
  <c r="O667" i="3" s="1"/>
  <c r="P499" i="3"/>
  <c r="N501" i="3"/>
  <c r="O501" i="3" s="1"/>
  <c r="P501" i="3" s="1"/>
  <c r="N513" i="3"/>
  <c r="O513" i="3" s="1"/>
  <c r="P513" i="3" s="1"/>
  <c r="N526" i="3"/>
  <c r="O526" i="3" s="1"/>
  <c r="P531" i="3"/>
  <c r="N533" i="3"/>
  <c r="O533" i="3" s="1"/>
  <c r="P533" i="3" s="1"/>
  <c r="P543" i="3"/>
  <c r="N545" i="3"/>
  <c r="O545" i="3" s="1"/>
  <c r="P545" i="3" s="1"/>
  <c r="P549" i="3"/>
  <c r="N556" i="3"/>
  <c r="O556" i="3" s="1"/>
  <c r="N558" i="3"/>
  <c r="O558" i="3" s="1"/>
  <c r="P565" i="3"/>
  <c r="N568" i="3"/>
  <c r="O568" i="3" s="1"/>
  <c r="P574" i="3"/>
  <c r="P575" i="3"/>
  <c r="N584" i="3"/>
  <c r="O584" i="3" s="1"/>
  <c r="P584" i="3" s="1"/>
  <c r="N605" i="3"/>
  <c r="O605" i="3" s="1"/>
  <c r="P605" i="3" s="1"/>
  <c r="N613" i="3"/>
  <c r="O613" i="3" s="1"/>
  <c r="P613" i="3" s="1"/>
  <c r="N621" i="3"/>
  <c r="O621" i="3" s="1"/>
  <c r="P621" i="3" s="1"/>
  <c r="P629" i="3"/>
  <c r="P633" i="3"/>
  <c r="N645" i="3"/>
  <c r="O645" i="3" s="1"/>
  <c r="P651" i="3"/>
  <c r="P654" i="3"/>
  <c r="P657" i="3"/>
  <c r="N658" i="3"/>
  <c r="O658" i="3" s="1"/>
  <c r="P658" i="3" s="1"/>
  <c r="N660" i="3"/>
  <c r="O660" i="3" s="1"/>
  <c r="P660" i="3" s="1"/>
  <c r="N661" i="3"/>
  <c r="O661" i="3" s="1"/>
  <c r="N672" i="3"/>
  <c r="O672" i="3" s="1"/>
  <c r="P679" i="3"/>
  <c r="P523" i="3"/>
  <c r="P525" i="3"/>
  <c r="P532" i="3"/>
  <c r="P544" i="3"/>
  <c r="P553" i="3"/>
  <c r="P567" i="3"/>
  <c r="P570" i="3"/>
  <c r="P571" i="3"/>
  <c r="P583" i="3"/>
  <c r="P594" i="3"/>
  <c r="P596" i="3"/>
  <c r="P650" i="3"/>
  <c r="P652" i="3"/>
  <c r="P667" i="3"/>
  <c r="N497" i="3"/>
  <c r="O497" i="3" s="1"/>
  <c r="P497" i="3" s="1"/>
  <c r="N510" i="3"/>
  <c r="O510" i="3" s="1"/>
  <c r="P515" i="3"/>
  <c r="N517" i="3"/>
  <c r="O517" i="3" s="1"/>
  <c r="P517" i="3" s="1"/>
  <c r="N529" i="3"/>
  <c r="O529" i="3" s="1"/>
  <c r="P529" i="3" s="1"/>
  <c r="N542" i="3"/>
  <c r="O542" i="3" s="1"/>
  <c r="N548" i="3"/>
  <c r="O548" i="3" s="1"/>
  <c r="N550" i="3"/>
  <c r="O550" i="3" s="1"/>
  <c r="P550" i="3" s="1"/>
  <c r="P557" i="3"/>
  <c r="P558" i="3"/>
  <c r="N564" i="3"/>
  <c r="O564" i="3" s="1"/>
  <c r="N576" i="3"/>
  <c r="O576" i="3" s="1"/>
  <c r="P576" i="3" s="1"/>
  <c r="P586" i="3"/>
  <c r="N588" i="3"/>
  <c r="O588" i="3" s="1"/>
  <c r="P588" i="3" s="1"/>
  <c r="N601" i="3"/>
  <c r="O601" i="3" s="1"/>
  <c r="P601" i="3" s="1"/>
  <c r="N609" i="3"/>
  <c r="O609" i="3" s="1"/>
  <c r="P609" i="3" s="1"/>
  <c r="N617" i="3"/>
  <c r="O617" i="3" s="1"/>
  <c r="P617" i="3" s="1"/>
  <c r="N625" i="3"/>
  <c r="O625" i="3" s="1"/>
  <c r="P625" i="3" s="1"/>
  <c r="N626" i="3"/>
  <c r="O626" i="3" s="1"/>
  <c r="N628" i="3"/>
  <c r="O628" i="3" s="1"/>
  <c r="P628" i="3" s="1"/>
  <c r="N640" i="3"/>
  <c r="O640" i="3" s="1"/>
  <c r="N649" i="3"/>
  <c r="O649" i="3" s="1"/>
  <c r="P649" i="3" s="1"/>
  <c r="N650" i="3"/>
  <c r="O650" i="3" s="1"/>
  <c r="N652" i="3"/>
  <c r="O652" i="3" s="1"/>
  <c r="N653" i="3"/>
  <c r="O653" i="3" s="1"/>
  <c r="P653" i="3" s="1"/>
  <c r="P659" i="3"/>
  <c r="P662" i="3"/>
  <c r="P665" i="3"/>
  <c r="N677" i="3"/>
  <c r="O677" i="3" s="1"/>
  <c r="P677" i="3" s="1"/>
  <c r="N678" i="3"/>
  <c r="O678" i="3" s="1"/>
  <c r="P678" i="3" s="1"/>
  <c r="N680" i="3"/>
  <c r="O680" i="3" s="1"/>
  <c r="P680" i="3" s="1"/>
  <c r="N681" i="3"/>
  <c r="O681" i="3" s="1"/>
  <c r="P681" i="3" s="1"/>
  <c r="P64" i="2"/>
  <c r="P68" i="2"/>
  <c r="P5" i="2"/>
  <c r="C10" i="1"/>
  <c r="E10" i="1" s="1"/>
  <c r="P38" i="2"/>
  <c r="P65" i="2"/>
  <c r="P77" i="2"/>
  <c r="P2" i="3"/>
  <c r="C9" i="1"/>
  <c r="P51" i="2"/>
  <c r="P67" i="2"/>
  <c r="P81" i="2"/>
  <c r="P84" i="2"/>
  <c r="P95" i="2"/>
  <c r="P97" i="2"/>
  <c r="P100" i="2"/>
  <c r="P111" i="2"/>
  <c r="P113" i="2"/>
  <c r="P116" i="2"/>
  <c r="P127" i="2"/>
  <c r="P129" i="2"/>
  <c r="P132" i="2"/>
  <c r="P143" i="2"/>
  <c r="P145" i="2"/>
  <c r="P149" i="2"/>
  <c r="P150" i="2"/>
  <c r="P153" i="2"/>
  <c r="P154" i="2"/>
  <c r="P157" i="2"/>
  <c r="P158" i="2"/>
  <c r="P161" i="2"/>
  <c r="P162" i="2"/>
  <c r="P165" i="2"/>
  <c r="P166" i="2"/>
  <c r="P169" i="2"/>
  <c r="P170" i="2"/>
  <c r="P173" i="2"/>
  <c r="P174" i="2"/>
  <c r="P177" i="2"/>
  <c r="P178" i="2"/>
  <c r="P181" i="2"/>
  <c r="P182" i="2"/>
  <c r="P185" i="2"/>
  <c r="P186" i="2"/>
  <c r="P189" i="2"/>
  <c r="P190" i="2"/>
  <c r="P193" i="2"/>
  <c r="P194" i="2"/>
  <c r="P197" i="2"/>
  <c r="P198" i="2"/>
  <c r="P201" i="2"/>
  <c r="P202" i="2"/>
  <c r="P205" i="2"/>
  <c r="P206" i="2"/>
  <c r="P209" i="2"/>
  <c r="P210" i="2"/>
  <c r="P213" i="2"/>
  <c r="P214" i="2"/>
  <c r="P217" i="2"/>
  <c r="P218" i="2"/>
  <c r="P221" i="2"/>
  <c r="N2" i="2"/>
  <c r="O2" i="2" s="1"/>
  <c r="P2" i="2" s="1"/>
  <c r="N6" i="2"/>
  <c r="O6" i="2" s="1"/>
  <c r="P6" i="2" s="1"/>
  <c r="N10" i="2"/>
  <c r="O10" i="2" s="1"/>
  <c r="P10" i="2" s="1"/>
  <c r="N14" i="2"/>
  <c r="O14" i="2" s="1"/>
  <c r="P14" i="2" s="1"/>
  <c r="N18" i="2"/>
  <c r="O18" i="2" s="1"/>
  <c r="P18" i="2" s="1"/>
  <c r="N22" i="2"/>
  <c r="O22" i="2" s="1"/>
  <c r="P22" i="2" s="1"/>
  <c r="N26" i="2"/>
  <c r="O26" i="2" s="1"/>
  <c r="P26" i="2" s="1"/>
  <c r="N30" i="2"/>
  <c r="O30" i="2" s="1"/>
  <c r="P30" i="2" s="1"/>
  <c r="N34" i="2"/>
  <c r="O34" i="2" s="1"/>
  <c r="P34" i="2" s="1"/>
  <c r="N38" i="2"/>
  <c r="O38" i="2" s="1"/>
  <c r="N42" i="2"/>
  <c r="O42" i="2" s="1"/>
  <c r="P42" i="2" s="1"/>
  <c r="N46" i="2"/>
  <c r="O46" i="2" s="1"/>
  <c r="P46" i="2" s="1"/>
  <c r="N50" i="2"/>
  <c r="O50" i="2" s="1"/>
  <c r="P50" i="2" s="1"/>
  <c r="P55" i="2"/>
  <c r="N66" i="2"/>
  <c r="O66" i="2" s="1"/>
  <c r="P66" i="2" s="1"/>
  <c r="P71" i="2"/>
  <c r="P83" i="2"/>
  <c r="P85" i="2"/>
  <c r="P88" i="2"/>
  <c r="P99" i="2"/>
  <c r="P101" i="2"/>
  <c r="P104" i="2"/>
  <c r="P115" i="2"/>
  <c r="P117" i="2"/>
  <c r="P120" i="2"/>
  <c r="P131" i="2"/>
  <c r="P133" i="2"/>
  <c r="P136" i="2"/>
  <c r="P147" i="2"/>
  <c r="P151" i="2"/>
  <c r="P155" i="2"/>
  <c r="P159" i="2"/>
  <c r="P163" i="2"/>
  <c r="P167" i="2"/>
  <c r="P171" i="2"/>
  <c r="P175" i="2"/>
  <c r="P179" i="2"/>
  <c r="P183" i="2"/>
  <c r="P187" i="2"/>
  <c r="P191" i="2"/>
  <c r="P195" i="2"/>
  <c r="P199" i="2"/>
  <c r="P203" i="2"/>
  <c r="P207" i="2"/>
  <c r="P211" i="2"/>
  <c r="P215" i="2"/>
  <c r="P219" i="2"/>
  <c r="P6" i="3"/>
  <c r="P15" i="3"/>
  <c r="N54" i="2"/>
  <c r="O54" i="2" s="1"/>
  <c r="P54" i="2" s="1"/>
  <c r="P59" i="2"/>
  <c r="N70" i="2"/>
  <c r="O70" i="2" s="1"/>
  <c r="P70" i="2" s="1"/>
  <c r="P75" i="2"/>
  <c r="P89" i="2"/>
  <c r="P105" i="2"/>
  <c r="P121" i="2"/>
  <c r="P137" i="2"/>
  <c r="P7" i="3"/>
  <c r="P9" i="3"/>
  <c r="P37" i="3"/>
  <c r="P53" i="3"/>
  <c r="P69" i="3"/>
  <c r="P85" i="3"/>
  <c r="P101" i="3"/>
  <c r="P117" i="3"/>
  <c r="P133" i="3"/>
  <c r="P149" i="3"/>
  <c r="P165" i="3"/>
  <c r="P181" i="3"/>
  <c r="P197" i="3"/>
  <c r="P213" i="3"/>
  <c r="P300" i="3"/>
  <c r="P224" i="2"/>
  <c r="N8" i="3"/>
  <c r="O8" i="3" s="1"/>
  <c r="P8" i="3" s="1"/>
  <c r="P13" i="3"/>
  <c r="N24" i="3"/>
  <c r="O24" i="3" s="1"/>
  <c r="P24" i="3" s="1"/>
  <c r="P33" i="3"/>
  <c r="N40" i="3"/>
  <c r="O40" i="3" s="1"/>
  <c r="P40" i="3" s="1"/>
  <c r="P49" i="3"/>
  <c r="N56" i="3"/>
  <c r="O56" i="3" s="1"/>
  <c r="P56" i="3" s="1"/>
  <c r="P65" i="3"/>
  <c r="N72" i="3"/>
  <c r="O72" i="3" s="1"/>
  <c r="P72" i="3" s="1"/>
  <c r="P81" i="3"/>
  <c r="N88" i="3"/>
  <c r="O88" i="3" s="1"/>
  <c r="P88" i="3" s="1"/>
  <c r="P97" i="3"/>
  <c r="N104" i="3"/>
  <c r="O104" i="3" s="1"/>
  <c r="P104" i="3" s="1"/>
  <c r="P113" i="3"/>
  <c r="N120" i="3"/>
  <c r="O120" i="3" s="1"/>
  <c r="P120" i="3" s="1"/>
  <c r="P129" i="3"/>
  <c r="N136" i="3"/>
  <c r="O136" i="3" s="1"/>
  <c r="P136" i="3" s="1"/>
  <c r="P145" i="3"/>
  <c r="N152" i="3"/>
  <c r="O152" i="3" s="1"/>
  <c r="P152" i="3" s="1"/>
  <c r="P161" i="3"/>
  <c r="N168" i="3"/>
  <c r="O168" i="3" s="1"/>
  <c r="P168" i="3" s="1"/>
  <c r="P177" i="3"/>
  <c r="N184" i="3"/>
  <c r="O184" i="3" s="1"/>
  <c r="P184" i="3" s="1"/>
  <c r="P193" i="3"/>
  <c r="N200" i="3"/>
  <c r="O200" i="3" s="1"/>
  <c r="P200" i="3" s="1"/>
  <c r="P209" i="3"/>
  <c r="P251" i="3"/>
  <c r="P267" i="3"/>
  <c r="P283" i="3"/>
  <c r="N223" i="2"/>
  <c r="O223" i="2" s="1"/>
  <c r="P223" i="2" s="1"/>
  <c r="P228" i="2"/>
  <c r="N12" i="3"/>
  <c r="O12" i="3" s="1"/>
  <c r="P12" i="3" s="1"/>
  <c r="P17" i="3"/>
  <c r="N36" i="3"/>
  <c r="O36" i="3" s="1"/>
  <c r="P36" i="3" s="1"/>
  <c r="N52" i="3"/>
  <c r="O52" i="3" s="1"/>
  <c r="P52" i="3" s="1"/>
  <c r="N68" i="3"/>
  <c r="O68" i="3" s="1"/>
  <c r="P68" i="3" s="1"/>
  <c r="N84" i="3"/>
  <c r="O84" i="3" s="1"/>
  <c r="P84" i="3" s="1"/>
  <c r="N100" i="3"/>
  <c r="O100" i="3" s="1"/>
  <c r="P100" i="3" s="1"/>
  <c r="N116" i="3"/>
  <c r="O116" i="3" s="1"/>
  <c r="P116" i="3" s="1"/>
  <c r="N132" i="3"/>
  <c r="O132" i="3" s="1"/>
  <c r="P132" i="3" s="1"/>
  <c r="N148" i="3"/>
  <c r="O148" i="3" s="1"/>
  <c r="P148" i="3" s="1"/>
  <c r="N164" i="3"/>
  <c r="O164" i="3" s="1"/>
  <c r="P164" i="3" s="1"/>
  <c r="N180" i="3"/>
  <c r="O180" i="3" s="1"/>
  <c r="P180" i="3" s="1"/>
  <c r="N196" i="3"/>
  <c r="O196" i="3" s="1"/>
  <c r="P196" i="3" s="1"/>
  <c r="N212" i="3"/>
  <c r="O212" i="3" s="1"/>
  <c r="P212" i="3" s="1"/>
  <c r="N221" i="3"/>
  <c r="O221" i="3" s="1"/>
  <c r="P221" i="3" s="1"/>
  <c r="N229" i="3"/>
  <c r="O229" i="3" s="1"/>
  <c r="P229" i="3" s="1"/>
  <c r="N237" i="3"/>
  <c r="O237" i="3" s="1"/>
  <c r="P237" i="3" s="1"/>
  <c r="P241" i="3"/>
  <c r="N252" i="3"/>
  <c r="O252" i="3" s="1"/>
  <c r="P252" i="3" s="1"/>
  <c r="P258" i="3"/>
  <c r="P261" i="3"/>
  <c r="N268" i="3"/>
  <c r="O268" i="3" s="1"/>
  <c r="P268" i="3" s="1"/>
  <c r="P274" i="3"/>
  <c r="P277" i="3"/>
  <c r="N284" i="3"/>
  <c r="O284" i="3" s="1"/>
  <c r="P284" i="3" s="1"/>
  <c r="P290" i="3"/>
  <c r="P293" i="3"/>
  <c r="P294" i="3"/>
  <c r="P295" i="3"/>
  <c r="P311" i="3"/>
  <c r="P327" i="3"/>
  <c r="N216" i="3"/>
  <c r="O216" i="3" s="1"/>
  <c r="P216" i="3" s="1"/>
  <c r="N220" i="3"/>
  <c r="O220" i="3" s="1"/>
  <c r="P220" i="3" s="1"/>
  <c r="N224" i="3"/>
  <c r="O224" i="3" s="1"/>
  <c r="P224" i="3" s="1"/>
  <c r="N228" i="3"/>
  <c r="O228" i="3" s="1"/>
  <c r="P228" i="3" s="1"/>
  <c r="N232" i="3"/>
  <c r="O232" i="3" s="1"/>
  <c r="P232" i="3" s="1"/>
  <c r="N236" i="3"/>
  <c r="O236" i="3" s="1"/>
  <c r="P236" i="3" s="1"/>
  <c r="P244" i="3"/>
  <c r="P248" i="3"/>
  <c r="N256" i="3"/>
  <c r="O256" i="3" s="1"/>
  <c r="P256" i="3" s="1"/>
  <c r="P262" i="3"/>
  <c r="N272" i="3"/>
  <c r="O272" i="3" s="1"/>
  <c r="P272" i="3" s="1"/>
  <c r="P278" i="3"/>
  <c r="N288" i="3"/>
  <c r="O288" i="3" s="1"/>
  <c r="P288" i="3" s="1"/>
  <c r="N240" i="3"/>
  <c r="O240" i="3" s="1"/>
  <c r="P240" i="3" s="1"/>
  <c r="N244" i="3"/>
  <c r="O244" i="3" s="1"/>
  <c r="N248" i="3"/>
  <c r="O248" i="3" s="1"/>
  <c r="N260" i="3"/>
  <c r="O260" i="3" s="1"/>
  <c r="P260" i="3" s="1"/>
  <c r="P264" i="3"/>
  <c r="N276" i="3"/>
  <c r="O276" i="3" s="1"/>
  <c r="P276" i="3" s="1"/>
  <c r="P280" i="3"/>
  <c r="N292" i="3"/>
  <c r="O292" i="3" s="1"/>
  <c r="P292" i="3" s="1"/>
  <c r="P304" i="3"/>
  <c r="P320" i="3"/>
  <c r="P412" i="3"/>
  <c r="P417" i="3"/>
  <c r="P444" i="3"/>
  <c r="P297" i="3"/>
  <c r="P301" i="3"/>
  <c r="P305" i="3"/>
  <c r="P309" i="3"/>
  <c r="P313" i="3"/>
  <c r="P317" i="3"/>
  <c r="P321" i="3"/>
  <c r="P325" i="3"/>
  <c r="P329" i="3"/>
  <c r="P333" i="3"/>
  <c r="P337" i="3"/>
  <c r="P341" i="3"/>
  <c r="N344" i="3"/>
  <c r="O344" i="3" s="1"/>
  <c r="P344" i="3" s="1"/>
  <c r="P349" i="3"/>
  <c r="N352" i="3"/>
  <c r="O352" i="3" s="1"/>
  <c r="P352" i="3" s="1"/>
  <c r="P357" i="3"/>
  <c r="N360" i="3"/>
  <c r="O360" i="3" s="1"/>
  <c r="P360" i="3" s="1"/>
  <c r="P365" i="3"/>
  <c r="N368" i="3"/>
  <c r="O368" i="3" s="1"/>
  <c r="P368" i="3" s="1"/>
  <c r="P373" i="3"/>
  <c r="N376" i="3"/>
  <c r="O376" i="3" s="1"/>
  <c r="P376" i="3" s="1"/>
  <c r="P381" i="3"/>
  <c r="N384" i="3"/>
  <c r="O384" i="3" s="1"/>
  <c r="P384" i="3" s="1"/>
  <c r="P389" i="3"/>
  <c r="N392" i="3"/>
  <c r="O392" i="3" s="1"/>
  <c r="P392" i="3" s="1"/>
  <c r="P397" i="3"/>
  <c r="N400" i="3"/>
  <c r="O400" i="3" s="1"/>
  <c r="P400" i="3" s="1"/>
  <c r="P440" i="3"/>
  <c r="P445" i="3"/>
  <c r="N296" i="3"/>
  <c r="O296" i="3" s="1"/>
  <c r="P296" i="3" s="1"/>
  <c r="N300" i="3"/>
  <c r="O300" i="3" s="1"/>
  <c r="N304" i="3"/>
  <c r="O304" i="3" s="1"/>
  <c r="N308" i="3"/>
  <c r="O308" i="3" s="1"/>
  <c r="P308" i="3" s="1"/>
  <c r="N312" i="3"/>
  <c r="O312" i="3" s="1"/>
  <c r="P312" i="3" s="1"/>
  <c r="N316" i="3"/>
  <c r="O316" i="3" s="1"/>
  <c r="P316" i="3" s="1"/>
  <c r="N320" i="3"/>
  <c r="O320" i="3" s="1"/>
  <c r="N324" i="3"/>
  <c r="O324" i="3" s="1"/>
  <c r="P324" i="3" s="1"/>
  <c r="N328" i="3"/>
  <c r="O328" i="3" s="1"/>
  <c r="P328" i="3" s="1"/>
  <c r="N332" i="3"/>
  <c r="O332" i="3" s="1"/>
  <c r="P332" i="3" s="1"/>
  <c r="N336" i="3"/>
  <c r="O336" i="3" s="1"/>
  <c r="P336" i="3" s="1"/>
  <c r="N340" i="3"/>
  <c r="O340" i="3" s="1"/>
  <c r="P340" i="3" s="1"/>
  <c r="P348" i="3"/>
  <c r="P356" i="3"/>
  <c r="P364" i="3"/>
  <c r="P372" i="3"/>
  <c r="P380" i="3"/>
  <c r="P388" i="3"/>
  <c r="P396" i="3"/>
  <c r="N403" i="3"/>
  <c r="O403" i="3" s="1"/>
  <c r="P403" i="3" s="1"/>
  <c r="P421" i="3"/>
  <c r="P441" i="3"/>
  <c r="P411" i="3"/>
  <c r="P427" i="3"/>
  <c r="P552" i="3"/>
  <c r="P554" i="3"/>
  <c r="P560" i="3"/>
  <c r="P562" i="3"/>
  <c r="P572" i="3"/>
  <c r="N410" i="3"/>
  <c r="O410" i="3" s="1"/>
  <c r="P410" i="3" s="1"/>
  <c r="P415" i="3"/>
  <c r="N426" i="3"/>
  <c r="O426" i="3" s="1"/>
  <c r="P426" i="3" s="1"/>
  <c r="P431" i="3"/>
  <c r="P455" i="3"/>
  <c r="N458" i="3"/>
  <c r="O458" i="3" s="1"/>
  <c r="P458" i="3" s="1"/>
  <c r="P463" i="3"/>
  <c r="N466" i="3"/>
  <c r="O466" i="3" s="1"/>
  <c r="P466" i="3" s="1"/>
  <c r="P471" i="3"/>
  <c r="N474" i="3"/>
  <c r="O474" i="3" s="1"/>
  <c r="P474" i="3" s="1"/>
  <c r="P479" i="3"/>
  <c r="N482" i="3"/>
  <c r="O482" i="3" s="1"/>
  <c r="P482" i="3" s="1"/>
  <c r="P487" i="3"/>
  <c r="N490" i="3"/>
  <c r="O490" i="3" s="1"/>
  <c r="P490" i="3" s="1"/>
  <c r="P495" i="3"/>
  <c r="N498" i="3"/>
  <c r="O498" i="3" s="1"/>
  <c r="P498" i="3" s="1"/>
  <c r="P503" i="3"/>
  <c r="N506" i="3"/>
  <c r="O506" i="3" s="1"/>
  <c r="P506" i="3" s="1"/>
  <c r="P511" i="3"/>
  <c r="N514" i="3"/>
  <c r="O514" i="3" s="1"/>
  <c r="P514" i="3" s="1"/>
  <c r="P519" i="3"/>
  <c r="N522" i="3"/>
  <c r="O522" i="3" s="1"/>
  <c r="P522" i="3" s="1"/>
  <c r="P527" i="3"/>
  <c r="N530" i="3"/>
  <c r="O530" i="3" s="1"/>
  <c r="P530" i="3" s="1"/>
  <c r="P535" i="3"/>
  <c r="N538" i="3"/>
  <c r="O538" i="3" s="1"/>
  <c r="P538" i="3" s="1"/>
  <c r="N546" i="3"/>
  <c r="O546" i="3" s="1"/>
  <c r="P546" i="3" s="1"/>
  <c r="P568" i="3"/>
  <c r="P585" i="3"/>
  <c r="N414" i="3"/>
  <c r="O414" i="3" s="1"/>
  <c r="P414" i="3" s="1"/>
  <c r="P419" i="3"/>
  <c r="N430" i="3"/>
  <c r="O430" i="3" s="1"/>
  <c r="P430" i="3" s="1"/>
  <c r="P435" i="3"/>
  <c r="P454" i="3"/>
  <c r="P462" i="3"/>
  <c r="P470" i="3"/>
  <c r="P478" i="3"/>
  <c r="P486" i="3"/>
  <c r="P494" i="3"/>
  <c r="P502" i="3"/>
  <c r="P510" i="3"/>
  <c r="P518" i="3"/>
  <c r="P526" i="3"/>
  <c r="P534" i="3"/>
  <c r="P542" i="3"/>
  <c r="P548" i="3"/>
  <c r="P556" i="3"/>
  <c r="P564" i="3"/>
  <c r="N569" i="3"/>
  <c r="O569" i="3" s="1"/>
  <c r="P569" i="3" s="1"/>
  <c r="N573" i="3"/>
  <c r="O573" i="3" s="1"/>
  <c r="P573" i="3" s="1"/>
  <c r="N577" i="3"/>
  <c r="O577" i="3" s="1"/>
  <c r="P577" i="3" s="1"/>
  <c r="P582" i="3"/>
  <c r="N585" i="3"/>
  <c r="O585" i="3" s="1"/>
  <c r="P590" i="3"/>
  <c r="N593" i="3"/>
  <c r="O593" i="3" s="1"/>
  <c r="P593" i="3" s="1"/>
  <c r="P566" i="3"/>
  <c r="P589" i="3"/>
  <c r="P597" i="3"/>
  <c r="N581" i="3"/>
  <c r="O581" i="3" s="1"/>
  <c r="P581" i="3" s="1"/>
  <c r="N589" i="3"/>
  <c r="O589" i="3" s="1"/>
  <c r="N597" i="3"/>
  <c r="O597" i="3" s="1"/>
  <c r="P645" i="3"/>
  <c r="P599" i="3"/>
  <c r="P603" i="3"/>
  <c r="P607" i="3"/>
  <c r="P611" i="3"/>
  <c r="P615" i="3"/>
  <c r="P619" i="3"/>
  <c r="P623" i="3"/>
  <c r="P634" i="3"/>
  <c r="P636" i="3"/>
  <c r="P639" i="3"/>
  <c r="P668" i="3"/>
  <c r="P671" i="3"/>
  <c r="N598" i="3"/>
  <c r="O598" i="3" s="1"/>
  <c r="P598" i="3" s="1"/>
  <c r="P600" i="3"/>
  <c r="P604" i="3"/>
  <c r="P608" i="3"/>
  <c r="P612" i="3"/>
  <c r="P616" i="3"/>
  <c r="P620" i="3"/>
  <c r="P624" i="3"/>
  <c r="P627" i="3"/>
  <c r="N634" i="3"/>
  <c r="O634" i="3" s="1"/>
  <c r="P640" i="3"/>
  <c r="P643" i="3"/>
  <c r="P647" i="3"/>
  <c r="N666" i="3"/>
  <c r="O666" i="3" s="1"/>
  <c r="P666" i="3" s="1"/>
  <c r="P672" i="3"/>
  <c r="P675" i="3"/>
  <c r="N602" i="3"/>
  <c r="O602" i="3" s="1"/>
  <c r="P602" i="3" s="1"/>
  <c r="N606" i="3"/>
  <c r="O606" i="3" s="1"/>
  <c r="P606" i="3" s="1"/>
  <c r="N610" i="3"/>
  <c r="O610" i="3" s="1"/>
  <c r="P610" i="3" s="1"/>
  <c r="N614" i="3"/>
  <c r="O614" i="3" s="1"/>
  <c r="P614" i="3" s="1"/>
  <c r="N618" i="3"/>
  <c r="O618" i="3" s="1"/>
  <c r="P618" i="3" s="1"/>
  <c r="N622" i="3"/>
  <c r="O622" i="3" s="1"/>
  <c r="P622" i="3" s="1"/>
  <c r="P626" i="3"/>
  <c r="N638" i="3"/>
  <c r="O638" i="3" s="1"/>
  <c r="P638" i="3" s="1"/>
  <c r="P642" i="3"/>
  <c r="P644" i="3"/>
  <c r="P646" i="3"/>
  <c r="P648" i="3"/>
  <c r="N670" i="3"/>
  <c r="O670" i="3" s="1"/>
  <c r="P670" i="3" s="1"/>
  <c r="P674" i="3"/>
  <c r="P676" i="3"/>
  <c r="B10" i="1" l="1"/>
  <c r="B9" i="1"/>
  <c r="B11" i="1" s="1"/>
  <c r="B2" i="1" s="1"/>
  <c r="C11" i="1"/>
  <c r="C14" i="1" s="1"/>
  <c r="E9" i="1"/>
</calcChain>
</file>

<file path=xl/sharedStrings.xml><?xml version="1.0" encoding="utf-8"?>
<sst xmlns="http://schemas.openxmlformats.org/spreadsheetml/2006/main" count="2768" uniqueCount="40">
  <si>
    <t>% Return</t>
  </si>
  <si>
    <t>From date</t>
  </si>
  <si>
    <t>Strategy Name</t>
  </si>
  <si>
    <t>Net Profit</t>
  </si>
  <si>
    <t xml:space="preserve">Gross </t>
  </si>
  <si>
    <t>Kavan F&amp;O</t>
  </si>
  <si>
    <t>Kripal Sir F&amp;O</t>
  </si>
  <si>
    <t>Total</t>
  </si>
  <si>
    <t>Yesterdays  Total MTM</t>
  </si>
  <si>
    <t>Todays MTM</t>
  </si>
  <si>
    <t>Note</t>
  </si>
  <si>
    <t>Yellow highlighted trade are not squared off yet.</t>
  </si>
  <si>
    <t xml:space="preserve">Date </t>
  </si>
  <si>
    <t>Symbol</t>
  </si>
  <si>
    <t>Expiry</t>
  </si>
  <si>
    <t>Trade Type</t>
  </si>
  <si>
    <t>Option Type</t>
  </si>
  <si>
    <t>Strike Price</t>
  </si>
  <si>
    <t>Lot Size</t>
  </si>
  <si>
    <t>Entry Price</t>
  </si>
  <si>
    <t>Exit Price</t>
  </si>
  <si>
    <t>Points</t>
  </si>
  <si>
    <t>Gross Profit</t>
  </si>
  <si>
    <t>Sell Value</t>
  </si>
  <si>
    <t>Buy Value</t>
  </si>
  <si>
    <t>Total T/O</t>
  </si>
  <si>
    <t>Total Expense</t>
  </si>
  <si>
    <t>SENSEX</t>
  </si>
  <si>
    <t>SHORT</t>
  </si>
  <si>
    <t>CE</t>
  </si>
  <si>
    <t>LONG</t>
  </si>
  <si>
    <t>NIFTY</t>
  </si>
  <si>
    <t>PE</t>
  </si>
  <si>
    <t>MIDCPNIFTY</t>
  </si>
  <si>
    <t>BANKNIFTY</t>
  </si>
  <si>
    <t>XX</t>
  </si>
  <si>
    <t>Qty</t>
  </si>
  <si>
    <t xml:space="preserve">Gross Profit      </t>
  </si>
  <si>
    <t>TOTAL EXPENS</t>
  </si>
  <si>
    <t>FUT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</si>
</sst>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4" formatCode="_ &quot;₹&quot;\ * #,##0.00_ ;_ &quot;₹&quot;\ * \-#,##0.00_ ;_ &quot;₹&quot;\ * &quot;-&quot;??_ ;_ @_ "/>
    <numFmt numFmtId="43" formatCode="_ * #,##0.00_ ;_ * \-#,##0.00_ ;_ * &quot;-&quot;??_ ;_ @_ "/>
    <numFmt numFmtId="164" formatCode="_ &quot;₹&quot;\ * #,##0_ ;_ &quot;₹&quot;\ * \-#,##0_ ;_ &quot;₹&quot;\ * &quot;-&quot;??_ ;_ @_ "/>
    <numFmt numFmtId="165" formatCode="_ * #,##0_ ;_ * \-#,##0_ ;_ * &quot;-&quot;??_ ;_ @_ "/>
    <numFmt numFmtId="166" formatCode="dd\-mm\-yyyy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orbel"/>
      <family val="2"/>
    </font>
    <font>
      <sz val="11"/>
      <color theme="1"/>
      <name val="Corbel"/>
      <family val="2"/>
    </font>
    <font>
      <sz val="11"/>
      <name val="Corbel"/>
      <family val="2"/>
    </font>
    <font>
      <b/>
      <sz val="12"/>
      <color theme="1"/>
      <name val="Corbel"/>
      <family val="2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8">
    <xf numFmtId="0" fontId="0" fillId="0" borderId="0"/>
    <xf numFmtId="9" fontId="1" fillId="0" borderId="0"/>
    <xf numFmtId="43" fontId="1" fillId="0" borderId="0"/>
    <xf numFmtId="43" fontId="1" fillId="0" borderId="0"/>
    <xf numFmtId="44" fontId="1" fillId="0" borderId="0"/>
    <xf numFmtId="43" fontId="1" fillId="0" borderId="0"/>
    <xf numFmtId="43" fontId="1" fillId="0" borderId="0"/>
    <xf numFmtId="43" fontId="1" fillId="0" borderId="0"/>
  </cellStyleXfs>
  <cellXfs count="56">
    <xf numFmtId="0" fontId="0" fillId="0" borderId="0" xfId="0"/>
    <xf numFmtId="14" fontId="3" fillId="0" borderId="0" xfId="0" applyNumberFormat="1" applyFont="1"/>
    <xf numFmtId="0" fontId="6" fillId="0" borderId="0" xfId="0" applyFont="1"/>
    <xf numFmtId="0" fontId="0" fillId="0" borderId="0" xfId="0" applyAlignment="1">
      <alignment horizontal="center"/>
    </xf>
    <xf numFmtId="9" fontId="3" fillId="0" borderId="3" xfId="1" applyFont="1" applyBorder="1"/>
    <xf numFmtId="14" fontId="0" fillId="0" borderId="0" xfId="0" applyNumberFormat="1"/>
    <xf numFmtId="2" fontId="5" fillId="3" borderId="7" xfId="5" applyNumberFormat="1" applyFont="1" applyFill="1" applyBorder="1" applyAlignment="1">
      <alignment horizontal="center" vertical="center" wrapText="1"/>
    </xf>
    <xf numFmtId="2" fontId="0" fillId="0" borderId="0" xfId="0" applyNumberFormat="1"/>
    <xf numFmtId="14" fontId="0" fillId="0" borderId="1" xfId="0" applyNumberFormat="1" applyBorder="1"/>
    <xf numFmtId="0" fontId="3" fillId="0" borderId="1" xfId="0" applyFont="1" applyBorder="1"/>
    <xf numFmtId="2" fontId="0" fillId="0" borderId="1" xfId="0" applyNumberFormat="1" applyBorder="1"/>
    <xf numFmtId="2" fontId="0" fillId="0" borderId="9" xfId="0" applyNumberFormat="1" applyBorder="1"/>
    <xf numFmtId="14" fontId="1" fillId="0" borderId="1" xfId="0" applyNumberFormat="1" applyFont="1" applyBorder="1"/>
    <xf numFmtId="1" fontId="1" fillId="0" borderId="1" xfId="0" applyNumberFormat="1" applyFont="1" applyBorder="1"/>
    <xf numFmtId="0" fontId="1" fillId="0" borderId="0" xfId="0" applyFont="1"/>
    <xf numFmtId="2" fontId="1" fillId="4" borderId="1" xfId="0" applyNumberFormat="1" applyFont="1" applyFill="1" applyBorder="1"/>
    <xf numFmtId="0" fontId="0" fillId="0" borderId="0" xfId="0"/>
    <xf numFmtId="164" fontId="3" fillId="0" borderId="0" xfId="0" applyNumberFormat="1" applyFont="1"/>
    <xf numFmtId="164" fontId="0" fillId="0" borderId="0" xfId="0" applyNumberFormat="1"/>
    <xf numFmtId="164" fontId="2" fillId="0" borderId="2" xfId="0" applyNumberFormat="1" applyFont="1" applyBorder="1"/>
    <xf numFmtId="164" fontId="3" fillId="0" borderId="4" xfId="5" applyNumberFormat="1" applyFont="1" applyBorder="1"/>
    <xf numFmtId="164" fontId="2" fillId="0" borderId="5" xfId="0" applyNumberFormat="1" applyFont="1" applyBorder="1"/>
    <xf numFmtId="164" fontId="3" fillId="0" borderId="0" xfId="1" applyNumberFormat="1" applyFont="1"/>
    <xf numFmtId="164" fontId="6" fillId="0" borderId="2" xfId="0" applyNumberFormat="1" applyFont="1" applyBorder="1"/>
    <xf numFmtId="164" fontId="0" fillId="0" borderId="2" xfId="0" applyNumberFormat="1" applyBorder="1"/>
    <xf numFmtId="165" fontId="0" fillId="0" borderId="0" xfId="5" applyNumberFormat="1" applyFont="1" applyAlignment="1">
      <alignment horizontal="center"/>
    </xf>
    <xf numFmtId="164" fontId="2" fillId="0" borderId="1" xfId="0" applyNumberFormat="1" applyFont="1" applyBorder="1" applyAlignment="1">
      <alignment horizontal="center"/>
    </xf>
    <xf numFmtId="164" fontId="2" fillId="0" borderId="0" xfId="0" applyNumberFormat="1" applyFont="1" applyAlignment="1">
      <alignment horizontal="center"/>
    </xf>
    <xf numFmtId="164" fontId="2" fillId="0" borderId="1" xfId="0" applyNumberFormat="1" applyFont="1" applyBorder="1"/>
    <xf numFmtId="164" fontId="3" fillId="0" borderId="1" xfId="0" applyNumberFormat="1" applyFont="1" applyBorder="1"/>
    <xf numFmtId="164" fontId="2" fillId="0" borderId="1" xfId="0" applyNumberFormat="1" applyFont="1" applyBorder="1" applyAlignment="1">
      <alignment horizontal="left"/>
    </xf>
    <xf numFmtId="164" fontId="4" fillId="0" borderId="1" xfId="4" applyNumberFormat="1" applyFont="1" applyBorder="1"/>
    <xf numFmtId="165" fontId="0" fillId="0" borderId="0" xfId="0" applyNumberFormat="1"/>
    <xf numFmtId="165" fontId="1" fillId="0" borderId="0" xfId="5" applyNumberFormat="1"/>
    <xf numFmtId="164" fontId="4" fillId="0" borderId="0" xfId="4" applyNumberFormat="1" applyFont="1"/>
    <xf numFmtId="164" fontId="3" fillId="2" borderId="2" xfId="0" applyNumberFormat="1" applyFont="1" applyFill="1" applyBorder="1"/>
    <xf numFmtId="164" fontId="2" fillId="0" borderId="0" xfId="0" applyNumberFormat="1" applyFont="1"/>
    <xf numFmtId="164" fontId="2" fillId="0" borderId="0" xfId="0" applyNumberFormat="1" applyFont="1" applyAlignment="1">
      <alignment horizontal="left"/>
    </xf>
    <xf numFmtId="165" fontId="5" fillId="3" borderId="7" xfId="5" applyNumberFormat="1" applyFont="1" applyFill="1" applyBorder="1" applyAlignment="1">
      <alignment horizontal="center" vertical="center" wrapText="1"/>
    </xf>
    <xf numFmtId="3" fontId="1" fillId="0" borderId="1" xfId="0" applyNumberFormat="1" applyFont="1" applyBorder="1"/>
    <xf numFmtId="4" fontId="3" fillId="0" borderId="1" xfId="0" applyNumberFormat="1" applyFont="1" applyBorder="1"/>
    <xf numFmtId="1" fontId="0" fillId="0" borderId="1" xfId="0" applyNumberFormat="1" applyBorder="1"/>
    <xf numFmtId="3" fontId="0" fillId="0" borderId="1" xfId="0" applyNumberFormat="1" applyBorder="1"/>
    <xf numFmtId="4" fontId="3" fillId="0" borderId="1" xfId="5" applyNumberFormat="1" applyFont="1" applyBorder="1"/>
    <xf numFmtId="1" fontId="0" fillId="0" borderId="0" xfId="0" applyNumberFormat="1" applyAlignment="1">
      <alignment horizontal="right"/>
    </xf>
    <xf numFmtId="2" fontId="1" fillId="0" borderId="1" xfId="0" applyNumberFormat="1" applyFont="1" applyBorder="1"/>
    <xf numFmtId="43" fontId="0" fillId="0" borderId="0" xfId="0" applyNumberFormat="1"/>
    <xf numFmtId="44" fontId="0" fillId="0" borderId="0" xfId="0" applyNumberFormat="1"/>
    <xf numFmtId="43" fontId="0" fillId="0" borderId="0" xfId="5" applyFont="1"/>
    <xf numFmtId="43" fontId="3" fillId="0" borderId="0" xfId="5" applyFont="1"/>
    <xf numFmtId="43" fontId="5" fillId="3" borderId="7" xfId="5" applyFont="1" applyFill="1" applyBorder="1" applyAlignment="1">
      <alignment horizontal="center" vertical="center" wrapText="1"/>
    </xf>
    <xf numFmtId="166" fontId="1" fillId="0" borderId="1" xfId="0" applyNumberFormat="1" applyFont="1" applyBorder="1"/>
    <xf numFmtId="166" fontId="0" fillId="0" borderId="1" xfId="0" applyNumberFormat="1" applyBorder="1"/>
    <xf numFmtId="164" fontId="3" fillId="0" borderId="6" xfId="0" applyNumberFormat="1" applyFont="1" applyBorder="1" applyAlignment="1">
      <alignment horizontal="left"/>
    </xf>
    <xf numFmtId="0" fontId="0" fillId="0" borderId="8" xfId="0" applyBorder="1"/>
    <xf numFmtId="0" fontId="0" fillId="0" borderId="6" xfId="0" applyBorder="1"/>
  </cellXfs>
  <cellStyles count="8">
    <cellStyle name="Comma" xfId="5" builtinId="3"/>
    <cellStyle name="Comma 2" xfId="2"/>
    <cellStyle name="Comma 2 2" xfId="3"/>
    <cellStyle name="Comma 2 2 2" xfId="7"/>
    <cellStyle name="Comma 2 3" xfId="6"/>
    <cellStyle name="Currency" xfId="4" builtinId="4"/>
    <cellStyle name="Normal" xfId="0" builtinId="0"/>
    <cellStyle name="Percent" xfId="1" builtinId="5"/>
  </cellStyles>
  <dxfs count="1">
    <dxf>
      <fill>
        <patternFill patternType="solid">
          <fgColor rgb="FFFFFF00"/>
          <bgColor rgb="FFFFFFFF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AK77"/>
  <sheetViews>
    <sheetView showGridLines="0" zoomScaleNormal="100" workbookViewId="0">
      <pane ySplit="1" topLeftCell="A5" activePane="bottomLeft" state="frozen"/>
      <selection pane="bottomLeft" activeCell="E17" sqref="E17"/>
    </sheetView>
  </sheetViews>
  <sheetFormatPr defaultColWidth="9.140625" defaultRowHeight="15" x14ac:dyDescent="0.25"/>
  <cols>
    <col min="1" max="1" width="15.5703125" style="17" bestFit="1" customWidth="1"/>
    <col min="2" max="2" width="23.85546875" style="17" bestFit="1" customWidth="1"/>
    <col min="3" max="3" width="17.42578125" style="17" bestFit="1" customWidth="1"/>
    <col min="4" max="4" width="14.7109375" style="17" bestFit="1" customWidth="1"/>
    <col min="5" max="5" width="19.140625" style="17" customWidth="1"/>
    <col min="6" max="6" width="16.7109375" style="18" bestFit="1" customWidth="1"/>
    <col min="7" max="7" width="19.5703125" style="18" bestFit="1" customWidth="1"/>
    <col min="8" max="8" width="13.28515625" style="18" bestFit="1" customWidth="1"/>
    <col min="9" max="9" width="14" style="18" bestFit="1" customWidth="1"/>
    <col min="10" max="10" width="9.140625" style="18" customWidth="1"/>
    <col min="11" max="11" width="6.5703125" style="18" bestFit="1" customWidth="1"/>
    <col min="12" max="12" width="11.28515625" style="18" bestFit="1" customWidth="1"/>
    <col min="13" max="13" width="10.5703125" style="18" bestFit="1" customWidth="1"/>
    <col min="14" max="14" width="12.42578125" style="18" customWidth="1"/>
    <col min="15" max="15" width="16.7109375" style="18" bestFit="1" customWidth="1"/>
    <col min="16" max="16" width="17" style="18" bestFit="1" customWidth="1"/>
    <col min="17" max="17" width="16" style="18" bestFit="1" customWidth="1"/>
    <col min="18" max="18" width="16.140625" style="18" bestFit="1" customWidth="1"/>
    <col min="19" max="19" width="9.140625" style="18" customWidth="1"/>
    <col min="20" max="20" width="13.140625" style="18" bestFit="1" customWidth="1"/>
    <col min="21" max="21" width="16" style="18" bestFit="1" customWidth="1"/>
    <col min="22" max="22" width="9.140625" style="18" customWidth="1"/>
    <col min="23" max="23" width="13" style="18" customWidth="1"/>
    <col min="24" max="24" width="18.5703125" style="18" customWidth="1"/>
    <col min="25" max="25" width="14.5703125" style="18" customWidth="1"/>
    <col min="26" max="26" width="9.140625" style="18" customWidth="1"/>
    <col min="27" max="27" width="14.140625" style="18" customWidth="1"/>
    <col min="28" max="28" width="16.85546875" style="18" customWidth="1"/>
    <col min="29" max="76" width="9.140625" style="18" customWidth="1"/>
    <col min="77" max="16384" width="9.140625" style="18"/>
  </cols>
  <sheetData>
    <row r="1" spans="1:31" s="17" customFormat="1" ht="15.75" customHeight="1" thickBot="1" x14ac:dyDescent="0.3">
      <c r="A1" s="19"/>
      <c r="B1" s="20">
        <v>3800000</v>
      </c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</row>
    <row r="2" spans="1:31" s="17" customFormat="1" ht="15.75" customHeight="1" thickBot="1" x14ac:dyDescent="0.3">
      <c r="A2" s="21" t="s">
        <v>0</v>
      </c>
      <c r="B2" s="4">
        <f>B11/B1</f>
        <v>-16.543713039981441</v>
      </c>
      <c r="C2" s="22"/>
      <c r="F2" s="3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</row>
    <row r="3" spans="1:31" ht="15.75" customHeight="1" thickBot="1" x14ac:dyDescent="0.3">
      <c r="A3" s="23" t="s">
        <v>1</v>
      </c>
      <c r="B3" s="24"/>
      <c r="E3" s="1"/>
      <c r="F3" s="25"/>
      <c r="I3" s="5"/>
    </row>
    <row r="4" spans="1:31" x14ac:dyDescent="0.25">
      <c r="A4" s="18"/>
      <c r="B4" s="18"/>
      <c r="I4" s="5"/>
    </row>
    <row r="5" spans="1:31" x14ac:dyDescent="0.25">
      <c r="A5" s="18"/>
      <c r="B5" s="18"/>
      <c r="I5" s="5"/>
    </row>
    <row r="6" spans="1:31" x14ac:dyDescent="0.25">
      <c r="I6" s="5"/>
    </row>
    <row r="7" spans="1:31" x14ac:dyDescent="0.25">
      <c r="A7" s="26" t="s">
        <v>2</v>
      </c>
      <c r="B7" s="26" t="s">
        <v>3</v>
      </c>
      <c r="C7" s="26" t="s">
        <v>4</v>
      </c>
      <c r="F7" s="27"/>
      <c r="I7" s="5"/>
    </row>
    <row r="8" spans="1:31" x14ac:dyDescent="0.25">
      <c r="A8" s="28"/>
      <c r="B8" s="29"/>
      <c r="C8" s="29"/>
      <c r="D8" s="2"/>
      <c r="E8" s="2"/>
    </row>
    <row r="9" spans="1:31" ht="17.25" customHeight="1" x14ac:dyDescent="0.25">
      <c r="A9" s="30" t="s">
        <v>5</v>
      </c>
      <c r="B9" s="31">
        <f>SUM('Index F&amp;O'!P:P)</f>
        <v>-4244533.6476293765</v>
      </c>
      <c r="C9" s="31">
        <f>SUM('Index F&amp;O'!K:K)</f>
        <v>-4221879.7500000028</v>
      </c>
      <c r="D9" s="32">
        <v>-4221879.7500000028</v>
      </c>
      <c r="E9" s="33">
        <f>C9-D9</f>
        <v>0</v>
      </c>
      <c r="G9" s="18">
        <v>-4221879.7500000028</v>
      </c>
    </row>
    <row r="10" spans="1:31" ht="17.25" customHeight="1" x14ac:dyDescent="0.25">
      <c r="A10" s="30" t="s">
        <v>6</v>
      </c>
      <c r="B10" s="31">
        <f>SUM('Kripal Sir F&amp;O'!P:P)</f>
        <v>-58621575.904300101</v>
      </c>
      <c r="C10" s="31">
        <f>SUM('Kripal Sir F&amp;O'!K:K)</f>
        <v>-58520915.449999996</v>
      </c>
      <c r="D10" s="32">
        <v>-57688746.649999999</v>
      </c>
      <c r="E10" s="33">
        <f>C10-D10</f>
        <v>-832168.79999999702</v>
      </c>
      <c r="G10" s="18">
        <v>-57688746.649999999</v>
      </c>
    </row>
    <row r="11" spans="1:31" ht="17.25" customHeight="1" x14ac:dyDescent="0.25">
      <c r="A11" s="30" t="s">
        <v>7</v>
      </c>
      <c r="B11" s="31">
        <f>SUM(B9:B10)</f>
        <v>-62866109.551929474</v>
      </c>
      <c r="C11" s="31">
        <f>SUM(C9:C10)</f>
        <v>-62742795.199999996</v>
      </c>
      <c r="D11" s="46"/>
    </row>
    <row r="12" spans="1:31" ht="17.25" customHeight="1" x14ac:dyDescent="0.25">
      <c r="B12" s="34"/>
      <c r="C12" s="34"/>
      <c r="D12" s="18"/>
    </row>
    <row r="13" spans="1:31" ht="17.25" customHeight="1" x14ac:dyDescent="0.25">
      <c r="B13" s="17" t="s">
        <v>8</v>
      </c>
      <c r="C13" s="34">
        <v>-61910626.399999999</v>
      </c>
      <c r="D13" s="18"/>
      <c r="E13" s="46"/>
      <c r="F13" s="47"/>
    </row>
    <row r="14" spans="1:31" ht="17.25" customHeight="1" x14ac:dyDescent="0.25">
      <c r="B14" s="17" t="s">
        <v>9</v>
      </c>
      <c r="C14" s="34">
        <f>C11-C13</f>
        <v>-832168.79999999702</v>
      </c>
      <c r="D14" s="18"/>
      <c r="E14" s="46"/>
      <c r="F14" s="48"/>
      <c r="G14" s="48"/>
    </row>
    <row r="15" spans="1:31" ht="17.25" customHeight="1" x14ac:dyDescent="0.25">
      <c r="B15" s="34"/>
      <c r="C15" s="34"/>
      <c r="E15" s="18"/>
      <c r="F15" s="46"/>
    </row>
    <row r="16" spans="1:31" ht="17.25" customHeight="1" x14ac:dyDescent="0.25"/>
    <row r="17" spans="1:5" ht="17.25" customHeight="1" thickBot="1" x14ac:dyDescent="0.3">
      <c r="A17" s="18"/>
      <c r="B17" s="34"/>
      <c r="C17" s="34"/>
      <c r="D17" s="18"/>
      <c r="E17" s="18"/>
    </row>
    <row r="18" spans="1:5" ht="15.75" customHeight="1" thickBot="1" x14ac:dyDescent="0.3">
      <c r="A18" s="19" t="s">
        <v>10</v>
      </c>
    </row>
    <row r="19" spans="1:5" ht="15.75" customHeight="1" thickBot="1" x14ac:dyDescent="0.3">
      <c r="A19" s="35"/>
      <c r="B19" s="53" t="s">
        <v>11</v>
      </c>
      <c r="C19" s="54"/>
      <c r="D19" s="54"/>
      <c r="E19" s="55"/>
    </row>
    <row r="23" spans="1:5" x14ac:dyDescent="0.25">
      <c r="E23" s="18"/>
    </row>
    <row r="24" spans="1:5" x14ac:dyDescent="0.25">
      <c r="E24" s="18"/>
    </row>
    <row r="25" spans="1:5" x14ac:dyDescent="0.25">
      <c r="A25" s="27"/>
      <c r="B25" s="27"/>
      <c r="E25" s="18"/>
    </row>
    <row r="26" spans="1:5" x14ac:dyDescent="0.25">
      <c r="A26" s="36"/>
      <c r="E26" s="18"/>
    </row>
    <row r="27" spans="1:5" x14ac:dyDescent="0.25">
      <c r="A27" s="37"/>
      <c r="B27" s="49"/>
      <c r="E27" s="18"/>
    </row>
    <row r="28" spans="1:5" x14ac:dyDescent="0.25">
      <c r="A28" s="37"/>
      <c r="B28" s="34"/>
      <c r="E28" s="18"/>
    </row>
    <row r="29" spans="1:5" x14ac:dyDescent="0.25">
      <c r="A29" s="37"/>
      <c r="B29" s="34"/>
      <c r="E29" s="18"/>
    </row>
    <row r="30" spans="1:5" x14ac:dyDescent="0.25">
      <c r="A30" s="37"/>
      <c r="B30" s="34"/>
      <c r="E30" s="18"/>
    </row>
    <row r="31" spans="1:5" x14ac:dyDescent="0.25">
      <c r="A31" s="37"/>
      <c r="B31" s="34"/>
      <c r="E31" s="18"/>
    </row>
    <row r="32" spans="1:5" x14ac:dyDescent="0.25">
      <c r="A32" s="37"/>
      <c r="B32" s="34"/>
      <c r="E32" s="18"/>
    </row>
    <row r="33" spans="1:5" x14ac:dyDescent="0.25">
      <c r="A33" s="37"/>
      <c r="B33" s="34"/>
      <c r="E33" s="18"/>
    </row>
    <row r="34" spans="1:5" x14ac:dyDescent="0.25">
      <c r="E34" s="18"/>
    </row>
    <row r="35" spans="1:5" x14ac:dyDescent="0.25">
      <c r="E35" s="18"/>
    </row>
    <row r="58" spans="33:37" x14ac:dyDescent="0.25">
      <c r="AG58" s="17"/>
      <c r="AH58" s="17"/>
      <c r="AI58" s="17"/>
      <c r="AJ58" s="17"/>
      <c r="AK58" s="17"/>
    </row>
    <row r="77" spans="33:37" x14ac:dyDescent="0.25">
      <c r="AG77" s="17"/>
      <c r="AH77" s="17"/>
      <c r="AI77" s="17"/>
      <c r="AJ77" s="17"/>
      <c r="AK77" s="17"/>
    </row>
  </sheetData>
  <mergeCells count="1">
    <mergeCell ref="B19:E19"/>
  </mergeCells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 filterMode="1"/>
  <dimension ref="A1:S229"/>
  <sheetViews>
    <sheetView tabSelected="1" zoomScaleNormal="100" workbookViewId="0">
      <pane ySplit="1" topLeftCell="A195" activePane="bottomLeft" state="frozen"/>
      <selection pane="bottomLeft" activeCell="J230" sqref="J230"/>
    </sheetView>
  </sheetViews>
  <sheetFormatPr defaultRowHeight="15" x14ac:dyDescent="0.25"/>
  <cols>
    <col min="1" max="1" width="13.140625" style="16" bestFit="1" customWidth="1"/>
    <col min="2" max="2" width="12.85546875" style="16" bestFit="1" customWidth="1"/>
    <col min="3" max="3" width="13.140625" style="16" bestFit="1" customWidth="1"/>
    <col min="4" max="4" width="10.140625" style="16" customWidth="1"/>
    <col min="5" max="5" width="10.7109375" style="16" bestFit="1" customWidth="1"/>
    <col min="6" max="6" width="8.28515625" style="16" customWidth="1"/>
    <col min="7" max="7" width="9.5703125" style="16" customWidth="1"/>
    <col min="8" max="8" width="8.42578125" style="46" customWidth="1"/>
    <col min="9" max="9" width="11" style="46" bestFit="1" customWidth="1"/>
    <col min="10" max="10" width="7.85546875" style="16" customWidth="1"/>
    <col min="11" max="11" width="17" style="16" customWidth="1"/>
    <col min="12" max="12" width="17.85546875" style="16" bestFit="1" customWidth="1"/>
    <col min="13" max="13" width="18.28515625" style="16" bestFit="1" customWidth="1"/>
    <col min="14" max="14" width="13.28515625" style="16" customWidth="1"/>
    <col min="15" max="15" width="13.5703125" style="16" customWidth="1"/>
    <col min="16" max="16" width="16.85546875" style="16" bestFit="1" customWidth="1"/>
    <col min="17" max="17" width="17.7109375" style="16" bestFit="1" customWidth="1"/>
    <col min="18" max="18" width="17.28515625" style="16" bestFit="1" customWidth="1"/>
  </cols>
  <sheetData>
    <row r="1" spans="1:19" ht="31.5" customHeight="1" x14ac:dyDescent="0.25">
      <c r="A1" s="50" t="s">
        <v>12</v>
      </c>
      <c r="B1" s="50" t="s">
        <v>13</v>
      </c>
      <c r="C1" s="50" t="s">
        <v>14</v>
      </c>
      <c r="D1" s="50" t="s">
        <v>15</v>
      </c>
      <c r="E1" s="50" t="s">
        <v>16</v>
      </c>
      <c r="F1" s="50" t="s">
        <v>17</v>
      </c>
      <c r="G1" s="50" t="s">
        <v>18</v>
      </c>
      <c r="H1" s="50" t="s">
        <v>19</v>
      </c>
      <c r="I1" s="50" t="s">
        <v>20</v>
      </c>
      <c r="J1" s="50" t="s">
        <v>21</v>
      </c>
      <c r="K1" s="50" t="s">
        <v>22</v>
      </c>
      <c r="L1" s="50" t="s">
        <v>23</v>
      </c>
      <c r="M1" s="50" t="s">
        <v>24</v>
      </c>
      <c r="N1" s="50" t="s">
        <v>25</v>
      </c>
      <c r="O1" s="50" t="s">
        <v>26</v>
      </c>
      <c r="P1" s="50" t="s">
        <v>3</v>
      </c>
    </row>
    <row r="2" spans="1:19" hidden="1" x14ac:dyDescent="0.25">
      <c r="A2" s="51">
        <v>46155</v>
      </c>
      <c r="B2" s="9" t="s">
        <v>27</v>
      </c>
      <c r="C2" s="51">
        <v>46156</v>
      </c>
      <c r="D2" s="9" t="s">
        <v>28</v>
      </c>
      <c r="E2" s="9" t="s">
        <v>29</v>
      </c>
      <c r="F2" s="13">
        <v>74500</v>
      </c>
      <c r="G2" s="39">
        <v>8460</v>
      </c>
      <c r="H2" s="45">
        <v>440.64</v>
      </c>
      <c r="I2" s="45">
        <v>877.56</v>
      </c>
      <c r="J2" s="40">
        <f t="shared" ref="J2:J65" si="0">IF(D2="Short",H2-I2,I2-H2)</f>
        <v>-436.91999999999996</v>
      </c>
      <c r="K2" s="40">
        <f t="shared" ref="K2:K65" si="1">J2*G2</f>
        <v>-3696343.1999999997</v>
      </c>
      <c r="L2" s="40">
        <f t="shared" ref="L2:L65" si="2">IF(D2="Short",G2*H2,G2*I2)</f>
        <v>3727814.4</v>
      </c>
      <c r="M2" s="40">
        <f t="shared" ref="M2:M65" si="3">IF(D2="Short",G2*I2,H2*G2)</f>
        <v>7424157.5999999996</v>
      </c>
      <c r="N2" s="40">
        <f t="shared" ref="N2:N65" si="4">L2+M2</f>
        <v>11151972</v>
      </c>
      <c r="O2" s="40">
        <f t="shared" ref="O2:O65" si="5">N2*0.000134</f>
        <v>1494.3642480000001</v>
      </c>
      <c r="P2" s="40">
        <f t="shared" ref="P2:P65" si="6">K2-O2</f>
        <v>-3697837.5642479998</v>
      </c>
      <c r="Q2" s="14"/>
      <c r="R2" s="14"/>
      <c r="S2" s="14"/>
    </row>
    <row r="3" spans="1:19" hidden="1" x14ac:dyDescent="0.25">
      <c r="A3" s="51">
        <v>46155</v>
      </c>
      <c r="B3" s="9" t="s">
        <v>27</v>
      </c>
      <c r="C3" s="51">
        <v>46156</v>
      </c>
      <c r="D3" s="9" t="s">
        <v>30</v>
      </c>
      <c r="E3" s="9" t="s">
        <v>29</v>
      </c>
      <c r="F3" s="13">
        <v>76500</v>
      </c>
      <c r="G3" s="39">
        <v>8460</v>
      </c>
      <c r="H3" s="45">
        <v>12.73</v>
      </c>
      <c r="I3" s="45">
        <v>0.13</v>
      </c>
      <c r="J3" s="40">
        <f t="shared" si="0"/>
        <v>-12.6</v>
      </c>
      <c r="K3" s="40">
        <f t="shared" si="1"/>
        <v>-106596</v>
      </c>
      <c r="L3" s="40">
        <f t="shared" si="2"/>
        <v>1099.8</v>
      </c>
      <c r="M3" s="40">
        <f t="shared" si="3"/>
        <v>107695.8</v>
      </c>
      <c r="N3" s="40">
        <f t="shared" si="4"/>
        <v>108795.6</v>
      </c>
      <c r="O3" s="40">
        <f t="shared" si="5"/>
        <v>14.578610400000001</v>
      </c>
      <c r="P3" s="40">
        <f t="shared" si="6"/>
        <v>-106610.5786104</v>
      </c>
      <c r="Q3" s="14"/>
      <c r="R3" s="14"/>
      <c r="S3" s="14"/>
    </row>
    <row r="4" spans="1:19" hidden="1" x14ac:dyDescent="0.25">
      <c r="A4" s="51">
        <v>46156</v>
      </c>
      <c r="B4" s="9" t="s">
        <v>31</v>
      </c>
      <c r="C4" s="51">
        <v>46161</v>
      </c>
      <c r="D4" s="9" t="s">
        <v>30</v>
      </c>
      <c r="E4" s="9" t="s">
        <v>29</v>
      </c>
      <c r="F4" s="13">
        <v>24600</v>
      </c>
      <c r="G4" s="39">
        <v>14300</v>
      </c>
      <c r="H4" s="45">
        <v>5.18</v>
      </c>
      <c r="I4" s="45">
        <v>4.8</v>
      </c>
      <c r="J4" s="40">
        <f t="shared" si="0"/>
        <v>-0.37999999999999989</v>
      </c>
      <c r="K4" s="40">
        <f t="shared" si="1"/>
        <v>-5433.9999999999982</v>
      </c>
      <c r="L4" s="40">
        <f t="shared" si="2"/>
        <v>68640</v>
      </c>
      <c r="M4" s="40">
        <f t="shared" si="3"/>
        <v>74074</v>
      </c>
      <c r="N4" s="40">
        <f t="shared" si="4"/>
        <v>142714</v>
      </c>
      <c r="O4" s="40">
        <f t="shared" si="5"/>
        <v>19.123676</v>
      </c>
      <c r="P4" s="40">
        <f t="shared" si="6"/>
        <v>-5453.1236759999983</v>
      </c>
      <c r="Q4" s="14"/>
      <c r="R4" s="14"/>
      <c r="S4" s="14"/>
    </row>
    <row r="5" spans="1:19" hidden="1" x14ac:dyDescent="0.25">
      <c r="A5" s="51">
        <v>46156</v>
      </c>
      <c r="B5" s="9" t="s">
        <v>31</v>
      </c>
      <c r="C5" s="51">
        <v>46161</v>
      </c>
      <c r="D5" s="9" t="s">
        <v>28</v>
      </c>
      <c r="E5" s="9" t="s">
        <v>29</v>
      </c>
      <c r="F5" s="13">
        <v>24000</v>
      </c>
      <c r="G5" s="39">
        <v>14300</v>
      </c>
      <c r="H5" s="45">
        <v>58.89</v>
      </c>
      <c r="I5" s="45">
        <v>57.85</v>
      </c>
      <c r="J5" s="40">
        <f t="shared" si="0"/>
        <v>1.0399999999999991</v>
      </c>
      <c r="K5" s="40">
        <f t="shared" si="1"/>
        <v>14871.999999999987</v>
      </c>
      <c r="L5" s="40">
        <f t="shared" si="2"/>
        <v>842127</v>
      </c>
      <c r="M5" s="40">
        <f t="shared" si="3"/>
        <v>827255</v>
      </c>
      <c r="N5" s="40">
        <f t="shared" si="4"/>
        <v>1669382</v>
      </c>
      <c r="O5" s="40">
        <f t="shared" si="5"/>
        <v>223.69718800000001</v>
      </c>
      <c r="P5" s="40">
        <f t="shared" si="6"/>
        <v>14648.302811999987</v>
      </c>
      <c r="Q5" s="14"/>
      <c r="R5" s="14"/>
      <c r="S5" s="14"/>
    </row>
    <row r="6" spans="1:19" hidden="1" x14ac:dyDescent="0.25">
      <c r="A6" s="51">
        <v>46156</v>
      </c>
      <c r="B6" s="9" t="s">
        <v>31</v>
      </c>
      <c r="C6" s="51">
        <v>46161</v>
      </c>
      <c r="D6" s="9" t="s">
        <v>30</v>
      </c>
      <c r="E6" s="9" t="s">
        <v>32</v>
      </c>
      <c r="F6" s="13">
        <v>22700</v>
      </c>
      <c r="G6" s="39">
        <v>14300</v>
      </c>
      <c r="H6" s="45">
        <v>11.26</v>
      </c>
      <c r="I6" s="45">
        <v>6.18</v>
      </c>
      <c r="J6" s="40">
        <f t="shared" si="0"/>
        <v>-5.08</v>
      </c>
      <c r="K6" s="40">
        <f t="shared" si="1"/>
        <v>-72644</v>
      </c>
      <c r="L6" s="40">
        <f t="shared" si="2"/>
        <v>88374</v>
      </c>
      <c r="M6" s="40">
        <f t="shared" si="3"/>
        <v>161018</v>
      </c>
      <c r="N6" s="40">
        <f t="shared" si="4"/>
        <v>249392</v>
      </c>
      <c r="O6" s="40">
        <f t="shared" si="5"/>
        <v>33.418528000000002</v>
      </c>
      <c r="P6" s="40">
        <f t="shared" si="6"/>
        <v>-72677.418527999995</v>
      </c>
      <c r="Q6" s="14"/>
      <c r="R6" s="14"/>
      <c r="S6" s="14"/>
    </row>
    <row r="7" spans="1:19" hidden="1" x14ac:dyDescent="0.25">
      <c r="A7" s="51">
        <v>46156</v>
      </c>
      <c r="B7" s="9" t="s">
        <v>31</v>
      </c>
      <c r="C7" s="51">
        <v>46161</v>
      </c>
      <c r="D7" s="9" t="s">
        <v>28</v>
      </c>
      <c r="E7" s="9" t="s">
        <v>32</v>
      </c>
      <c r="F7" s="13">
        <v>23500</v>
      </c>
      <c r="G7" s="39">
        <v>14300</v>
      </c>
      <c r="H7" s="45">
        <v>86.91</v>
      </c>
      <c r="I7" s="45">
        <v>72.28</v>
      </c>
      <c r="J7" s="40">
        <f t="shared" si="0"/>
        <v>14.629999999999995</v>
      </c>
      <c r="K7" s="40">
        <f t="shared" si="1"/>
        <v>209208.99999999994</v>
      </c>
      <c r="L7" s="40">
        <f t="shared" si="2"/>
        <v>1242813</v>
      </c>
      <c r="M7" s="40">
        <f t="shared" si="3"/>
        <v>1033604</v>
      </c>
      <c r="N7" s="40">
        <f t="shared" si="4"/>
        <v>2276417</v>
      </c>
      <c r="O7" s="40">
        <f t="shared" si="5"/>
        <v>305.03987799999999</v>
      </c>
      <c r="P7" s="40">
        <f t="shared" si="6"/>
        <v>208903.96012199993</v>
      </c>
      <c r="Q7" s="14"/>
      <c r="R7" s="14"/>
      <c r="S7" s="14"/>
    </row>
    <row r="8" spans="1:19" hidden="1" x14ac:dyDescent="0.25">
      <c r="A8" s="51">
        <v>46157</v>
      </c>
      <c r="B8" s="9" t="s">
        <v>31</v>
      </c>
      <c r="C8" s="51">
        <v>46161</v>
      </c>
      <c r="D8" s="9" t="s">
        <v>28</v>
      </c>
      <c r="E8" s="9" t="s">
        <v>32</v>
      </c>
      <c r="F8" s="13">
        <v>23700</v>
      </c>
      <c r="G8" s="39">
        <v>14300</v>
      </c>
      <c r="H8" s="45">
        <v>121.72</v>
      </c>
      <c r="I8" s="45">
        <v>157.82</v>
      </c>
      <c r="J8" s="40">
        <f t="shared" si="0"/>
        <v>-36.099999999999994</v>
      </c>
      <c r="K8" s="40">
        <f t="shared" si="1"/>
        <v>-516229.99999999994</v>
      </c>
      <c r="L8" s="40">
        <f t="shared" si="2"/>
        <v>1740596</v>
      </c>
      <c r="M8" s="40">
        <f t="shared" si="3"/>
        <v>2256826</v>
      </c>
      <c r="N8" s="40">
        <f t="shared" si="4"/>
        <v>3997422</v>
      </c>
      <c r="O8" s="40">
        <f t="shared" si="5"/>
        <v>535.65454799999998</v>
      </c>
      <c r="P8" s="40">
        <f t="shared" si="6"/>
        <v>-516765.65454799996</v>
      </c>
      <c r="Q8" s="14"/>
      <c r="R8" s="14"/>
      <c r="S8" s="14"/>
    </row>
    <row r="9" spans="1:19" hidden="1" x14ac:dyDescent="0.25">
      <c r="A9" s="51">
        <v>46157</v>
      </c>
      <c r="B9" s="9" t="s">
        <v>31</v>
      </c>
      <c r="C9" s="51">
        <v>46161</v>
      </c>
      <c r="D9" s="9" t="s">
        <v>28</v>
      </c>
      <c r="E9" s="9" t="s">
        <v>29</v>
      </c>
      <c r="F9" s="13">
        <v>23800</v>
      </c>
      <c r="G9" s="39">
        <v>14300</v>
      </c>
      <c r="H9" s="45">
        <v>144.59</v>
      </c>
      <c r="I9" s="45">
        <v>115.6</v>
      </c>
      <c r="J9" s="40">
        <f t="shared" si="0"/>
        <v>28.990000000000009</v>
      </c>
      <c r="K9" s="40">
        <f t="shared" si="1"/>
        <v>414557.00000000012</v>
      </c>
      <c r="L9" s="40">
        <f t="shared" si="2"/>
        <v>2067637</v>
      </c>
      <c r="M9" s="40">
        <f t="shared" si="3"/>
        <v>1653080</v>
      </c>
      <c r="N9" s="40">
        <f t="shared" si="4"/>
        <v>3720717</v>
      </c>
      <c r="O9" s="40">
        <f t="shared" si="5"/>
        <v>498.576078</v>
      </c>
      <c r="P9" s="40">
        <f t="shared" si="6"/>
        <v>414058.4239220001</v>
      </c>
      <c r="Q9" s="14"/>
      <c r="R9" s="14"/>
      <c r="S9" s="14"/>
    </row>
    <row r="10" spans="1:19" hidden="1" x14ac:dyDescent="0.25">
      <c r="A10" s="51">
        <v>46157</v>
      </c>
      <c r="B10" s="9" t="s">
        <v>31</v>
      </c>
      <c r="C10" s="51">
        <v>46161</v>
      </c>
      <c r="D10" s="9" t="s">
        <v>30</v>
      </c>
      <c r="E10" s="9" t="s">
        <v>32</v>
      </c>
      <c r="F10" s="13">
        <v>23500</v>
      </c>
      <c r="G10" s="39">
        <v>14300</v>
      </c>
      <c r="H10" s="45">
        <v>72.28</v>
      </c>
      <c r="I10" s="45">
        <v>78.27</v>
      </c>
      <c r="J10" s="40">
        <f t="shared" si="0"/>
        <v>5.9899999999999949</v>
      </c>
      <c r="K10" s="40">
        <f t="shared" si="1"/>
        <v>85656.999999999927</v>
      </c>
      <c r="L10" s="40">
        <f t="shared" si="2"/>
        <v>1119261</v>
      </c>
      <c r="M10" s="40">
        <f t="shared" si="3"/>
        <v>1033604</v>
      </c>
      <c r="N10" s="40">
        <f t="shared" si="4"/>
        <v>2152865</v>
      </c>
      <c r="O10" s="40">
        <f t="shared" si="5"/>
        <v>288.48391000000004</v>
      </c>
      <c r="P10" s="40">
        <f t="shared" si="6"/>
        <v>85368.516089999932</v>
      </c>
      <c r="Q10" s="14"/>
      <c r="R10" s="14"/>
      <c r="S10" s="14"/>
    </row>
    <row r="11" spans="1:19" hidden="1" x14ac:dyDescent="0.25">
      <c r="A11" s="51">
        <v>46157</v>
      </c>
      <c r="B11" s="9" t="s">
        <v>33</v>
      </c>
      <c r="C11" s="51">
        <v>46168</v>
      </c>
      <c r="D11" s="9" t="s">
        <v>30</v>
      </c>
      <c r="E11" s="9" t="s">
        <v>32</v>
      </c>
      <c r="F11" s="13">
        <v>14000</v>
      </c>
      <c r="G11" s="39">
        <v>27360</v>
      </c>
      <c r="H11" s="45">
        <v>137.30000000000001</v>
      </c>
      <c r="I11" s="45">
        <v>33.79</v>
      </c>
      <c r="J11" s="40">
        <f t="shared" si="0"/>
        <v>-103.51000000000002</v>
      </c>
      <c r="K11" s="40">
        <f t="shared" si="1"/>
        <v>-2832033.6000000006</v>
      </c>
      <c r="L11" s="40">
        <f t="shared" si="2"/>
        <v>924494.4</v>
      </c>
      <c r="M11" s="40">
        <f t="shared" si="3"/>
        <v>3756528.0000000005</v>
      </c>
      <c r="N11" s="40">
        <f t="shared" si="4"/>
        <v>4681022.4000000004</v>
      </c>
      <c r="O11" s="40">
        <f t="shared" si="5"/>
        <v>627.25700160000008</v>
      </c>
      <c r="P11" s="40">
        <f t="shared" si="6"/>
        <v>-2832660.8570016008</v>
      </c>
      <c r="Q11" s="14"/>
      <c r="R11" s="14"/>
      <c r="S11" s="14"/>
    </row>
    <row r="12" spans="1:19" hidden="1" x14ac:dyDescent="0.25">
      <c r="A12" s="51">
        <v>46157</v>
      </c>
      <c r="B12" s="9" t="s">
        <v>33</v>
      </c>
      <c r="C12" s="51">
        <v>46168</v>
      </c>
      <c r="D12" s="9" t="s">
        <v>28</v>
      </c>
      <c r="E12" s="9" t="s">
        <v>29</v>
      </c>
      <c r="F12" s="13">
        <v>14000</v>
      </c>
      <c r="G12" s="39">
        <v>27360</v>
      </c>
      <c r="H12" s="45">
        <v>334.27</v>
      </c>
      <c r="I12" s="45">
        <v>428.94</v>
      </c>
      <c r="J12" s="40">
        <f t="shared" si="0"/>
        <v>-94.670000000000016</v>
      </c>
      <c r="K12" s="40">
        <f t="shared" si="1"/>
        <v>-2590171.2000000007</v>
      </c>
      <c r="L12" s="40">
        <f t="shared" si="2"/>
        <v>9145627.1999999993</v>
      </c>
      <c r="M12" s="40">
        <f t="shared" si="3"/>
        <v>11735798.4</v>
      </c>
      <c r="N12" s="40">
        <f t="shared" si="4"/>
        <v>20881425.600000001</v>
      </c>
      <c r="O12" s="40">
        <f t="shared" si="5"/>
        <v>2798.1110304000003</v>
      </c>
      <c r="P12" s="40">
        <f t="shared" si="6"/>
        <v>-2592969.3110304005</v>
      </c>
      <c r="Q12" s="14"/>
      <c r="R12" s="14"/>
      <c r="S12" s="14"/>
    </row>
    <row r="13" spans="1:19" hidden="1" x14ac:dyDescent="0.25">
      <c r="A13" s="51">
        <v>46157</v>
      </c>
      <c r="B13" s="9" t="s">
        <v>33</v>
      </c>
      <c r="C13" s="51">
        <v>46168</v>
      </c>
      <c r="D13" s="9" t="s">
        <v>30</v>
      </c>
      <c r="E13" s="9" t="s">
        <v>29</v>
      </c>
      <c r="F13" s="13">
        <v>14500</v>
      </c>
      <c r="G13" s="39">
        <v>10560</v>
      </c>
      <c r="H13" s="45">
        <v>87.62</v>
      </c>
      <c r="I13" s="45">
        <v>93.21</v>
      </c>
      <c r="J13" s="40">
        <f t="shared" si="0"/>
        <v>5.5899999999999892</v>
      </c>
      <c r="K13" s="40">
        <f t="shared" si="1"/>
        <v>59030.399999999885</v>
      </c>
      <c r="L13" s="40">
        <f t="shared" si="2"/>
        <v>984297.6</v>
      </c>
      <c r="M13" s="40">
        <f t="shared" si="3"/>
        <v>925267.20000000007</v>
      </c>
      <c r="N13" s="40">
        <f t="shared" si="4"/>
        <v>1909564.8</v>
      </c>
      <c r="O13" s="40">
        <f t="shared" si="5"/>
        <v>255.88168320000003</v>
      </c>
      <c r="P13" s="40">
        <f t="shared" si="6"/>
        <v>58774.518316799884</v>
      </c>
      <c r="Q13" s="14"/>
      <c r="R13" s="14"/>
      <c r="S13" s="14"/>
    </row>
    <row r="14" spans="1:19" hidden="1" x14ac:dyDescent="0.25">
      <c r="A14" s="51">
        <v>46157</v>
      </c>
      <c r="B14" s="9" t="s">
        <v>33</v>
      </c>
      <c r="C14" s="51">
        <v>46168</v>
      </c>
      <c r="D14" s="9" t="s">
        <v>30</v>
      </c>
      <c r="E14" s="9" t="s">
        <v>29</v>
      </c>
      <c r="F14" s="13">
        <v>15000</v>
      </c>
      <c r="G14" s="39">
        <v>9960</v>
      </c>
      <c r="H14" s="45">
        <v>14.59</v>
      </c>
      <c r="I14" s="45">
        <v>6.19</v>
      </c>
      <c r="J14" s="40">
        <f t="shared" si="0"/>
        <v>-8.3999999999999986</v>
      </c>
      <c r="K14" s="40">
        <f t="shared" si="1"/>
        <v>-83663.999999999985</v>
      </c>
      <c r="L14" s="40">
        <f t="shared" si="2"/>
        <v>61652.4</v>
      </c>
      <c r="M14" s="40">
        <f t="shared" si="3"/>
        <v>145316.4</v>
      </c>
      <c r="N14" s="40">
        <f t="shared" si="4"/>
        <v>206968.8</v>
      </c>
      <c r="O14" s="40">
        <f t="shared" si="5"/>
        <v>27.733819199999999</v>
      </c>
      <c r="P14" s="40">
        <f t="shared" si="6"/>
        <v>-83691.733819199988</v>
      </c>
      <c r="Q14" s="14"/>
      <c r="R14" s="14"/>
      <c r="S14" s="14"/>
    </row>
    <row r="15" spans="1:19" hidden="1" x14ac:dyDescent="0.25">
      <c r="A15" s="51">
        <v>46157</v>
      </c>
      <c r="B15" s="9" t="s">
        <v>33</v>
      </c>
      <c r="C15" s="51">
        <v>46168</v>
      </c>
      <c r="D15" s="9" t="s">
        <v>30</v>
      </c>
      <c r="E15" s="9" t="s">
        <v>29</v>
      </c>
      <c r="F15" s="13">
        <v>15000</v>
      </c>
      <c r="G15" s="39">
        <v>1200</v>
      </c>
      <c r="H15" s="45">
        <v>14.59</v>
      </c>
      <c r="I15" s="45">
        <v>14.1</v>
      </c>
      <c r="J15" s="40">
        <f t="shared" si="0"/>
        <v>-0.49000000000000021</v>
      </c>
      <c r="K15" s="40">
        <f t="shared" si="1"/>
        <v>-588.00000000000023</v>
      </c>
      <c r="L15" s="40">
        <f t="shared" si="2"/>
        <v>16920</v>
      </c>
      <c r="M15" s="40">
        <f t="shared" si="3"/>
        <v>17508</v>
      </c>
      <c r="N15" s="40">
        <f t="shared" si="4"/>
        <v>34428</v>
      </c>
      <c r="O15" s="40">
        <f t="shared" si="5"/>
        <v>4.6133519999999999</v>
      </c>
      <c r="P15" s="40">
        <f t="shared" si="6"/>
        <v>-592.61335200000019</v>
      </c>
      <c r="Q15" s="14"/>
      <c r="R15" s="14"/>
      <c r="S15" s="14"/>
    </row>
    <row r="16" spans="1:19" hidden="1" x14ac:dyDescent="0.25">
      <c r="A16" s="51">
        <v>46160</v>
      </c>
      <c r="B16" s="9" t="s">
        <v>33</v>
      </c>
      <c r="C16" s="51">
        <v>46168</v>
      </c>
      <c r="D16" s="9" t="s">
        <v>30</v>
      </c>
      <c r="E16" s="9" t="s">
        <v>29</v>
      </c>
      <c r="F16" s="13">
        <v>15000</v>
      </c>
      <c r="G16" s="39">
        <v>1200</v>
      </c>
      <c r="H16" s="45">
        <v>9.27</v>
      </c>
      <c r="I16" s="45">
        <v>6.19</v>
      </c>
      <c r="J16" s="40">
        <f t="shared" si="0"/>
        <v>-3.0799999999999992</v>
      </c>
      <c r="K16" s="40">
        <f t="shared" si="1"/>
        <v>-3695.9999999999991</v>
      </c>
      <c r="L16" s="40">
        <f t="shared" si="2"/>
        <v>7428.0000000000009</v>
      </c>
      <c r="M16" s="40">
        <f t="shared" si="3"/>
        <v>11124</v>
      </c>
      <c r="N16" s="40">
        <f t="shared" si="4"/>
        <v>18552</v>
      </c>
      <c r="O16" s="40">
        <f t="shared" si="5"/>
        <v>2.4859680000000002</v>
      </c>
      <c r="P16" s="40">
        <f t="shared" si="6"/>
        <v>-3698.485967999999</v>
      </c>
      <c r="Q16" s="14"/>
      <c r="R16" s="14"/>
      <c r="S16" s="14"/>
    </row>
    <row r="17" spans="1:19" hidden="1" x14ac:dyDescent="0.25">
      <c r="A17" s="51">
        <v>46160</v>
      </c>
      <c r="B17" s="9" t="s">
        <v>33</v>
      </c>
      <c r="C17" s="51">
        <v>46168</v>
      </c>
      <c r="D17" s="9" t="s">
        <v>30</v>
      </c>
      <c r="E17" s="9" t="s">
        <v>29</v>
      </c>
      <c r="F17" s="13">
        <v>14500</v>
      </c>
      <c r="G17" s="39">
        <v>1200</v>
      </c>
      <c r="H17" s="45">
        <v>61.68</v>
      </c>
      <c r="I17" s="45">
        <v>70.62</v>
      </c>
      <c r="J17" s="40">
        <f t="shared" si="0"/>
        <v>8.9400000000000048</v>
      </c>
      <c r="K17" s="40">
        <f t="shared" si="1"/>
        <v>10728.000000000005</v>
      </c>
      <c r="L17" s="40">
        <f t="shared" si="2"/>
        <v>84744</v>
      </c>
      <c r="M17" s="40">
        <f t="shared" si="3"/>
        <v>74016</v>
      </c>
      <c r="N17" s="40">
        <f t="shared" si="4"/>
        <v>158760</v>
      </c>
      <c r="O17" s="40">
        <f t="shared" si="5"/>
        <v>21.27384</v>
      </c>
      <c r="P17" s="40">
        <f t="shared" si="6"/>
        <v>10706.726160000006</v>
      </c>
      <c r="Q17" s="14"/>
      <c r="R17" s="14"/>
      <c r="S17" s="14"/>
    </row>
    <row r="18" spans="1:19" hidden="1" x14ac:dyDescent="0.25">
      <c r="A18" s="51">
        <v>46161</v>
      </c>
      <c r="B18" s="9" t="s">
        <v>33</v>
      </c>
      <c r="C18" s="51">
        <v>46168</v>
      </c>
      <c r="D18" s="9" t="s">
        <v>30</v>
      </c>
      <c r="E18" s="9" t="s">
        <v>29</v>
      </c>
      <c r="F18" s="13">
        <v>15000</v>
      </c>
      <c r="G18" s="39">
        <v>4440</v>
      </c>
      <c r="H18" s="45">
        <v>9.49</v>
      </c>
      <c r="I18" s="45">
        <v>6.19</v>
      </c>
      <c r="J18" s="40">
        <f t="shared" si="0"/>
        <v>-3.3</v>
      </c>
      <c r="K18" s="40">
        <f t="shared" si="1"/>
        <v>-14652</v>
      </c>
      <c r="L18" s="40">
        <f t="shared" si="2"/>
        <v>27483.600000000002</v>
      </c>
      <c r="M18" s="40">
        <f t="shared" si="3"/>
        <v>42135.6</v>
      </c>
      <c r="N18" s="40">
        <f t="shared" si="4"/>
        <v>69619.199999999997</v>
      </c>
      <c r="O18" s="40">
        <f t="shared" si="5"/>
        <v>9.3289728000000007</v>
      </c>
      <c r="P18" s="40">
        <f t="shared" si="6"/>
        <v>-14661.3289728</v>
      </c>
      <c r="Q18" s="14"/>
      <c r="R18" s="14"/>
      <c r="S18" s="14"/>
    </row>
    <row r="19" spans="1:19" hidden="1" x14ac:dyDescent="0.25">
      <c r="A19" s="51">
        <v>46161</v>
      </c>
      <c r="B19" s="9" t="s">
        <v>33</v>
      </c>
      <c r="C19" s="51">
        <v>46168</v>
      </c>
      <c r="D19" s="9" t="s">
        <v>28</v>
      </c>
      <c r="E19" s="9" t="s">
        <v>29</v>
      </c>
      <c r="F19" s="13">
        <v>15000</v>
      </c>
      <c r="G19" s="39">
        <v>360</v>
      </c>
      <c r="H19" s="45">
        <v>10.85</v>
      </c>
      <c r="I19" s="45">
        <v>9.49</v>
      </c>
      <c r="J19" s="40">
        <f t="shared" si="0"/>
        <v>1.3599999999999994</v>
      </c>
      <c r="K19" s="40">
        <f t="shared" si="1"/>
        <v>489.5999999999998</v>
      </c>
      <c r="L19" s="40">
        <f t="shared" si="2"/>
        <v>3906</v>
      </c>
      <c r="M19" s="40">
        <f t="shared" si="3"/>
        <v>3416.4</v>
      </c>
      <c r="N19" s="40">
        <f t="shared" si="4"/>
        <v>7322.4</v>
      </c>
      <c r="O19" s="40">
        <f t="shared" si="5"/>
        <v>0.98120160000000001</v>
      </c>
      <c r="P19" s="40">
        <f t="shared" si="6"/>
        <v>488.61879839999978</v>
      </c>
      <c r="Q19" s="14"/>
      <c r="R19" s="14"/>
      <c r="S19" s="14"/>
    </row>
    <row r="20" spans="1:19" hidden="1" x14ac:dyDescent="0.25">
      <c r="A20" s="51">
        <v>46162</v>
      </c>
      <c r="B20" s="9" t="s">
        <v>27</v>
      </c>
      <c r="C20" s="51">
        <v>46163</v>
      </c>
      <c r="D20" s="9" t="s">
        <v>28</v>
      </c>
      <c r="E20" s="9" t="s">
        <v>32</v>
      </c>
      <c r="F20" s="13">
        <v>74600</v>
      </c>
      <c r="G20" s="39">
        <v>5200</v>
      </c>
      <c r="H20" s="45">
        <v>89.22</v>
      </c>
      <c r="I20" s="45">
        <v>12.55</v>
      </c>
      <c r="J20" s="40">
        <f t="shared" si="0"/>
        <v>76.67</v>
      </c>
      <c r="K20" s="40">
        <f t="shared" si="1"/>
        <v>398684</v>
      </c>
      <c r="L20" s="40">
        <f t="shared" si="2"/>
        <v>463944</v>
      </c>
      <c r="M20" s="40">
        <f t="shared" si="3"/>
        <v>65260.000000000007</v>
      </c>
      <c r="N20" s="40">
        <f t="shared" si="4"/>
        <v>529204</v>
      </c>
      <c r="O20" s="40">
        <f t="shared" si="5"/>
        <v>70.913336000000001</v>
      </c>
      <c r="P20" s="40">
        <f t="shared" si="6"/>
        <v>398613.086664</v>
      </c>
    </row>
    <row r="21" spans="1:19" hidden="1" x14ac:dyDescent="0.25">
      <c r="A21" s="51">
        <v>46162</v>
      </c>
      <c r="B21" s="9" t="s">
        <v>27</v>
      </c>
      <c r="C21" s="51">
        <v>46163</v>
      </c>
      <c r="D21" s="9" t="s">
        <v>30</v>
      </c>
      <c r="E21" s="9" t="s">
        <v>32</v>
      </c>
      <c r="F21" s="13">
        <v>73000</v>
      </c>
      <c r="G21" s="39">
        <v>5200</v>
      </c>
      <c r="H21" s="45">
        <v>6.68</v>
      </c>
      <c r="I21" s="45">
        <v>1.77</v>
      </c>
      <c r="J21" s="40">
        <f t="shared" si="0"/>
        <v>-4.91</v>
      </c>
      <c r="K21" s="40">
        <f t="shared" si="1"/>
        <v>-25532</v>
      </c>
      <c r="L21" s="40">
        <f t="shared" si="2"/>
        <v>9204</v>
      </c>
      <c r="M21" s="40">
        <f t="shared" si="3"/>
        <v>34736</v>
      </c>
      <c r="N21" s="40">
        <f t="shared" si="4"/>
        <v>43940</v>
      </c>
      <c r="O21" s="40">
        <f t="shared" si="5"/>
        <v>5.8879600000000005</v>
      </c>
      <c r="P21" s="40">
        <f t="shared" si="6"/>
        <v>-25537.88796</v>
      </c>
    </row>
    <row r="22" spans="1:19" hidden="1" x14ac:dyDescent="0.25">
      <c r="A22" s="51">
        <v>46162</v>
      </c>
      <c r="B22" s="9" t="s">
        <v>27</v>
      </c>
      <c r="C22" s="51">
        <v>46163</v>
      </c>
      <c r="D22" s="9" t="s">
        <v>28</v>
      </c>
      <c r="E22" s="9" t="s">
        <v>29</v>
      </c>
      <c r="F22" s="13">
        <v>76200</v>
      </c>
      <c r="G22" s="39">
        <v>5200</v>
      </c>
      <c r="H22" s="45">
        <v>44.22</v>
      </c>
      <c r="I22" s="45">
        <v>51.77</v>
      </c>
      <c r="J22" s="40">
        <f t="shared" si="0"/>
        <v>-7.5500000000000043</v>
      </c>
      <c r="K22" s="40">
        <f t="shared" si="1"/>
        <v>-39260.000000000022</v>
      </c>
      <c r="L22" s="40">
        <f t="shared" si="2"/>
        <v>229944</v>
      </c>
      <c r="M22" s="40">
        <f t="shared" si="3"/>
        <v>269204</v>
      </c>
      <c r="N22" s="40">
        <f t="shared" si="4"/>
        <v>499148</v>
      </c>
      <c r="O22" s="40">
        <f t="shared" si="5"/>
        <v>66.885832000000008</v>
      </c>
      <c r="P22" s="40">
        <f t="shared" si="6"/>
        <v>-39326.885832000022</v>
      </c>
    </row>
    <row r="23" spans="1:19" hidden="1" x14ac:dyDescent="0.25">
      <c r="A23" s="51">
        <v>46162</v>
      </c>
      <c r="B23" s="9" t="s">
        <v>27</v>
      </c>
      <c r="C23" s="51">
        <v>46163</v>
      </c>
      <c r="D23" s="9" t="s">
        <v>30</v>
      </c>
      <c r="E23" s="9" t="s">
        <v>29</v>
      </c>
      <c r="F23" s="13">
        <v>77000</v>
      </c>
      <c r="G23" s="39">
        <v>5200</v>
      </c>
      <c r="H23" s="45">
        <v>6.77</v>
      </c>
      <c r="I23" s="45">
        <v>4.43</v>
      </c>
      <c r="J23" s="40">
        <f t="shared" si="0"/>
        <v>-2.34</v>
      </c>
      <c r="K23" s="40">
        <f t="shared" si="1"/>
        <v>-12168</v>
      </c>
      <c r="L23" s="40">
        <f t="shared" si="2"/>
        <v>23036</v>
      </c>
      <c r="M23" s="40">
        <f t="shared" si="3"/>
        <v>35204</v>
      </c>
      <c r="N23" s="40">
        <f t="shared" si="4"/>
        <v>58240</v>
      </c>
      <c r="O23" s="40">
        <f t="shared" si="5"/>
        <v>7.8041600000000004</v>
      </c>
      <c r="P23" s="40">
        <f t="shared" si="6"/>
        <v>-12175.80416</v>
      </c>
    </row>
    <row r="24" spans="1:19" hidden="1" x14ac:dyDescent="0.25">
      <c r="A24" s="51">
        <v>46163</v>
      </c>
      <c r="B24" s="9" t="s">
        <v>27</v>
      </c>
      <c r="C24" s="51">
        <v>46163</v>
      </c>
      <c r="D24" s="9" t="s">
        <v>30</v>
      </c>
      <c r="E24" s="9" t="s">
        <v>32</v>
      </c>
      <c r="F24" s="13">
        <v>75700</v>
      </c>
      <c r="G24" s="39">
        <v>4600</v>
      </c>
      <c r="H24" s="45">
        <v>522.5</v>
      </c>
      <c r="I24" s="45">
        <v>237.35</v>
      </c>
      <c r="J24" s="40">
        <f t="shared" si="0"/>
        <v>-285.14999999999998</v>
      </c>
      <c r="K24" s="40">
        <f t="shared" si="1"/>
        <v>-1311690</v>
      </c>
      <c r="L24" s="40">
        <f t="shared" si="2"/>
        <v>1091810</v>
      </c>
      <c r="M24" s="40">
        <f t="shared" si="3"/>
        <v>2403500</v>
      </c>
      <c r="N24" s="40">
        <f t="shared" si="4"/>
        <v>3495310</v>
      </c>
      <c r="O24" s="40">
        <f t="shared" si="5"/>
        <v>468.37154000000004</v>
      </c>
      <c r="P24" s="40">
        <f t="shared" si="6"/>
        <v>-1312158.37154</v>
      </c>
      <c r="Q24" s="14"/>
      <c r="R24" s="14"/>
      <c r="S24" s="14"/>
    </row>
    <row r="25" spans="1:19" hidden="1" x14ac:dyDescent="0.25">
      <c r="A25" s="51">
        <v>46163</v>
      </c>
      <c r="B25" s="9" t="s">
        <v>27</v>
      </c>
      <c r="C25" s="51">
        <v>46163</v>
      </c>
      <c r="D25" s="9" t="s">
        <v>28</v>
      </c>
      <c r="E25" s="9" t="s">
        <v>32</v>
      </c>
      <c r="F25" s="13">
        <v>74600</v>
      </c>
      <c r="G25" s="39">
        <v>4600</v>
      </c>
      <c r="H25" s="45">
        <v>6.14</v>
      </c>
      <c r="I25" s="45">
        <v>12.55</v>
      </c>
      <c r="J25" s="40">
        <f t="shared" si="0"/>
        <v>-6.410000000000001</v>
      </c>
      <c r="K25" s="40">
        <f t="shared" si="1"/>
        <v>-29486.000000000004</v>
      </c>
      <c r="L25" s="40">
        <f t="shared" si="2"/>
        <v>28244</v>
      </c>
      <c r="M25" s="40">
        <f t="shared" si="3"/>
        <v>57730</v>
      </c>
      <c r="N25" s="40">
        <f t="shared" si="4"/>
        <v>85974</v>
      </c>
      <c r="O25" s="40">
        <f t="shared" si="5"/>
        <v>11.520516000000001</v>
      </c>
      <c r="P25" s="40">
        <f t="shared" si="6"/>
        <v>-29497.520516000004</v>
      </c>
      <c r="Q25" s="14"/>
      <c r="R25" s="14"/>
      <c r="S25" s="14"/>
    </row>
    <row r="26" spans="1:19" hidden="1" x14ac:dyDescent="0.25">
      <c r="A26" s="51">
        <v>46163</v>
      </c>
      <c r="B26" s="9" t="s">
        <v>34</v>
      </c>
      <c r="C26" s="51">
        <v>46168</v>
      </c>
      <c r="D26" s="9" t="s">
        <v>28</v>
      </c>
      <c r="E26" s="9" t="s">
        <v>32</v>
      </c>
      <c r="F26" s="13">
        <v>54000</v>
      </c>
      <c r="G26" s="39">
        <v>6600</v>
      </c>
      <c r="H26" s="45">
        <v>721.41</v>
      </c>
      <c r="I26" s="45">
        <v>412.67</v>
      </c>
      <c r="J26" s="40">
        <f t="shared" si="0"/>
        <v>308.73999999999995</v>
      </c>
      <c r="K26" s="40">
        <f t="shared" si="1"/>
        <v>2037683.9999999998</v>
      </c>
      <c r="L26" s="40">
        <f t="shared" si="2"/>
        <v>4761306</v>
      </c>
      <c r="M26" s="40">
        <f t="shared" si="3"/>
        <v>2723622</v>
      </c>
      <c r="N26" s="40">
        <f t="shared" si="4"/>
        <v>7484928</v>
      </c>
      <c r="O26" s="40">
        <f t="shared" si="5"/>
        <v>1002.980352</v>
      </c>
      <c r="P26" s="40">
        <f t="shared" si="6"/>
        <v>2036681.0196479997</v>
      </c>
      <c r="Q26" s="14"/>
      <c r="R26" s="14"/>
      <c r="S26" s="14"/>
    </row>
    <row r="27" spans="1:19" hidden="1" x14ac:dyDescent="0.25">
      <c r="A27" s="51">
        <v>46163</v>
      </c>
      <c r="B27" s="9" t="s">
        <v>34</v>
      </c>
      <c r="C27" s="51">
        <v>46168</v>
      </c>
      <c r="D27" s="9" t="s">
        <v>30</v>
      </c>
      <c r="E27" s="9" t="s">
        <v>32</v>
      </c>
      <c r="F27" s="13">
        <v>51500</v>
      </c>
      <c r="G27" s="39">
        <v>6600</v>
      </c>
      <c r="H27" s="45">
        <v>38.619999999999997</v>
      </c>
      <c r="I27" s="45">
        <v>3.45</v>
      </c>
      <c r="J27" s="40">
        <f t="shared" si="0"/>
        <v>-35.169999999999995</v>
      </c>
      <c r="K27" s="40">
        <f t="shared" si="1"/>
        <v>-232121.99999999997</v>
      </c>
      <c r="L27" s="40">
        <f t="shared" si="2"/>
        <v>22770</v>
      </c>
      <c r="M27" s="40">
        <f t="shared" si="3"/>
        <v>254891.99999999997</v>
      </c>
      <c r="N27" s="40">
        <f t="shared" si="4"/>
        <v>277662</v>
      </c>
      <c r="O27" s="40">
        <f t="shared" si="5"/>
        <v>37.206707999999999</v>
      </c>
      <c r="P27" s="40">
        <f t="shared" si="6"/>
        <v>-232159.20670799998</v>
      </c>
      <c r="Q27" s="14"/>
      <c r="R27" s="14"/>
      <c r="S27" s="14"/>
    </row>
    <row r="28" spans="1:19" hidden="1" x14ac:dyDescent="0.25">
      <c r="A28" s="51">
        <v>46163</v>
      </c>
      <c r="B28" s="9" t="s">
        <v>34</v>
      </c>
      <c r="C28" s="51">
        <v>46168</v>
      </c>
      <c r="D28" s="9" t="s">
        <v>28</v>
      </c>
      <c r="E28" s="9" t="s">
        <v>32</v>
      </c>
      <c r="F28" s="13">
        <v>51500</v>
      </c>
      <c r="G28" s="39">
        <v>900</v>
      </c>
      <c r="H28" s="45">
        <v>34.520000000000003</v>
      </c>
      <c r="I28" s="45">
        <v>38.619999999999997</v>
      </c>
      <c r="J28" s="40">
        <f t="shared" si="0"/>
        <v>-4.0999999999999943</v>
      </c>
      <c r="K28" s="40">
        <f t="shared" si="1"/>
        <v>-3689.999999999995</v>
      </c>
      <c r="L28" s="40">
        <f t="shared" si="2"/>
        <v>31068.000000000004</v>
      </c>
      <c r="M28" s="40">
        <f t="shared" si="3"/>
        <v>34758</v>
      </c>
      <c r="N28" s="40">
        <f t="shared" si="4"/>
        <v>65826</v>
      </c>
      <c r="O28" s="40">
        <f t="shared" si="5"/>
        <v>8.820684</v>
      </c>
      <c r="P28" s="40">
        <f t="shared" si="6"/>
        <v>-3698.8206839999948</v>
      </c>
      <c r="Q28" s="14"/>
      <c r="R28" s="14"/>
      <c r="S28" s="14"/>
    </row>
    <row r="29" spans="1:19" hidden="1" x14ac:dyDescent="0.25">
      <c r="A29" s="51">
        <v>46164</v>
      </c>
      <c r="B29" s="9" t="s">
        <v>34</v>
      </c>
      <c r="C29" s="51">
        <v>46168</v>
      </c>
      <c r="D29" s="9" t="s">
        <v>28</v>
      </c>
      <c r="E29" s="9" t="s">
        <v>32</v>
      </c>
      <c r="F29" s="13">
        <v>54500</v>
      </c>
      <c r="G29" s="39">
        <v>9570</v>
      </c>
      <c r="H29" s="45">
        <v>670.3</v>
      </c>
      <c r="I29" s="45">
        <v>125.79</v>
      </c>
      <c r="J29" s="40">
        <f t="shared" si="0"/>
        <v>544.51</v>
      </c>
      <c r="K29" s="40">
        <f t="shared" si="1"/>
        <v>5210960.7</v>
      </c>
      <c r="L29" s="40">
        <f t="shared" si="2"/>
        <v>6414771</v>
      </c>
      <c r="M29" s="40">
        <f t="shared" si="3"/>
        <v>1203810.3</v>
      </c>
      <c r="N29" s="40">
        <f t="shared" si="4"/>
        <v>7618581.2999999998</v>
      </c>
      <c r="O29" s="40">
        <f t="shared" si="5"/>
        <v>1020.8898942</v>
      </c>
      <c r="P29" s="40">
        <f t="shared" si="6"/>
        <v>5209939.8101058006</v>
      </c>
      <c r="Q29" s="14"/>
      <c r="R29" s="14"/>
      <c r="S29" s="14"/>
    </row>
    <row r="30" spans="1:19" hidden="1" x14ac:dyDescent="0.25">
      <c r="A30" s="51">
        <v>46164</v>
      </c>
      <c r="B30" s="9" t="s">
        <v>34</v>
      </c>
      <c r="C30" s="51">
        <v>46168</v>
      </c>
      <c r="D30" s="9" t="s">
        <v>30</v>
      </c>
      <c r="E30" s="9" t="s">
        <v>32</v>
      </c>
      <c r="F30" s="13">
        <v>52500</v>
      </c>
      <c r="G30" s="39">
        <v>2160</v>
      </c>
      <c r="H30" s="45">
        <v>49.42</v>
      </c>
      <c r="I30" s="45">
        <v>0</v>
      </c>
      <c r="J30" s="40">
        <f t="shared" si="0"/>
        <v>-49.42</v>
      </c>
      <c r="K30" s="40">
        <f t="shared" si="1"/>
        <v>-106747.2</v>
      </c>
      <c r="L30" s="40">
        <f t="shared" si="2"/>
        <v>0</v>
      </c>
      <c r="M30" s="40">
        <f t="shared" si="3"/>
        <v>106747.2</v>
      </c>
      <c r="N30" s="40">
        <f t="shared" si="4"/>
        <v>106747.2</v>
      </c>
      <c r="O30" s="40">
        <f t="shared" si="5"/>
        <v>14.3041248</v>
      </c>
      <c r="P30" s="40">
        <f t="shared" si="6"/>
        <v>-106761.50412479999</v>
      </c>
      <c r="Q30" s="14"/>
      <c r="R30" s="14"/>
      <c r="S30" s="14"/>
    </row>
    <row r="31" spans="1:19" hidden="1" x14ac:dyDescent="0.25">
      <c r="A31" s="51">
        <v>46164</v>
      </c>
      <c r="B31" s="9" t="s">
        <v>34</v>
      </c>
      <c r="C31" s="51">
        <v>46168</v>
      </c>
      <c r="D31" s="9" t="s">
        <v>30</v>
      </c>
      <c r="E31" s="9" t="s">
        <v>32</v>
      </c>
      <c r="F31" s="13">
        <v>52500</v>
      </c>
      <c r="G31" s="39">
        <v>300</v>
      </c>
      <c r="H31" s="45">
        <v>49.42</v>
      </c>
      <c r="I31" s="45">
        <v>38.119999999999997</v>
      </c>
      <c r="J31" s="40">
        <f t="shared" si="0"/>
        <v>-11.300000000000004</v>
      </c>
      <c r="K31" s="40">
        <f t="shared" si="1"/>
        <v>-3390.0000000000014</v>
      </c>
      <c r="L31" s="40">
        <f t="shared" si="2"/>
        <v>11436</v>
      </c>
      <c r="M31" s="40">
        <f t="shared" si="3"/>
        <v>14826</v>
      </c>
      <c r="N31" s="40">
        <f t="shared" si="4"/>
        <v>26262</v>
      </c>
      <c r="O31" s="40">
        <f t="shared" si="5"/>
        <v>3.5191080000000001</v>
      </c>
      <c r="P31" s="40">
        <f t="shared" si="6"/>
        <v>-3393.5191080000013</v>
      </c>
    </row>
    <row r="32" spans="1:19" hidden="1" x14ac:dyDescent="0.25">
      <c r="A32" s="51">
        <v>46164</v>
      </c>
      <c r="B32" s="9" t="s">
        <v>34</v>
      </c>
      <c r="C32" s="51">
        <v>46168</v>
      </c>
      <c r="D32" s="9" t="s">
        <v>28</v>
      </c>
      <c r="E32" s="9" t="s">
        <v>32</v>
      </c>
      <c r="F32" s="13">
        <v>54500</v>
      </c>
      <c r="G32" s="39">
        <v>150</v>
      </c>
      <c r="H32" s="45">
        <v>670.3</v>
      </c>
      <c r="I32" s="45">
        <v>688.15</v>
      </c>
      <c r="J32" s="40">
        <f t="shared" si="0"/>
        <v>-17.850000000000023</v>
      </c>
      <c r="K32" s="40">
        <f t="shared" si="1"/>
        <v>-2677.5000000000036</v>
      </c>
      <c r="L32" s="40">
        <f t="shared" si="2"/>
        <v>100545</v>
      </c>
      <c r="M32" s="40">
        <f t="shared" si="3"/>
        <v>103222.5</v>
      </c>
      <c r="N32" s="40">
        <f t="shared" si="4"/>
        <v>203767.5</v>
      </c>
      <c r="O32" s="40">
        <f t="shared" si="5"/>
        <v>27.304845</v>
      </c>
      <c r="P32" s="40">
        <f t="shared" si="6"/>
        <v>-2704.8048450000038</v>
      </c>
    </row>
    <row r="33" spans="1:19" hidden="1" x14ac:dyDescent="0.25">
      <c r="A33" s="51">
        <v>46164</v>
      </c>
      <c r="B33" s="9" t="s">
        <v>34</v>
      </c>
      <c r="C33" s="51">
        <v>46203</v>
      </c>
      <c r="D33" s="9" t="s">
        <v>30</v>
      </c>
      <c r="E33" s="9" t="s">
        <v>29</v>
      </c>
      <c r="F33" s="13">
        <v>54000</v>
      </c>
      <c r="G33" s="39">
        <v>4710</v>
      </c>
      <c r="H33" s="45">
        <v>1493.15</v>
      </c>
      <c r="I33" s="45">
        <v>3793.46</v>
      </c>
      <c r="J33" s="40">
        <f t="shared" si="0"/>
        <v>2300.31</v>
      </c>
      <c r="K33" s="40">
        <f t="shared" si="1"/>
        <v>10834460.1</v>
      </c>
      <c r="L33" s="40">
        <f t="shared" si="2"/>
        <v>17867196.600000001</v>
      </c>
      <c r="M33" s="40">
        <f t="shared" si="3"/>
        <v>7032736.5</v>
      </c>
      <c r="N33" s="40">
        <f t="shared" si="4"/>
        <v>24899933.100000001</v>
      </c>
      <c r="O33" s="40">
        <f t="shared" si="5"/>
        <v>3336.5910354000002</v>
      </c>
      <c r="P33" s="40">
        <f t="shared" si="6"/>
        <v>10831123.5089646</v>
      </c>
      <c r="Q33" s="14"/>
      <c r="R33" s="14"/>
      <c r="S33" s="14"/>
    </row>
    <row r="34" spans="1:19" hidden="1" x14ac:dyDescent="0.25">
      <c r="A34" s="51">
        <v>46167</v>
      </c>
      <c r="B34" s="9" t="s">
        <v>34</v>
      </c>
      <c r="C34" s="51">
        <v>46168</v>
      </c>
      <c r="D34" s="9" t="s">
        <v>30</v>
      </c>
      <c r="E34" s="9" t="s">
        <v>32</v>
      </c>
      <c r="F34" s="13">
        <v>55500</v>
      </c>
      <c r="G34" s="39">
        <v>9720</v>
      </c>
      <c r="H34" s="45">
        <v>310.81</v>
      </c>
      <c r="I34" s="45">
        <v>623.25</v>
      </c>
      <c r="J34" s="40">
        <f t="shared" si="0"/>
        <v>312.44</v>
      </c>
      <c r="K34" s="40">
        <f t="shared" si="1"/>
        <v>3036916.8</v>
      </c>
      <c r="L34" s="40">
        <f t="shared" si="2"/>
        <v>6057990</v>
      </c>
      <c r="M34" s="40">
        <f t="shared" si="3"/>
        <v>3021073.2</v>
      </c>
      <c r="N34" s="40">
        <f t="shared" si="4"/>
        <v>9079063.1999999993</v>
      </c>
      <c r="O34" s="40">
        <f t="shared" si="5"/>
        <v>1216.5944688</v>
      </c>
      <c r="P34" s="40">
        <f t="shared" si="6"/>
        <v>3035700.2055311999</v>
      </c>
      <c r="Q34" s="14"/>
      <c r="R34" s="14"/>
      <c r="S34" s="14"/>
    </row>
    <row r="35" spans="1:19" hidden="1" x14ac:dyDescent="0.25">
      <c r="A35" s="51">
        <v>46167</v>
      </c>
      <c r="B35" s="9" t="s">
        <v>34</v>
      </c>
      <c r="C35" s="51">
        <v>46168</v>
      </c>
      <c r="D35" s="9" t="s">
        <v>30</v>
      </c>
      <c r="E35" s="9" t="s">
        <v>32</v>
      </c>
      <c r="F35" s="13">
        <v>53500</v>
      </c>
      <c r="G35" s="39">
        <v>7500</v>
      </c>
      <c r="H35" s="45">
        <v>19.260000000000002</v>
      </c>
      <c r="I35" s="45">
        <v>1.56</v>
      </c>
      <c r="J35" s="40">
        <f t="shared" si="0"/>
        <v>-17.700000000000003</v>
      </c>
      <c r="K35" s="40">
        <f t="shared" si="1"/>
        <v>-132750.00000000003</v>
      </c>
      <c r="L35" s="40">
        <f t="shared" si="2"/>
        <v>11700</v>
      </c>
      <c r="M35" s="40">
        <f t="shared" si="3"/>
        <v>144450</v>
      </c>
      <c r="N35" s="40">
        <f t="shared" si="4"/>
        <v>156150</v>
      </c>
      <c r="O35" s="40">
        <f t="shared" si="5"/>
        <v>20.924099999999999</v>
      </c>
      <c r="P35" s="40">
        <f t="shared" si="6"/>
        <v>-132770.92410000003</v>
      </c>
      <c r="Q35" s="14"/>
      <c r="R35" s="14"/>
      <c r="S35" s="14"/>
    </row>
    <row r="36" spans="1:19" hidden="1" x14ac:dyDescent="0.25">
      <c r="A36" s="51">
        <v>46167</v>
      </c>
      <c r="B36" s="9" t="s">
        <v>34</v>
      </c>
      <c r="C36" s="51">
        <v>46168</v>
      </c>
      <c r="D36" s="9" t="s">
        <v>30</v>
      </c>
      <c r="E36" s="9" t="s">
        <v>32</v>
      </c>
      <c r="F36" s="13">
        <v>54000</v>
      </c>
      <c r="G36" s="39">
        <v>870</v>
      </c>
      <c r="H36" s="45">
        <v>14.02</v>
      </c>
      <c r="I36" s="45">
        <v>0.05</v>
      </c>
      <c r="J36" s="40">
        <f t="shared" si="0"/>
        <v>-13.969999999999999</v>
      </c>
      <c r="K36" s="40">
        <f t="shared" si="1"/>
        <v>-12153.9</v>
      </c>
      <c r="L36" s="40">
        <f t="shared" si="2"/>
        <v>43.5</v>
      </c>
      <c r="M36" s="40">
        <f t="shared" si="3"/>
        <v>12197.4</v>
      </c>
      <c r="N36" s="40">
        <f t="shared" si="4"/>
        <v>12240.9</v>
      </c>
      <c r="O36" s="40">
        <f t="shared" si="5"/>
        <v>1.6402806000000001</v>
      </c>
      <c r="P36" s="40">
        <f t="shared" si="6"/>
        <v>-12155.5402806</v>
      </c>
      <c r="Q36" s="14"/>
      <c r="R36" s="14"/>
      <c r="S36" s="14"/>
    </row>
    <row r="37" spans="1:19" hidden="1" x14ac:dyDescent="0.25">
      <c r="A37" s="51">
        <v>46167</v>
      </c>
      <c r="B37" s="9" t="s">
        <v>34</v>
      </c>
      <c r="C37" s="51">
        <v>46168</v>
      </c>
      <c r="D37" s="9" t="s">
        <v>28</v>
      </c>
      <c r="E37" s="9" t="s">
        <v>32</v>
      </c>
      <c r="F37" s="13">
        <v>55700</v>
      </c>
      <c r="G37" s="39">
        <v>9720</v>
      </c>
      <c r="H37" s="45">
        <v>438.45</v>
      </c>
      <c r="I37" s="45">
        <v>609.04</v>
      </c>
      <c r="J37" s="40">
        <f t="shared" si="0"/>
        <v>-170.58999999999997</v>
      </c>
      <c r="K37" s="40">
        <f t="shared" si="1"/>
        <v>-1658134.7999999998</v>
      </c>
      <c r="L37" s="40">
        <f t="shared" si="2"/>
        <v>4261734</v>
      </c>
      <c r="M37" s="40">
        <f t="shared" si="3"/>
        <v>5919868.7999999998</v>
      </c>
      <c r="N37" s="40">
        <f t="shared" si="4"/>
        <v>10181602.800000001</v>
      </c>
      <c r="O37" s="40">
        <f t="shared" si="5"/>
        <v>1364.3347752000002</v>
      </c>
      <c r="P37" s="40">
        <f t="shared" si="6"/>
        <v>-1659499.1347751999</v>
      </c>
      <c r="Q37" s="14"/>
      <c r="R37" s="14"/>
      <c r="S37" s="14"/>
    </row>
    <row r="38" spans="1:19" hidden="1" x14ac:dyDescent="0.25">
      <c r="A38" s="51">
        <v>46167</v>
      </c>
      <c r="B38" s="9" t="s">
        <v>34</v>
      </c>
      <c r="C38" s="51">
        <v>46168</v>
      </c>
      <c r="D38" s="9" t="s">
        <v>28</v>
      </c>
      <c r="E38" s="9" t="s">
        <v>32</v>
      </c>
      <c r="F38" s="13">
        <v>54000</v>
      </c>
      <c r="G38" s="39">
        <v>180</v>
      </c>
      <c r="H38" s="45">
        <v>13.07</v>
      </c>
      <c r="I38" s="45">
        <v>14.02</v>
      </c>
      <c r="J38" s="40">
        <f t="shared" si="0"/>
        <v>-0.94999999999999929</v>
      </c>
      <c r="K38" s="40">
        <f t="shared" si="1"/>
        <v>-170.99999999999989</v>
      </c>
      <c r="L38" s="40">
        <f t="shared" si="2"/>
        <v>2352.6</v>
      </c>
      <c r="M38" s="40">
        <f t="shared" si="3"/>
        <v>2523.6</v>
      </c>
      <c r="N38" s="40">
        <f t="shared" si="4"/>
        <v>4876.2</v>
      </c>
      <c r="O38" s="40">
        <f t="shared" si="5"/>
        <v>0.65341079999999996</v>
      </c>
      <c r="P38" s="40">
        <f t="shared" si="6"/>
        <v>-171.65341079999988</v>
      </c>
      <c r="Q38" s="14"/>
      <c r="R38" s="14"/>
      <c r="S38" s="14"/>
    </row>
    <row r="39" spans="1:19" hidden="1" x14ac:dyDescent="0.25">
      <c r="A39" s="51">
        <v>46167</v>
      </c>
      <c r="B39" s="9" t="s">
        <v>34</v>
      </c>
      <c r="C39" s="51">
        <v>46168</v>
      </c>
      <c r="D39" s="9" t="s">
        <v>30</v>
      </c>
      <c r="E39" s="9" t="s">
        <v>32</v>
      </c>
      <c r="F39" s="13">
        <v>55700</v>
      </c>
      <c r="G39" s="39">
        <v>90</v>
      </c>
      <c r="H39" s="45">
        <v>415</v>
      </c>
      <c r="I39" s="45">
        <v>438.45</v>
      </c>
      <c r="J39" s="40">
        <f t="shared" si="0"/>
        <v>23.449999999999989</v>
      </c>
      <c r="K39" s="40">
        <f t="shared" si="1"/>
        <v>2110.4999999999991</v>
      </c>
      <c r="L39" s="40">
        <f t="shared" si="2"/>
        <v>39460.5</v>
      </c>
      <c r="M39" s="40">
        <f t="shared" si="3"/>
        <v>37350</v>
      </c>
      <c r="N39" s="40">
        <f t="shared" si="4"/>
        <v>76810.5</v>
      </c>
      <c r="O39" s="40">
        <f t="shared" si="5"/>
        <v>10.292607</v>
      </c>
      <c r="P39" s="40">
        <f t="shared" si="6"/>
        <v>2100.2073929999992</v>
      </c>
      <c r="Q39" s="14"/>
      <c r="R39" s="14"/>
      <c r="S39" s="14"/>
    </row>
    <row r="40" spans="1:19" hidden="1" x14ac:dyDescent="0.25">
      <c r="A40" s="51">
        <v>46164</v>
      </c>
      <c r="B40" s="9" t="s">
        <v>34</v>
      </c>
      <c r="C40" s="51">
        <v>46168</v>
      </c>
      <c r="D40" s="9" t="s">
        <v>30</v>
      </c>
      <c r="E40" s="9" t="s">
        <v>32</v>
      </c>
      <c r="F40" s="13">
        <v>52500</v>
      </c>
      <c r="G40" s="39">
        <v>2970</v>
      </c>
      <c r="H40" s="45">
        <v>49.42</v>
      </c>
      <c r="I40" s="45">
        <v>5.27</v>
      </c>
      <c r="J40" s="40">
        <f t="shared" si="0"/>
        <v>-44.150000000000006</v>
      </c>
      <c r="K40" s="40">
        <f t="shared" si="1"/>
        <v>-131125.50000000003</v>
      </c>
      <c r="L40" s="40">
        <f t="shared" si="2"/>
        <v>15651.9</v>
      </c>
      <c r="M40" s="40">
        <f t="shared" si="3"/>
        <v>146777.4</v>
      </c>
      <c r="N40" s="40">
        <f t="shared" si="4"/>
        <v>162429.29999999999</v>
      </c>
      <c r="O40" s="40">
        <f t="shared" si="5"/>
        <v>21.7655262</v>
      </c>
      <c r="P40" s="40">
        <f t="shared" si="6"/>
        <v>-131147.26552620003</v>
      </c>
      <c r="Q40" s="14"/>
      <c r="R40" s="14"/>
      <c r="S40" s="14"/>
    </row>
    <row r="41" spans="1:19" hidden="1" x14ac:dyDescent="0.25">
      <c r="A41" s="51">
        <v>46168</v>
      </c>
      <c r="B41" s="9" t="s">
        <v>34</v>
      </c>
      <c r="C41" s="51">
        <v>46168</v>
      </c>
      <c r="D41" s="9" t="s">
        <v>28</v>
      </c>
      <c r="E41" s="9" t="s">
        <v>32</v>
      </c>
      <c r="F41" s="13">
        <v>52500</v>
      </c>
      <c r="G41" s="39">
        <v>2160</v>
      </c>
      <c r="H41" s="45">
        <v>1.8</v>
      </c>
      <c r="I41" s="45">
        <v>0</v>
      </c>
      <c r="J41" s="40">
        <f t="shared" si="0"/>
        <v>1.8</v>
      </c>
      <c r="K41" s="40">
        <f t="shared" si="1"/>
        <v>3888</v>
      </c>
      <c r="L41" s="40">
        <f t="shared" si="2"/>
        <v>3888</v>
      </c>
      <c r="M41" s="40">
        <f t="shared" si="3"/>
        <v>0</v>
      </c>
      <c r="N41" s="40">
        <f t="shared" si="4"/>
        <v>3888</v>
      </c>
      <c r="O41" s="40">
        <f t="shared" si="5"/>
        <v>0.52099200000000001</v>
      </c>
      <c r="P41" s="40">
        <f t="shared" si="6"/>
        <v>3887.4790079999998</v>
      </c>
      <c r="Q41" s="14"/>
      <c r="R41" s="14"/>
      <c r="S41" s="14"/>
    </row>
    <row r="42" spans="1:19" hidden="1" x14ac:dyDescent="0.25">
      <c r="A42" s="51">
        <v>46168</v>
      </c>
      <c r="B42" s="9" t="s">
        <v>34</v>
      </c>
      <c r="C42" s="51">
        <v>46168</v>
      </c>
      <c r="D42" s="9" t="s">
        <v>28</v>
      </c>
      <c r="E42" s="9" t="s">
        <v>32</v>
      </c>
      <c r="F42" s="13">
        <v>53500</v>
      </c>
      <c r="G42" s="39">
        <v>1500</v>
      </c>
      <c r="H42" s="45">
        <v>1.56</v>
      </c>
      <c r="I42" s="45">
        <v>1.93</v>
      </c>
      <c r="J42" s="40">
        <f t="shared" si="0"/>
        <v>-0.36999999999999988</v>
      </c>
      <c r="K42" s="40">
        <f t="shared" si="1"/>
        <v>-554.99999999999977</v>
      </c>
      <c r="L42" s="40">
        <f t="shared" si="2"/>
        <v>2340</v>
      </c>
      <c r="M42" s="40">
        <f t="shared" si="3"/>
        <v>2895</v>
      </c>
      <c r="N42" s="40">
        <f t="shared" si="4"/>
        <v>5235</v>
      </c>
      <c r="O42" s="40">
        <f t="shared" si="5"/>
        <v>0.70149000000000006</v>
      </c>
      <c r="P42" s="40">
        <f t="shared" si="6"/>
        <v>-555.70148999999981</v>
      </c>
      <c r="Q42" s="14"/>
      <c r="R42" s="14"/>
      <c r="S42" s="14"/>
    </row>
    <row r="43" spans="1:19" hidden="1" x14ac:dyDescent="0.25">
      <c r="A43" s="51">
        <v>46168</v>
      </c>
      <c r="B43" s="9" t="s">
        <v>34</v>
      </c>
      <c r="C43" s="51">
        <v>46168</v>
      </c>
      <c r="D43" s="9" t="s">
        <v>28</v>
      </c>
      <c r="E43" s="9" t="s">
        <v>32</v>
      </c>
      <c r="F43" s="13">
        <v>54500</v>
      </c>
      <c r="G43" s="39">
        <v>6750</v>
      </c>
      <c r="H43" s="45">
        <v>0.05</v>
      </c>
      <c r="I43" s="45">
        <v>6.67</v>
      </c>
      <c r="J43" s="40">
        <f t="shared" si="0"/>
        <v>-6.62</v>
      </c>
      <c r="K43" s="40">
        <f t="shared" si="1"/>
        <v>-44685</v>
      </c>
      <c r="L43" s="40">
        <f t="shared" si="2"/>
        <v>337.5</v>
      </c>
      <c r="M43" s="40">
        <f t="shared" si="3"/>
        <v>45022.5</v>
      </c>
      <c r="N43" s="40">
        <f t="shared" si="4"/>
        <v>45360</v>
      </c>
      <c r="O43" s="40">
        <f t="shared" si="5"/>
        <v>6.0782400000000001</v>
      </c>
      <c r="P43" s="40">
        <f t="shared" si="6"/>
        <v>-44691.078240000003</v>
      </c>
      <c r="Q43" s="14"/>
      <c r="R43" s="14"/>
      <c r="S43" s="14"/>
    </row>
    <row r="44" spans="1:19" hidden="1" x14ac:dyDescent="0.25">
      <c r="A44" s="51">
        <v>46168</v>
      </c>
      <c r="B44" s="9" t="s">
        <v>34</v>
      </c>
      <c r="C44" s="51">
        <v>46203</v>
      </c>
      <c r="D44" s="9" t="s">
        <v>30</v>
      </c>
      <c r="E44" s="9" t="s">
        <v>32</v>
      </c>
      <c r="F44" s="13">
        <v>56000</v>
      </c>
      <c r="G44" s="39">
        <v>4860</v>
      </c>
      <c r="H44" s="45">
        <v>1466.9</v>
      </c>
      <c r="I44" s="45">
        <v>1458.61</v>
      </c>
      <c r="J44" s="40">
        <f t="shared" si="0"/>
        <v>-8.290000000000191</v>
      </c>
      <c r="K44" s="40">
        <f t="shared" si="1"/>
        <v>-40289.400000000926</v>
      </c>
      <c r="L44" s="40">
        <f t="shared" si="2"/>
        <v>7088844.5999999996</v>
      </c>
      <c r="M44" s="40">
        <f t="shared" si="3"/>
        <v>7129134</v>
      </c>
      <c r="N44" s="40">
        <f t="shared" si="4"/>
        <v>14217978.6</v>
      </c>
      <c r="O44" s="40">
        <f t="shared" si="5"/>
        <v>1905.2091324</v>
      </c>
      <c r="P44" s="40">
        <f t="shared" si="6"/>
        <v>-42194.609132400925</v>
      </c>
      <c r="Q44" s="14"/>
      <c r="R44" s="14"/>
      <c r="S44" s="14"/>
    </row>
    <row r="45" spans="1:19" hidden="1" x14ac:dyDescent="0.25">
      <c r="A45" s="51">
        <v>46168</v>
      </c>
      <c r="B45" s="9" t="s">
        <v>34</v>
      </c>
      <c r="C45" s="51">
        <v>46203</v>
      </c>
      <c r="D45" s="9" t="s">
        <v>30</v>
      </c>
      <c r="E45" s="9" t="s">
        <v>29</v>
      </c>
      <c r="F45" s="13">
        <v>55000</v>
      </c>
      <c r="G45" s="39">
        <v>5070</v>
      </c>
      <c r="H45" s="45">
        <v>1424.67</v>
      </c>
      <c r="I45" s="45">
        <v>2754.62</v>
      </c>
      <c r="J45" s="40">
        <f t="shared" si="0"/>
        <v>1329.9499999999998</v>
      </c>
      <c r="K45" s="40">
        <f t="shared" si="1"/>
        <v>6742846.4999999991</v>
      </c>
      <c r="L45" s="40">
        <f t="shared" si="2"/>
        <v>13965923.4</v>
      </c>
      <c r="M45" s="40">
        <f t="shared" si="3"/>
        <v>7223076.9000000004</v>
      </c>
      <c r="N45" s="40">
        <f t="shared" si="4"/>
        <v>21189000.300000001</v>
      </c>
      <c r="O45" s="40">
        <f t="shared" si="5"/>
        <v>2839.3260402000001</v>
      </c>
      <c r="P45" s="40">
        <f t="shared" si="6"/>
        <v>6740007.1739597991</v>
      </c>
    </row>
    <row r="46" spans="1:19" hidden="1" x14ac:dyDescent="0.25">
      <c r="A46" s="51">
        <v>46168</v>
      </c>
      <c r="B46" s="9" t="s">
        <v>34</v>
      </c>
      <c r="C46" s="51">
        <v>46203</v>
      </c>
      <c r="D46" s="9" t="s">
        <v>28</v>
      </c>
      <c r="E46" s="9" t="s">
        <v>32</v>
      </c>
      <c r="F46" s="13">
        <v>57000</v>
      </c>
      <c r="G46" s="39">
        <v>5070</v>
      </c>
      <c r="H46" s="45">
        <v>2022.56</v>
      </c>
      <c r="I46" s="45">
        <v>916.02</v>
      </c>
      <c r="J46" s="40">
        <f t="shared" si="0"/>
        <v>1106.54</v>
      </c>
      <c r="K46" s="40">
        <f t="shared" si="1"/>
        <v>5610157.7999999998</v>
      </c>
      <c r="L46" s="40">
        <f t="shared" si="2"/>
        <v>10254379.199999999</v>
      </c>
      <c r="M46" s="40">
        <f t="shared" si="3"/>
        <v>4644221.4000000004</v>
      </c>
      <c r="N46" s="40">
        <f t="shared" si="4"/>
        <v>14898600.6</v>
      </c>
      <c r="O46" s="40">
        <f t="shared" si="5"/>
        <v>1996.4124804</v>
      </c>
      <c r="P46" s="40">
        <f t="shared" si="6"/>
        <v>5608161.3875195999</v>
      </c>
    </row>
    <row r="47" spans="1:19" hidden="1" x14ac:dyDescent="0.25">
      <c r="A47" s="51">
        <v>46168</v>
      </c>
      <c r="B47" s="9" t="s">
        <v>34</v>
      </c>
      <c r="C47" s="51">
        <v>46203</v>
      </c>
      <c r="D47" s="9" t="s">
        <v>30</v>
      </c>
      <c r="E47" s="9" t="s">
        <v>32</v>
      </c>
      <c r="F47" s="13">
        <v>51000</v>
      </c>
      <c r="G47" s="39">
        <v>180</v>
      </c>
      <c r="H47" s="45">
        <v>158.82</v>
      </c>
      <c r="I47" s="45">
        <v>21.91</v>
      </c>
      <c r="J47" s="40">
        <f t="shared" si="0"/>
        <v>-136.91</v>
      </c>
      <c r="K47" s="40">
        <f t="shared" si="1"/>
        <v>-24643.8</v>
      </c>
      <c r="L47" s="40">
        <f t="shared" si="2"/>
        <v>3943.8</v>
      </c>
      <c r="M47" s="40">
        <f t="shared" si="3"/>
        <v>28587.599999999999</v>
      </c>
      <c r="N47" s="40">
        <f t="shared" si="4"/>
        <v>32531.399999999998</v>
      </c>
      <c r="O47" s="40">
        <f t="shared" si="5"/>
        <v>4.3592075999999995</v>
      </c>
      <c r="P47" s="40">
        <f t="shared" si="6"/>
        <v>-24648.159207599998</v>
      </c>
    </row>
    <row r="48" spans="1:19" hidden="1" x14ac:dyDescent="0.25">
      <c r="A48" s="51">
        <v>46169</v>
      </c>
      <c r="B48" s="9" t="s">
        <v>34</v>
      </c>
      <c r="C48" s="51">
        <v>46203</v>
      </c>
      <c r="D48" s="9" t="s">
        <v>28</v>
      </c>
      <c r="E48" s="9" t="s">
        <v>32</v>
      </c>
      <c r="F48" s="13">
        <v>51000</v>
      </c>
      <c r="G48" s="39">
        <v>480</v>
      </c>
      <c r="H48" s="45">
        <v>146.51</v>
      </c>
      <c r="I48" s="45">
        <v>159.52000000000001</v>
      </c>
      <c r="J48" s="40">
        <f t="shared" si="0"/>
        <v>-13.010000000000019</v>
      </c>
      <c r="K48" s="40">
        <f t="shared" si="1"/>
        <v>-6244.8000000000093</v>
      </c>
      <c r="L48" s="40">
        <f t="shared" si="2"/>
        <v>70324.799999999988</v>
      </c>
      <c r="M48" s="40">
        <f t="shared" si="3"/>
        <v>76569.600000000006</v>
      </c>
      <c r="N48" s="40">
        <f t="shared" si="4"/>
        <v>146894.39999999999</v>
      </c>
      <c r="O48" s="40">
        <f t="shared" si="5"/>
        <v>19.683849599999999</v>
      </c>
      <c r="P48" s="40">
        <f t="shared" si="6"/>
        <v>-6264.4838496000093</v>
      </c>
      <c r="Q48" s="14"/>
      <c r="R48" s="14"/>
      <c r="S48" s="14"/>
    </row>
    <row r="49" spans="1:19" hidden="1" x14ac:dyDescent="0.25">
      <c r="A49" s="51">
        <v>46169</v>
      </c>
      <c r="B49" s="9" t="s">
        <v>34</v>
      </c>
      <c r="C49" s="51">
        <v>46203</v>
      </c>
      <c r="D49" s="9" t="s">
        <v>30</v>
      </c>
      <c r="E49" s="9" t="s">
        <v>32</v>
      </c>
      <c r="F49" s="13">
        <v>51000</v>
      </c>
      <c r="G49" s="39">
        <v>1770</v>
      </c>
      <c r="H49" s="45">
        <v>159.52000000000001</v>
      </c>
      <c r="I49" s="45">
        <v>182.09</v>
      </c>
      <c r="J49" s="40">
        <f t="shared" si="0"/>
        <v>22.569999999999993</v>
      </c>
      <c r="K49" s="40">
        <f t="shared" si="1"/>
        <v>39948.899999999987</v>
      </c>
      <c r="L49" s="40">
        <f t="shared" si="2"/>
        <v>322299.3</v>
      </c>
      <c r="M49" s="40">
        <f t="shared" si="3"/>
        <v>282350.40000000002</v>
      </c>
      <c r="N49" s="40">
        <f t="shared" si="4"/>
        <v>604649.69999999995</v>
      </c>
      <c r="O49" s="40">
        <f t="shared" si="5"/>
        <v>81.023059799999999</v>
      </c>
      <c r="P49" s="40">
        <f t="shared" si="6"/>
        <v>39867.876940199989</v>
      </c>
      <c r="Q49" s="14"/>
      <c r="R49" s="14"/>
      <c r="S49" s="14"/>
    </row>
    <row r="50" spans="1:19" hidden="1" x14ac:dyDescent="0.25">
      <c r="A50" s="51">
        <v>46171</v>
      </c>
      <c r="B50" s="9" t="s">
        <v>34</v>
      </c>
      <c r="C50" s="51">
        <v>46203</v>
      </c>
      <c r="D50" s="9" t="s">
        <v>28</v>
      </c>
      <c r="E50" s="9" t="s">
        <v>32</v>
      </c>
      <c r="F50" s="13">
        <v>51000</v>
      </c>
      <c r="G50" s="39">
        <v>1050</v>
      </c>
      <c r="H50" s="45">
        <v>182.09</v>
      </c>
      <c r="I50" s="45">
        <v>131.47999999999999</v>
      </c>
      <c r="J50" s="40">
        <f t="shared" si="0"/>
        <v>50.610000000000014</v>
      </c>
      <c r="K50" s="40">
        <f t="shared" si="1"/>
        <v>53140.500000000015</v>
      </c>
      <c r="L50" s="40">
        <f t="shared" si="2"/>
        <v>191194.5</v>
      </c>
      <c r="M50" s="40">
        <f t="shared" si="3"/>
        <v>138054</v>
      </c>
      <c r="N50" s="40">
        <f t="shared" si="4"/>
        <v>329248.5</v>
      </c>
      <c r="O50" s="40">
        <f t="shared" si="5"/>
        <v>44.119298999999998</v>
      </c>
      <c r="P50" s="40">
        <f t="shared" si="6"/>
        <v>53096.380701000016</v>
      </c>
      <c r="Q50" s="14"/>
      <c r="R50" s="14"/>
      <c r="S50" s="14"/>
    </row>
    <row r="51" spans="1:19" hidden="1" x14ac:dyDescent="0.25">
      <c r="A51" s="51">
        <v>46168</v>
      </c>
      <c r="B51" s="9" t="s">
        <v>34</v>
      </c>
      <c r="C51" s="51">
        <v>46203</v>
      </c>
      <c r="D51" s="9" t="s">
        <v>30</v>
      </c>
      <c r="E51" s="9" t="s">
        <v>32</v>
      </c>
      <c r="F51" s="13">
        <v>51000</v>
      </c>
      <c r="G51" s="39">
        <v>3090</v>
      </c>
      <c r="H51" s="45">
        <v>158.82</v>
      </c>
      <c r="I51" s="45">
        <v>182.09</v>
      </c>
      <c r="J51" s="40">
        <f t="shared" si="0"/>
        <v>23.27000000000001</v>
      </c>
      <c r="K51" s="40">
        <f t="shared" si="1"/>
        <v>71904.300000000032</v>
      </c>
      <c r="L51" s="40">
        <f t="shared" si="2"/>
        <v>562658.1</v>
      </c>
      <c r="M51" s="40">
        <f t="shared" si="3"/>
        <v>490753.8</v>
      </c>
      <c r="N51" s="40">
        <f t="shared" si="4"/>
        <v>1053411.8999999999</v>
      </c>
      <c r="O51" s="40">
        <f t="shared" si="5"/>
        <v>141.1571946</v>
      </c>
      <c r="P51" s="40">
        <f t="shared" si="6"/>
        <v>71763.142805400028</v>
      </c>
    </row>
    <row r="52" spans="1:19" hidden="1" x14ac:dyDescent="0.25">
      <c r="A52" s="51">
        <v>46174</v>
      </c>
      <c r="B52" s="9" t="s">
        <v>34</v>
      </c>
      <c r="C52" s="51">
        <v>46203</v>
      </c>
      <c r="D52" s="9" t="s">
        <v>30</v>
      </c>
      <c r="E52" s="9" t="s">
        <v>32</v>
      </c>
      <c r="F52" s="13">
        <v>51000</v>
      </c>
      <c r="G52" s="39">
        <v>60</v>
      </c>
      <c r="H52" s="45">
        <v>197</v>
      </c>
      <c r="I52" s="45">
        <v>282.68</v>
      </c>
      <c r="J52" s="40">
        <f t="shared" si="0"/>
        <v>85.68</v>
      </c>
      <c r="K52" s="40">
        <f t="shared" si="1"/>
        <v>5140.8</v>
      </c>
      <c r="L52" s="40">
        <f t="shared" si="2"/>
        <v>16960.8</v>
      </c>
      <c r="M52" s="40">
        <f t="shared" si="3"/>
        <v>11820</v>
      </c>
      <c r="N52" s="40">
        <f t="shared" si="4"/>
        <v>28780.799999999999</v>
      </c>
      <c r="O52" s="40">
        <f t="shared" si="5"/>
        <v>3.8566272000000001</v>
      </c>
      <c r="P52" s="40">
        <f t="shared" si="6"/>
        <v>5136.9433728000004</v>
      </c>
    </row>
    <row r="53" spans="1:19" hidden="1" x14ac:dyDescent="0.25">
      <c r="A53" s="51">
        <v>46175</v>
      </c>
      <c r="B53" s="9" t="s">
        <v>34</v>
      </c>
      <c r="C53" s="51">
        <v>46203</v>
      </c>
      <c r="D53" s="9" t="s">
        <v>30</v>
      </c>
      <c r="E53" s="9" t="s">
        <v>32</v>
      </c>
      <c r="F53" s="13">
        <v>50000</v>
      </c>
      <c r="G53" s="39">
        <v>3750</v>
      </c>
      <c r="H53" s="45">
        <v>171.45</v>
      </c>
      <c r="I53" s="45">
        <v>124.94</v>
      </c>
      <c r="J53" s="40">
        <f t="shared" si="0"/>
        <v>-46.509999999999991</v>
      </c>
      <c r="K53" s="40">
        <f t="shared" si="1"/>
        <v>-174412.49999999997</v>
      </c>
      <c r="L53" s="40">
        <f t="shared" si="2"/>
        <v>468525</v>
      </c>
      <c r="M53" s="40">
        <f t="shared" si="3"/>
        <v>642937.5</v>
      </c>
      <c r="N53" s="40">
        <f t="shared" si="4"/>
        <v>1111462.5</v>
      </c>
      <c r="O53" s="40">
        <f t="shared" si="5"/>
        <v>148.93597500000001</v>
      </c>
      <c r="P53" s="40">
        <f t="shared" si="6"/>
        <v>-174561.43597499997</v>
      </c>
      <c r="Q53" s="14"/>
      <c r="R53" s="14"/>
      <c r="S53" s="14"/>
    </row>
    <row r="54" spans="1:19" hidden="1" x14ac:dyDescent="0.25">
      <c r="A54" s="51">
        <v>46175</v>
      </c>
      <c r="B54" s="9" t="s">
        <v>34</v>
      </c>
      <c r="C54" s="51">
        <v>46203</v>
      </c>
      <c r="D54" s="9" t="s">
        <v>30</v>
      </c>
      <c r="E54" s="9" t="s">
        <v>32</v>
      </c>
      <c r="F54" s="13">
        <v>51000</v>
      </c>
      <c r="G54" s="39">
        <v>2970</v>
      </c>
      <c r="H54" s="45">
        <v>220.2</v>
      </c>
      <c r="I54" s="45">
        <v>15.28</v>
      </c>
      <c r="J54" s="40">
        <f t="shared" si="0"/>
        <v>-204.92</v>
      </c>
      <c r="K54" s="40">
        <f t="shared" si="1"/>
        <v>-608612.39999999991</v>
      </c>
      <c r="L54" s="40">
        <f t="shared" si="2"/>
        <v>45381.599999999999</v>
      </c>
      <c r="M54" s="40">
        <f t="shared" si="3"/>
        <v>653994</v>
      </c>
      <c r="N54" s="40">
        <f t="shared" si="4"/>
        <v>699375.6</v>
      </c>
      <c r="O54" s="40">
        <f t="shared" si="5"/>
        <v>93.716330400000004</v>
      </c>
      <c r="P54" s="40">
        <f t="shared" si="6"/>
        <v>-608706.11633039988</v>
      </c>
      <c r="Q54" s="14"/>
      <c r="R54" s="14"/>
      <c r="S54" s="14"/>
    </row>
    <row r="55" spans="1:19" hidden="1" x14ac:dyDescent="0.25">
      <c r="A55" s="51">
        <v>46175</v>
      </c>
      <c r="B55" s="9" t="s">
        <v>34</v>
      </c>
      <c r="C55" s="51">
        <v>46203</v>
      </c>
      <c r="D55" s="9" t="s">
        <v>30</v>
      </c>
      <c r="E55" s="9" t="s">
        <v>32</v>
      </c>
      <c r="F55" s="13">
        <v>50000</v>
      </c>
      <c r="G55" s="39">
        <v>600</v>
      </c>
      <c r="H55" s="45">
        <v>171.45</v>
      </c>
      <c r="I55" s="45">
        <v>196.59</v>
      </c>
      <c r="J55" s="40">
        <f t="shared" si="0"/>
        <v>25.140000000000015</v>
      </c>
      <c r="K55" s="40">
        <f t="shared" si="1"/>
        <v>15084.000000000009</v>
      </c>
      <c r="L55" s="40">
        <f t="shared" si="2"/>
        <v>117954</v>
      </c>
      <c r="M55" s="40">
        <f t="shared" si="3"/>
        <v>102870</v>
      </c>
      <c r="N55" s="40">
        <f t="shared" si="4"/>
        <v>220824</v>
      </c>
      <c r="O55" s="40">
        <f t="shared" si="5"/>
        <v>29.590416000000001</v>
      </c>
      <c r="P55" s="40">
        <f t="shared" si="6"/>
        <v>15054.40958400001</v>
      </c>
      <c r="Q55" s="14"/>
      <c r="R55" s="14"/>
      <c r="S55" s="14"/>
    </row>
    <row r="56" spans="1:19" hidden="1" x14ac:dyDescent="0.25">
      <c r="A56" s="51">
        <v>46168</v>
      </c>
      <c r="B56" s="9" t="s">
        <v>34</v>
      </c>
      <c r="C56" s="51">
        <v>46203</v>
      </c>
      <c r="D56" s="9" t="s">
        <v>30</v>
      </c>
      <c r="E56" s="9" t="s">
        <v>32</v>
      </c>
      <c r="F56" s="13">
        <v>51000</v>
      </c>
      <c r="G56" s="39">
        <v>30</v>
      </c>
      <c r="H56" s="45">
        <v>158.82</v>
      </c>
      <c r="I56" s="45">
        <v>282.68</v>
      </c>
      <c r="J56" s="40">
        <f t="shared" si="0"/>
        <v>123.86000000000001</v>
      </c>
      <c r="K56" s="40">
        <f t="shared" si="1"/>
        <v>3715.8</v>
      </c>
      <c r="L56" s="40">
        <f t="shared" si="2"/>
        <v>8480.4</v>
      </c>
      <c r="M56" s="40">
        <f t="shared" si="3"/>
        <v>4764.5999999999995</v>
      </c>
      <c r="N56" s="40">
        <f t="shared" si="4"/>
        <v>13245</v>
      </c>
      <c r="O56" s="40">
        <f t="shared" si="5"/>
        <v>1.7748300000000001</v>
      </c>
      <c r="P56" s="40">
        <f t="shared" si="6"/>
        <v>3714.0251700000003</v>
      </c>
    </row>
    <row r="57" spans="1:19" hidden="1" x14ac:dyDescent="0.25">
      <c r="A57" s="51">
        <v>46183</v>
      </c>
      <c r="B57" s="9" t="s">
        <v>34</v>
      </c>
      <c r="C57" s="51">
        <v>46203</v>
      </c>
      <c r="D57" s="9" t="s">
        <v>28</v>
      </c>
      <c r="E57" s="9" t="s">
        <v>32</v>
      </c>
      <c r="F57" s="13">
        <v>51000</v>
      </c>
      <c r="G57" s="39">
        <v>600</v>
      </c>
      <c r="H57" s="45">
        <v>89.92</v>
      </c>
      <c r="I57" s="45">
        <v>89.5</v>
      </c>
      <c r="J57" s="40">
        <f t="shared" si="0"/>
        <v>0.42000000000000171</v>
      </c>
      <c r="K57" s="40">
        <f t="shared" si="1"/>
        <v>252.00000000000102</v>
      </c>
      <c r="L57" s="40">
        <f t="shared" si="2"/>
        <v>53952</v>
      </c>
      <c r="M57" s="40">
        <f t="shared" si="3"/>
        <v>53700</v>
      </c>
      <c r="N57" s="40">
        <f t="shared" si="4"/>
        <v>107652</v>
      </c>
      <c r="O57" s="40">
        <f t="shared" si="5"/>
        <v>14.425368000000001</v>
      </c>
      <c r="P57" s="40">
        <f t="shared" si="6"/>
        <v>237.57463200000103</v>
      </c>
      <c r="Q57" s="14"/>
      <c r="R57" s="14"/>
      <c r="S57" s="14"/>
    </row>
    <row r="58" spans="1:19" hidden="1" x14ac:dyDescent="0.25">
      <c r="A58" s="51">
        <v>46184</v>
      </c>
      <c r="B58" s="9" t="s">
        <v>34</v>
      </c>
      <c r="C58" s="51">
        <v>46203</v>
      </c>
      <c r="D58" s="9" t="s">
        <v>30</v>
      </c>
      <c r="E58" s="9" t="s">
        <v>32</v>
      </c>
      <c r="F58" s="13">
        <v>51000</v>
      </c>
      <c r="G58" s="39">
        <v>1110</v>
      </c>
      <c r="H58" s="45">
        <v>220.2</v>
      </c>
      <c r="I58" s="45">
        <v>81.14</v>
      </c>
      <c r="J58" s="40">
        <f t="shared" si="0"/>
        <v>-139.06</v>
      </c>
      <c r="K58" s="40">
        <f t="shared" si="1"/>
        <v>-154356.6</v>
      </c>
      <c r="L58" s="40">
        <f t="shared" si="2"/>
        <v>90065.4</v>
      </c>
      <c r="M58" s="40">
        <f t="shared" si="3"/>
        <v>244422</v>
      </c>
      <c r="N58" s="40">
        <f t="shared" si="4"/>
        <v>334487.40000000002</v>
      </c>
      <c r="O58" s="40">
        <f t="shared" si="5"/>
        <v>44.821311600000001</v>
      </c>
      <c r="P58" s="40">
        <f t="shared" si="6"/>
        <v>-154401.42131160002</v>
      </c>
      <c r="Q58" s="14"/>
      <c r="R58" s="14"/>
      <c r="S58" s="14"/>
    </row>
    <row r="59" spans="1:19" hidden="1" x14ac:dyDescent="0.25">
      <c r="A59" s="51">
        <v>46185</v>
      </c>
      <c r="B59" s="9" t="s">
        <v>34</v>
      </c>
      <c r="C59" s="51">
        <v>46203</v>
      </c>
      <c r="D59" s="9" t="s">
        <v>30</v>
      </c>
      <c r="E59" s="9" t="s">
        <v>32</v>
      </c>
      <c r="F59" s="13">
        <v>51000</v>
      </c>
      <c r="G59" s="39">
        <v>300</v>
      </c>
      <c r="H59" s="45">
        <v>45.65</v>
      </c>
      <c r="I59" s="45">
        <v>32.200000000000003</v>
      </c>
      <c r="J59" s="40">
        <f t="shared" si="0"/>
        <v>-13.449999999999996</v>
      </c>
      <c r="K59" s="40">
        <f t="shared" si="1"/>
        <v>-4034.9999999999986</v>
      </c>
      <c r="L59" s="40">
        <f t="shared" si="2"/>
        <v>9660</v>
      </c>
      <c r="M59" s="40">
        <f t="shared" si="3"/>
        <v>13695</v>
      </c>
      <c r="N59" s="40">
        <f t="shared" si="4"/>
        <v>23355</v>
      </c>
      <c r="O59" s="40">
        <f t="shared" si="5"/>
        <v>3.1295700000000002</v>
      </c>
      <c r="P59" s="40">
        <f t="shared" si="6"/>
        <v>-4038.1295699999987</v>
      </c>
      <c r="Q59" s="14"/>
      <c r="R59" s="14"/>
      <c r="S59" s="14"/>
    </row>
    <row r="60" spans="1:19" hidden="1" x14ac:dyDescent="0.25">
      <c r="A60" s="51">
        <v>46185</v>
      </c>
      <c r="B60" s="9" t="s">
        <v>34</v>
      </c>
      <c r="C60" s="51">
        <v>46203</v>
      </c>
      <c r="D60" s="9" t="s">
        <v>30</v>
      </c>
      <c r="E60" s="9" t="s">
        <v>32</v>
      </c>
      <c r="F60" s="13">
        <v>51000</v>
      </c>
      <c r="G60" s="39">
        <v>1110</v>
      </c>
      <c r="H60" s="45">
        <v>45.65</v>
      </c>
      <c r="I60" s="45">
        <v>21.91</v>
      </c>
      <c r="J60" s="40">
        <f t="shared" si="0"/>
        <v>-23.74</v>
      </c>
      <c r="K60" s="40">
        <f t="shared" si="1"/>
        <v>-26351.399999999998</v>
      </c>
      <c r="L60" s="40">
        <f t="shared" si="2"/>
        <v>24320.1</v>
      </c>
      <c r="M60" s="40">
        <f t="shared" si="3"/>
        <v>50671.5</v>
      </c>
      <c r="N60" s="40">
        <f t="shared" si="4"/>
        <v>74991.600000000006</v>
      </c>
      <c r="O60" s="40">
        <f t="shared" si="5"/>
        <v>10.048874400000001</v>
      </c>
      <c r="P60" s="40">
        <f t="shared" si="6"/>
        <v>-26361.448874399997</v>
      </c>
      <c r="Q60" s="14"/>
      <c r="R60" s="14"/>
      <c r="S60" s="14"/>
    </row>
    <row r="61" spans="1:19" hidden="1" x14ac:dyDescent="0.25">
      <c r="A61" s="51">
        <v>46185</v>
      </c>
      <c r="B61" s="9" t="s">
        <v>34</v>
      </c>
      <c r="C61" s="51">
        <v>46203</v>
      </c>
      <c r="D61" s="9" t="s">
        <v>28</v>
      </c>
      <c r="E61" s="9" t="s">
        <v>32</v>
      </c>
      <c r="F61" s="13">
        <v>58000</v>
      </c>
      <c r="G61" s="39">
        <v>5070</v>
      </c>
      <c r="H61" s="45">
        <v>1491.32</v>
      </c>
      <c r="I61" s="45">
        <v>677.72</v>
      </c>
      <c r="J61" s="40">
        <f t="shared" si="0"/>
        <v>813.59999999999991</v>
      </c>
      <c r="K61" s="40">
        <f t="shared" si="1"/>
        <v>4124951.9999999995</v>
      </c>
      <c r="L61" s="40">
        <f t="shared" si="2"/>
        <v>7560992.3999999994</v>
      </c>
      <c r="M61" s="40">
        <f t="shared" si="3"/>
        <v>3436040.4</v>
      </c>
      <c r="N61" s="40">
        <f t="shared" si="4"/>
        <v>10997032.799999999</v>
      </c>
      <c r="O61" s="40">
        <f t="shared" si="5"/>
        <v>1473.6023951999998</v>
      </c>
      <c r="P61" s="40">
        <f t="shared" si="6"/>
        <v>4123478.3976047994</v>
      </c>
      <c r="Q61" s="14"/>
      <c r="R61" s="14"/>
      <c r="S61" s="14"/>
    </row>
    <row r="62" spans="1:19" hidden="1" x14ac:dyDescent="0.25">
      <c r="A62" s="51">
        <v>46185</v>
      </c>
      <c r="B62" s="9" t="s">
        <v>34</v>
      </c>
      <c r="C62" s="51">
        <v>46203</v>
      </c>
      <c r="D62" s="9" t="s">
        <v>30</v>
      </c>
      <c r="E62" s="9" t="s">
        <v>32</v>
      </c>
      <c r="F62" s="13">
        <v>53000</v>
      </c>
      <c r="G62" s="39">
        <v>1920</v>
      </c>
      <c r="H62" s="45">
        <v>87.54</v>
      </c>
      <c r="I62" s="45">
        <v>8.9499999999999993</v>
      </c>
      <c r="J62" s="40">
        <f t="shared" si="0"/>
        <v>-78.59</v>
      </c>
      <c r="K62" s="40">
        <f t="shared" si="1"/>
        <v>-150892.80000000002</v>
      </c>
      <c r="L62" s="40">
        <f t="shared" si="2"/>
        <v>17184</v>
      </c>
      <c r="M62" s="40">
        <f t="shared" si="3"/>
        <v>168076.80000000002</v>
      </c>
      <c r="N62" s="40">
        <f t="shared" si="4"/>
        <v>185260.80000000002</v>
      </c>
      <c r="O62" s="40">
        <f t="shared" si="5"/>
        <v>24.824947200000004</v>
      </c>
      <c r="P62" s="40">
        <f t="shared" si="6"/>
        <v>-150917.62494720001</v>
      </c>
      <c r="Q62" s="14"/>
      <c r="R62" s="14"/>
      <c r="S62" s="14"/>
    </row>
    <row r="63" spans="1:19" hidden="1" x14ac:dyDescent="0.25">
      <c r="A63" s="51">
        <v>46175</v>
      </c>
      <c r="B63" s="9" t="s">
        <v>34</v>
      </c>
      <c r="C63" s="51">
        <v>46203</v>
      </c>
      <c r="D63" s="9" t="s">
        <v>30</v>
      </c>
      <c r="E63" s="9" t="s">
        <v>32</v>
      </c>
      <c r="F63" s="13">
        <v>51000</v>
      </c>
      <c r="G63" s="39">
        <v>810</v>
      </c>
      <c r="H63" s="45">
        <v>220.2</v>
      </c>
      <c r="I63" s="45">
        <v>21.91</v>
      </c>
      <c r="J63" s="40">
        <f t="shared" si="0"/>
        <v>-198.29</v>
      </c>
      <c r="K63" s="40">
        <f t="shared" si="1"/>
        <v>-160614.9</v>
      </c>
      <c r="L63" s="40">
        <f t="shared" si="2"/>
        <v>17747.099999999999</v>
      </c>
      <c r="M63" s="40">
        <f t="shared" si="3"/>
        <v>178362</v>
      </c>
      <c r="N63" s="40">
        <f t="shared" si="4"/>
        <v>196109.1</v>
      </c>
      <c r="O63" s="40">
        <f t="shared" si="5"/>
        <v>26.2786194</v>
      </c>
      <c r="P63" s="40">
        <f t="shared" si="6"/>
        <v>-160641.17861939999</v>
      </c>
      <c r="Q63" s="14"/>
      <c r="R63" s="14"/>
      <c r="S63" s="14"/>
    </row>
    <row r="64" spans="1:19" hidden="1" x14ac:dyDescent="0.25">
      <c r="A64" s="51">
        <v>46188</v>
      </c>
      <c r="B64" s="9" t="s">
        <v>34</v>
      </c>
      <c r="C64" s="51">
        <v>46203</v>
      </c>
      <c r="D64" s="9" t="s">
        <v>30</v>
      </c>
      <c r="E64" s="9" t="s">
        <v>32</v>
      </c>
      <c r="F64" s="13">
        <v>53000</v>
      </c>
      <c r="G64" s="39">
        <v>600</v>
      </c>
      <c r="H64" s="45">
        <v>56.62</v>
      </c>
      <c r="I64" s="45">
        <v>52.66</v>
      </c>
      <c r="J64" s="40">
        <f t="shared" si="0"/>
        <v>-3.9600000000000009</v>
      </c>
      <c r="K64" s="40">
        <f t="shared" si="1"/>
        <v>-2376.0000000000005</v>
      </c>
      <c r="L64" s="40">
        <f t="shared" si="2"/>
        <v>31595.999999999996</v>
      </c>
      <c r="M64" s="40">
        <f t="shared" si="3"/>
        <v>33972</v>
      </c>
      <c r="N64" s="40">
        <f t="shared" si="4"/>
        <v>65568</v>
      </c>
      <c r="O64" s="40">
        <f t="shared" si="5"/>
        <v>8.786112000000001</v>
      </c>
      <c r="P64" s="40">
        <f t="shared" si="6"/>
        <v>-2384.7861120000002</v>
      </c>
      <c r="Q64" s="14"/>
      <c r="R64" s="14"/>
      <c r="S64" s="14"/>
    </row>
    <row r="65" spans="1:19" hidden="1" x14ac:dyDescent="0.25">
      <c r="A65" s="51">
        <v>46188</v>
      </c>
      <c r="B65" s="9" t="s">
        <v>34</v>
      </c>
      <c r="C65" s="51">
        <v>46203</v>
      </c>
      <c r="D65" s="9" t="s">
        <v>30</v>
      </c>
      <c r="E65" s="9" t="s">
        <v>32</v>
      </c>
      <c r="F65" s="13">
        <v>53000</v>
      </c>
      <c r="G65" s="39">
        <v>450</v>
      </c>
      <c r="H65" s="45">
        <v>56.62</v>
      </c>
      <c r="I65" s="45">
        <v>8.9499999999999993</v>
      </c>
      <c r="J65" s="40">
        <f t="shared" si="0"/>
        <v>-47.67</v>
      </c>
      <c r="K65" s="40">
        <f t="shared" si="1"/>
        <v>-21451.5</v>
      </c>
      <c r="L65" s="40">
        <f t="shared" si="2"/>
        <v>4027.4999999999995</v>
      </c>
      <c r="M65" s="40">
        <f t="shared" si="3"/>
        <v>25479</v>
      </c>
      <c r="N65" s="40">
        <f t="shared" si="4"/>
        <v>29506.5</v>
      </c>
      <c r="O65" s="40">
        <f t="shared" si="5"/>
        <v>3.9538709999999999</v>
      </c>
      <c r="P65" s="40">
        <f t="shared" si="6"/>
        <v>-21455.453871000002</v>
      </c>
      <c r="Q65" s="14"/>
      <c r="R65" s="14"/>
      <c r="S65" s="14"/>
    </row>
    <row r="66" spans="1:19" hidden="1" x14ac:dyDescent="0.25">
      <c r="A66" s="51">
        <v>46188</v>
      </c>
      <c r="B66" s="9" t="s">
        <v>34</v>
      </c>
      <c r="C66" s="51">
        <v>46203</v>
      </c>
      <c r="D66" s="9" t="s">
        <v>28</v>
      </c>
      <c r="E66" s="9" t="s">
        <v>32</v>
      </c>
      <c r="F66" s="13">
        <v>58000</v>
      </c>
      <c r="G66" s="39">
        <v>600</v>
      </c>
      <c r="H66" s="45">
        <v>1115.7</v>
      </c>
      <c r="I66" s="45">
        <v>677.72</v>
      </c>
      <c r="J66" s="40">
        <f t="shared" ref="J66:J129" si="7">IF(D66="Short",H66-I66,I66-H66)</f>
        <v>437.98</v>
      </c>
      <c r="K66" s="40">
        <f t="shared" ref="K66:K129" si="8">J66*G66</f>
        <v>262788</v>
      </c>
      <c r="L66" s="40">
        <f t="shared" ref="L66:L129" si="9">IF(D66="Short",G66*H66,G66*I66)</f>
        <v>669420</v>
      </c>
      <c r="M66" s="40">
        <f t="shared" ref="M66:M129" si="10">IF(D66="Short",G66*I66,H66*G66)</f>
        <v>406632</v>
      </c>
      <c r="N66" s="40">
        <f t="shared" ref="N66:N129" si="11">L66+M66</f>
        <v>1076052</v>
      </c>
      <c r="O66" s="40">
        <f t="shared" ref="O66:O129" si="12">N66*0.000134</f>
        <v>144.190968</v>
      </c>
      <c r="P66" s="40">
        <f t="shared" ref="P66:P129" si="13">K66-O66</f>
        <v>262643.80903200002</v>
      </c>
      <c r="Q66" s="14"/>
      <c r="R66" s="14"/>
      <c r="S66" s="14"/>
    </row>
    <row r="67" spans="1:19" hidden="1" x14ac:dyDescent="0.25">
      <c r="A67" s="51">
        <v>46188</v>
      </c>
      <c r="B67" s="9" t="s">
        <v>31</v>
      </c>
      <c r="C67" s="51">
        <v>46189</v>
      </c>
      <c r="D67" s="9" t="s">
        <v>28</v>
      </c>
      <c r="E67" s="9" t="s">
        <v>32</v>
      </c>
      <c r="F67" s="13">
        <v>24000</v>
      </c>
      <c r="G67" s="39">
        <v>3835</v>
      </c>
      <c r="H67" s="45">
        <v>132.99</v>
      </c>
      <c r="I67" s="45">
        <v>15.97</v>
      </c>
      <c r="J67" s="40">
        <f t="shared" si="7"/>
        <v>117.02000000000001</v>
      </c>
      <c r="K67" s="40">
        <f t="shared" si="8"/>
        <v>448771.7</v>
      </c>
      <c r="L67" s="40">
        <f t="shared" si="9"/>
        <v>510016.65</v>
      </c>
      <c r="M67" s="40">
        <f t="shared" si="10"/>
        <v>61244.950000000004</v>
      </c>
      <c r="N67" s="40">
        <f t="shared" si="11"/>
        <v>571261.6</v>
      </c>
      <c r="O67" s="40">
        <f t="shared" si="12"/>
        <v>76.549054400000003</v>
      </c>
      <c r="P67" s="40">
        <f t="shared" si="13"/>
        <v>448695.15094560001</v>
      </c>
      <c r="Q67" s="14"/>
      <c r="R67" s="14"/>
      <c r="S67" s="14"/>
    </row>
    <row r="68" spans="1:19" hidden="1" x14ac:dyDescent="0.25">
      <c r="A68" s="51">
        <v>46188</v>
      </c>
      <c r="B68" s="9" t="s">
        <v>31</v>
      </c>
      <c r="C68" s="51">
        <v>46189</v>
      </c>
      <c r="D68" s="9" t="s">
        <v>30</v>
      </c>
      <c r="E68" s="9" t="s">
        <v>32</v>
      </c>
      <c r="F68" s="13">
        <v>23500</v>
      </c>
      <c r="G68" s="39">
        <v>3835</v>
      </c>
      <c r="H68" s="45">
        <v>9.93</v>
      </c>
      <c r="I68" s="45">
        <v>0.05</v>
      </c>
      <c r="J68" s="40">
        <f t="shared" si="7"/>
        <v>-9.879999999999999</v>
      </c>
      <c r="K68" s="40">
        <f t="shared" si="8"/>
        <v>-37889.799999999996</v>
      </c>
      <c r="L68" s="40">
        <f t="shared" si="9"/>
        <v>191.75</v>
      </c>
      <c r="M68" s="40">
        <f t="shared" si="10"/>
        <v>38081.549999999996</v>
      </c>
      <c r="N68" s="40">
        <f t="shared" si="11"/>
        <v>38273.299999999996</v>
      </c>
      <c r="O68" s="40">
        <f t="shared" si="12"/>
        <v>5.1286221999999997</v>
      </c>
      <c r="P68" s="40">
        <f t="shared" si="13"/>
        <v>-37894.928622199994</v>
      </c>
      <c r="Q68" s="14"/>
      <c r="R68" s="14"/>
      <c r="S68" s="14"/>
    </row>
    <row r="69" spans="1:19" hidden="1" x14ac:dyDescent="0.25">
      <c r="A69" s="51">
        <v>46189</v>
      </c>
      <c r="B69" s="9" t="s">
        <v>34</v>
      </c>
      <c r="C69" s="51">
        <v>46203</v>
      </c>
      <c r="D69" s="9" t="s">
        <v>30</v>
      </c>
      <c r="E69" s="9" t="s">
        <v>32</v>
      </c>
      <c r="F69" s="13">
        <v>53000</v>
      </c>
      <c r="G69" s="39">
        <v>3150</v>
      </c>
      <c r="H69" s="45">
        <v>39.71</v>
      </c>
      <c r="I69" s="45">
        <v>12.23</v>
      </c>
      <c r="J69" s="40">
        <f t="shared" si="7"/>
        <v>-27.48</v>
      </c>
      <c r="K69" s="40">
        <f t="shared" si="8"/>
        <v>-86562</v>
      </c>
      <c r="L69" s="40">
        <f t="shared" si="9"/>
        <v>38524.5</v>
      </c>
      <c r="M69" s="40">
        <f t="shared" si="10"/>
        <v>125086.5</v>
      </c>
      <c r="N69" s="40">
        <f t="shared" si="11"/>
        <v>163611</v>
      </c>
      <c r="O69" s="40">
        <f t="shared" si="12"/>
        <v>21.923874000000001</v>
      </c>
      <c r="P69" s="40">
        <f t="shared" si="13"/>
        <v>-86583.923874</v>
      </c>
      <c r="Q69" s="14"/>
      <c r="R69" s="14"/>
      <c r="S69" s="14"/>
    </row>
    <row r="70" spans="1:19" hidden="1" x14ac:dyDescent="0.25">
      <c r="A70" s="51">
        <v>46191</v>
      </c>
      <c r="B70" s="9" t="s">
        <v>34</v>
      </c>
      <c r="C70" s="51">
        <v>46203</v>
      </c>
      <c r="D70" s="9" t="s">
        <v>28</v>
      </c>
      <c r="E70" s="9" t="s">
        <v>32</v>
      </c>
      <c r="F70" s="13">
        <v>54000</v>
      </c>
      <c r="G70" s="39">
        <v>1710</v>
      </c>
      <c r="H70" s="45">
        <v>24.96</v>
      </c>
      <c r="I70" s="45">
        <v>25.74</v>
      </c>
      <c r="J70" s="40">
        <f t="shared" si="7"/>
        <v>-0.77999999999999758</v>
      </c>
      <c r="K70" s="40">
        <f t="shared" si="8"/>
        <v>-1333.7999999999959</v>
      </c>
      <c r="L70" s="40">
        <f t="shared" si="9"/>
        <v>42681.599999999999</v>
      </c>
      <c r="M70" s="40">
        <f t="shared" si="10"/>
        <v>44015.399999999994</v>
      </c>
      <c r="N70" s="40">
        <f t="shared" si="11"/>
        <v>86697</v>
      </c>
      <c r="O70" s="40">
        <f t="shared" si="12"/>
        <v>11.617398</v>
      </c>
      <c r="P70" s="40">
        <f t="shared" si="13"/>
        <v>-1345.417397999996</v>
      </c>
      <c r="Q70" s="14"/>
      <c r="R70" s="14"/>
      <c r="S70" s="14"/>
    </row>
    <row r="71" spans="1:19" hidden="1" x14ac:dyDescent="0.25">
      <c r="A71" s="51">
        <v>46191</v>
      </c>
      <c r="B71" s="9" t="s">
        <v>34</v>
      </c>
      <c r="C71" s="51">
        <v>46203</v>
      </c>
      <c r="D71" s="9" t="s">
        <v>30</v>
      </c>
      <c r="E71" s="9" t="s">
        <v>32</v>
      </c>
      <c r="F71" s="13">
        <v>54000</v>
      </c>
      <c r="G71" s="39">
        <v>1200</v>
      </c>
      <c r="H71" s="45">
        <v>25.74</v>
      </c>
      <c r="I71" s="45">
        <v>9.7799999999999994</v>
      </c>
      <c r="J71" s="40">
        <f t="shared" si="7"/>
        <v>-15.959999999999999</v>
      </c>
      <c r="K71" s="40">
        <f t="shared" si="8"/>
        <v>-19152</v>
      </c>
      <c r="L71" s="40">
        <f t="shared" si="9"/>
        <v>11736</v>
      </c>
      <c r="M71" s="40">
        <f t="shared" si="10"/>
        <v>30887.999999999996</v>
      </c>
      <c r="N71" s="40">
        <f t="shared" si="11"/>
        <v>42624</v>
      </c>
      <c r="O71" s="40">
        <f t="shared" si="12"/>
        <v>5.7116160000000002</v>
      </c>
      <c r="P71" s="40">
        <f t="shared" si="13"/>
        <v>-19157.711616000001</v>
      </c>
      <c r="Q71" s="14"/>
      <c r="R71" s="14"/>
      <c r="S71" s="14"/>
    </row>
    <row r="72" spans="1:19" hidden="1" x14ac:dyDescent="0.25">
      <c r="A72" s="51">
        <v>46191</v>
      </c>
      <c r="B72" s="9" t="s">
        <v>34</v>
      </c>
      <c r="C72" s="51">
        <v>46203</v>
      </c>
      <c r="D72" s="9" t="s">
        <v>30</v>
      </c>
      <c r="E72" s="9" t="s">
        <v>32</v>
      </c>
      <c r="F72" s="13">
        <v>55000</v>
      </c>
      <c r="G72" s="39">
        <v>3690</v>
      </c>
      <c r="H72" s="45">
        <v>47.59</v>
      </c>
      <c r="I72" s="45">
        <v>3.43</v>
      </c>
      <c r="J72" s="40">
        <f t="shared" si="7"/>
        <v>-44.160000000000004</v>
      </c>
      <c r="K72" s="40">
        <f t="shared" si="8"/>
        <v>-162950.40000000002</v>
      </c>
      <c r="L72" s="40">
        <f t="shared" si="9"/>
        <v>12656.7</v>
      </c>
      <c r="M72" s="40">
        <f t="shared" si="10"/>
        <v>175607.1</v>
      </c>
      <c r="N72" s="40">
        <f t="shared" si="11"/>
        <v>188263.80000000002</v>
      </c>
      <c r="O72" s="40">
        <f t="shared" si="12"/>
        <v>25.227349200000003</v>
      </c>
      <c r="P72" s="40">
        <f t="shared" si="13"/>
        <v>-162975.62734920002</v>
      </c>
      <c r="Q72" s="14"/>
      <c r="R72" s="14"/>
      <c r="S72" s="14"/>
    </row>
    <row r="73" spans="1:19" hidden="1" x14ac:dyDescent="0.25">
      <c r="A73" s="51">
        <v>46191</v>
      </c>
      <c r="B73" s="9" t="s">
        <v>34</v>
      </c>
      <c r="C73" s="51">
        <v>46203</v>
      </c>
      <c r="D73" s="9" t="s">
        <v>30</v>
      </c>
      <c r="E73" s="9" t="s">
        <v>32</v>
      </c>
      <c r="F73" s="13">
        <v>55000</v>
      </c>
      <c r="G73" s="39">
        <v>120</v>
      </c>
      <c r="H73" s="45">
        <v>47.59</v>
      </c>
      <c r="I73" s="45">
        <v>47.15</v>
      </c>
      <c r="J73" s="40">
        <f t="shared" si="7"/>
        <v>-0.44000000000000483</v>
      </c>
      <c r="K73" s="40">
        <f t="shared" si="8"/>
        <v>-52.80000000000058</v>
      </c>
      <c r="L73" s="40">
        <f t="shared" si="9"/>
        <v>5658</v>
      </c>
      <c r="M73" s="40">
        <f t="shared" si="10"/>
        <v>5710.8</v>
      </c>
      <c r="N73" s="40">
        <f t="shared" si="11"/>
        <v>11368.8</v>
      </c>
      <c r="O73" s="40">
        <f t="shared" si="12"/>
        <v>1.5234192</v>
      </c>
      <c r="P73" s="40">
        <f t="shared" si="13"/>
        <v>-54.323419200000579</v>
      </c>
      <c r="Q73" s="14"/>
      <c r="R73" s="14"/>
      <c r="S73" s="14"/>
    </row>
    <row r="74" spans="1:19" hidden="1" x14ac:dyDescent="0.25">
      <c r="A74" s="51">
        <v>46191</v>
      </c>
      <c r="B74" s="9" t="s">
        <v>34</v>
      </c>
      <c r="C74" s="51">
        <v>46203</v>
      </c>
      <c r="D74" s="9" t="s">
        <v>30</v>
      </c>
      <c r="E74" s="9" t="s">
        <v>32</v>
      </c>
      <c r="F74" s="13">
        <v>58500</v>
      </c>
      <c r="G74" s="39">
        <v>30</v>
      </c>
      <c r="H74" s="45">
        <v>966.35</v>
      </c>
      <c r="I74" s="45">
        <v>968.7</v>
      </c>
      <c r="J74" s="40">
        <f t="shared" si="7"/>
        <v>2.3500000000000227</v>
      </c>
      <c r="K74" s="40">
        <f t="shared" si="8"/>
        <v>70.500000000000682</v>
      </c>
      <c r="L74" s="40">
        <f t="shared" si="9"/>
        <v>29061</v>
      </c>
      <c r="M74" s="40">
        <f t="shared" si="10"/>
        <v>28990.5</v>
      </c>
      <c r="N74" s="40">
        <f t="shared" si="11"/>
        <v>58051.5</v>
      </c>
      <c r="O74" s="40">
        <f t="shared" si="12"/>
        <v>7.7789010000000003</v>
      </c>
      <c r="P74" s="40">
        <f t="shared" si="13"/>
        <v>62.721099000000684</v>
      </c>
      <c r="Q74" s="14"/>
      <c r="R74" s="14"/>
      <c r="S74" s="14"/>
    </row>
    <row r="75" spans="1:19" hidden="1" x14ac:dyDescent="0.25">
      <c r="A75" s="51">
        <v>46191</v>
      </c>
      <c r="B75" s="9" t="s">
        <v>34</v>
      </c>
      <c r="C75" s="51">
        <v>46203</v>
      </c>
      <c r="D75" s="9" t="s">
        <v>28</v>
      </c>
      <c r="E75" s="9" t="s">
        <v>32</v>
      </c>
      <c r="F75" s="13">
        <v>58500</v>
      </c>
      <c r="G75" s="39">
        <v>8790</v>
      </c>
      <c r="H75" s="45">
        <v>968.7</v>
      </c>
      <c r="I75" s="45">
        <v>659.48</v>
      </c>
      <c r="J75" s="40">
        <f t="shared" si="7"/>
        <v>309.22000000000003</v>
      </c>
      <c r="K75" s="40">
        <f t="shared" si="8"/>
        <v>2718043.8000000003</v>
      </c>
      <c r="L75" s="40">
        <f t="shared" si="9"/>
        <v>8514873</v>
      </c>
      <c r="M75" s="40">
        <f t="shared" si="10"/>
        <v>5796829.2000000002</v>
      </c>
      <c r="N75" s="40">
        <f t="shared" si="11"/>
        <v>14311702.199999999</v>
      </c>
      <c r="O75" s="40">
        <f t="shared" si="12"/>
        <v>1917.7680948</v>
      </c>
      <c r="P75" s="40">
        <f t="shared" si="13"/>
        <v>2716126.0319052003</v>
      </c>
      <c r="Q75" s="14"/>
      <c r="R75" s="14"/>
      <c r="S75" s="14"/>
    </row>
    <row r="76" spans="1:19" hidden="1" x14ac:dyDescent="0.25">
      <c r="A76" s="51">
        <v>46188</v>
      </c>
      <c r="B76" s="9" t="s">
        <v>34</v>
      </c>
      <c r="C76" s="51">
        <v>46203</v>
      </c>
      <c r="D76" s="9" t="s">
        <v>30</v>
      </c>
      <c r="E76" s="9" t="s">
        <v>32</v>
      </c>
      <c r="F76" s="13">
        <v>53000</v>
      </c>
      <c r="G76" s="39">
        <v>150</v>
      </c>
      <c r="H76" s="45">
        <v>56.62</v>
      </c>
      <c r="I76" s="45">
        <v>12.23</v>
      </c>
      <c r="J76" s="40">
        <f t="shared" si="7"/>
        <v>-44.39</v>
      </c>
      <c r="K76" s="40">
        <f t="shared" si="8"/>
        <v>-6658.5</v>
      </c>
      <c r="L76" s="40">
        <f t="shared" si="9"/>
        <v>1834.5</v>
      </c>
      <c r="M76" s="40">
        <f t="shared" si="10"/>
        <v>8493</v>
      </c>
      <c r="N76" s="40">
        <f t="shared" si="11"/>
        <v>10327.5</v>
      </c>
      <c r="O76" s="40">
        <f t="shared" si="12"/>
        <v>1.383885</v>
      </c>
      <c r="P76" s="40">
        <f t="shared" si="13"/>
        <v>-6659.8838850000002</v>
      </c>
    </row>
    <row r="77" spans="1:19" hidden="1" x14ac:dyDescent="0.25">
      <c r="A77" s="51">
        <v>46191</v>
      </c>
      <c r="B77" s="9" t="s">
        <v>34</v>
      </c>
      <c r="C77" s="51">
        <v>46203</v>
      </c>
      <c r="D77" s="9" t="s">
        <v>30</v>
      </c>
      <c r="E77" s="9" t="s">
        <v>32</v>
      </c>
      <c r="F77" s="13">
        <v>54000</v>
      </c>
      <c r="G77" s="39">
        <v>990</v>
      </c>
      <c r="H77" s="45">
        <v>25.74</v>
      </c>
      <c r="I77" s="45">
        <v>10.28</v>
      </c>
      <c r="J77" s="40">
        <f t="shared" si="7"/>
        <v>-15.459999999999999</v>
      </c>
      <c r="K77" s="40">
        <f t="shared" si="8"/>
        <v>-15305.4</v>
      </c>
      <c r="L77" s="40">
        <f t="shared" si="9"/>
        <v>10177.199999999999</v>
      </c>
      <c r="M77" s="40">
        <f t="shared" si="10"/>
        <v>25482.6</v>
      </c>
      <c r="N77" s="40">
        <f t="shared" si="11"/>
        <v>35659.799999999996</v>
      </c>
      <c r="O77" s="40">
        <f t="shared" si="12"/>
        <v>4.7784131999999993</v>
      </c>
      <c r="P77" s="40">
        <f t="shared" si="13"/>
        <v>-15310.178413199999</v>
      </c>
    </row>
    <row r="78" spans="1:19" hidden="1" x14ac:dyDescent="0.25">
      <c r="A78" s="51">
        <v>46196</v>
      </c>
      <c r="B78" s="9" t="s">
        <v>34</v>
      </c>
      <c r="C78" s="51">
        <v>46203</v>
      </c>
      <c r="D78" s="9" t="s">
        <v>30</v>
      </c>
      <c r="E78" s="9" t="s">
        <v>32</v>
      </c>
      <c r="F78" s="13">
        <v>56000</v>
      </c>
      <c r="G78" s="39">
        <v>750</v>
      </c>
      <c r="H78" s="45">
        <v>124.69</v>
      </c>
      <c r="I78" s="45">
        <v>5.65</v>
      </c>
      <c r="J78" s="40">
        <f t="shared" si="7"/>
        <v>-119.03999999999999</v>
      </c>
      <c r="K78" s="40">
        <f t="shared" si="8"/>
        <v>-89280</v>
      </c>
      <c r="L78" s="40">
        <f t="shared" si="9"/>
        <v>4237.5</v>
      </c>
      <c r="M78" s="40">
        <f t="shared" si="10"/>
        <v>93517.5</v>
      </c>
      <c r="N78" s="40">
        <f t="shared" si="11"/>
        <v>97755</v>
      </c>
      <c r="O78" s="40">
        <f t="shared" si="12"/>
        <v>13.099170000000001</v>
      </c>
      <c r="P78" s="40">
        <f t="shared" si="13"/>
        <v>-89293.099170000001</v>
      </c>
      <c r="Q78" s="14"/>
      <c r="R78" s="14"/>
      <c r="S78" s="14"/>
    </row>
    <row r="79" spans="1:19" hidden="1" x14ac:dyDescent="0.25">
      <c r="A79" s="51">
        <v>46196</v>
      </c>
      <c r="B79" s="9" t="s">
        <v>34</v>
      </c>
      <c r="C79" s="51">
        <v>46203</v>
      </c>
      <c r="D79" s="9" t="s">
        <v>30</v>
      </c>
      <c r="E79" s="9" t="s">
        <v>32</v>
      </c>
      <c r="F79" s="13">
        <v>54000</v>
      </c>
      <c r="G79" s="39">
        <v>450</v>
      </c>
      <c r="H79" s="45">
        <v>9.8699999999999992</v>
      </c>
      <c r="I79" s="45">
        <v>9.7799999999999994</v>
      </c>
      <c r="J79" s="40">
        <f t="shared" si="7"/>
        <v>-8.9999999999999858E-2</v>
      </c>
      <c r="K79" s="40">
        <f t="shared" si="8"/>
        <v>-40.499999999999936</v>
      </c>
      <c r="L79" s="40">
        <f t="shared" si="9"/>
        <v>4401</v>
      </c>
      <c r="M79" s="40">
        <f t="shared" si="10"/>
        <v>4441.5</v>
      </c>
      <c r="N79" s="40">
        <f t="shared" si="11"/>
        <v>8842.5</v>
      </c>
      <c r="O79" s="40">
        <f t="shared" si="12"/>
        <v>1.184895</v>
      </c>
      <c r="P79" s="40">
        <f t="shared" si="13"/>
        <v>-41.684894999999933</v>
      </c>
      <c r="Q79" s="14"/>
      <c r="R79" s="14"/>
      <c r="S79" s="14"/>
    </row>
    <row r="80" spans="1:19" hidden="1" x14ac:dyDescent="0.25">
      <c r="A80" s="51">
        <v>46197</v>
      </c>
      <c r="B80" s="9" t="s">
        <v>34</v>
      </c>
      <c r="C80" s="51">
        <v>46203</v>
      </c>
      <c r="D80" s="9" t="s">
        <v>30</v>
      </c>
      <c r="E80" s="9" t="s">
        <v>29</v>
      </c>
      <c r="F80" s="13">
        <v>58000</v>
      </c>
      <c r="G80" s="39">
        <v>6000</v>
      </c>
      <c r="H80" s="45">
        <v>482.28</v>
      </c>
      <c r="I80" s="45">
        <v>449.63</v>
      </c>
      <c r="J80" s="40">
        <f t="shared" si="7"/>
        <v>-32.649999999999977</v>
      </c>
      <c r="K80" s="40">
        <f t="shared" si="8"/>
        <v>-195899.99999999985</v>
      </c>
      <c r="L80" s="40">
        <f t="shared" si="9"/>
        <v>2697780</v>
      </c>
      <c r="M80" s="40">
        <f t="shared" si="10"/>
        <v>2893680</v>
      </c>
      <c r="N80" s="40">
        <f t="shared" si="11"/>
        <v>5591460</v>
      </c>
      <c r="O80" s="40">
        <f t="shared" si="12"/>
        <v>749.25563999999997</v>
      </c>
      <c r="P80" s="40">
        <f t="shared" si="13"/>
        <v>-196649.25563999984</v>
      </c>
      <c r="Q80" s="14"/>
      <c r="R80" s="14"/>
      <c r="S80" s="14"/>
    </row>
    <row r="81" spans="1:19" hidden="1" x14ac:dyDescent="0.25">
      <c r="A81" s="51">
        <v>46203</v>
      </c>
      <c r="B81" s="9" t="s">
        <v>33</v>
      </c>
      <c r="C81" s="51">
        <v>46231</v>
      </c>
      <c r="D81" s="9" t="s">
        <v>30</v>
      </c>
      <c r="E81" s="9" t="s">
        <v>29</v>
      </c>
      <c r="F81" s="13">
        <v>14400</v>
      </c>
      <c r="G81" s="39">
        <v>7920</v>
      </c>
      <c r="H81" s="45">
        <v>358.93</v>
      </c>
      <c r="I81" s="45">
        <v>300.63762456546931</v>
      </c>
      <c r="J81" s="40">
        <f t="shared" si="7"/>
        <v>-58.292375434530697</v>
      </c>
      <c r="K81" s="40">
        <f t="shared" si="8"/>
        <v>-461675.61344148312</v>
      </c>
      <c r="L81" s="40">
        <f t="shared" si="9"/>
        <v>2381049.986558517</v>
      </c>
      <c r="M81" s="40">
        <f t="shared" si="10"/>
        <v>2842725.6</v>
      </c>
      <c r="N81" s="40">
        <f t="shared" si="11"/>
        <v>5223775.5865585171</v>
      </c>
      <c r="O81" s="40">
        <f t="shared" si="12"/>
        <v>699.98592859884127</v>
      </c>
      <c r="P81" s="40">
        <f t="shared" si="13"/>
        <v>-462375.59937008197</v>
      </c>
      <c r="Q81" s="14"/>
      <c r="R81" s="14"/>
      <c r="S81" s="14"/>
    </row>
    <row r="82" spans="1:19" hidden="1" x14ac:dyDescent="0.25">
      <c r="A82" s="51">
        <v>46197</v>
      </c>
      <c r="B82" s="9" t="s">
        <v>34</v>
      </c>
      <c r="C82" s="51">
        <v>46203</v>
      </c>
      <c r="D82" s="9" t="s">
        <v>28</v>
      </c>
      <c r="E82" s="9" t="s">
        <v>32</v>
      </c>
      <c r="F82" s="13">
        <v>56500</v>
      </c>
      <c r="G82" s="39">
        <v>750</v>
      </c>
      <c r="H82" s="45">
        <v>50.28</v>
      </c>
      <c r="I82" s="45">
        <v>51.97</v>
      </c>
      <c r="J82" s="40">
        <f t="shared" si="7"/>
        <v>-1.6899999999999977</v>
      </c>
      <c r="K82" s="40">
        <f t="shared" si="8"/>
        <v>-1267.4999999999982</v>
      </c>
      <c r="L82" s="40">
        <f t="shared" si="9"/>
        <v>37710</v>
      </c>
      <c r="M82" s="40">
        <f t="shared" si="10"/>
        <v>38977.5</v>
      </c>
      <c r="N82" s="40">
        <f t="shared" si="11"/>
        <v>76687.5</v>
      </c>
      <c r="O82" s="40">
        <f t="shared" si="12"/>
        <v>10.276125</v>
      </c>
      <c r="P82" s="40">
        <f t="shared" si="13"/>
        <v>-1277.7761249999983</v>
      </c>
      <c r="Q82" s="14"/>
      <c r="R82" s="14"/>
      <c r="S82" s="14"/>
    </row>
    <row r="83" spans="1:19" hidden="1" x14ac:dyDescent="0.25">
      <c r="A83" s="51">
        <v>46197</v>
      </c>
      <c r="B83" s="9" t="s">
        <v>34</v>
      </c>
      <c r="C83" s="51">
        <v>46203</v>
      </c>
      <c r="D83" s="9" t="s">
        <v>30</v>
      </c>
      <c r="E83" s="9" t="s">
        <v>32</v>
      </c>
      <c r="F83" s="13">
        <v>59000</v>
      </c>
      <c r="G83" s="39">
        <v>60</v>
      </c>
      <c r="H83" s="45">
        <v>1002.55</v>
      </c>
      <c r="I83" s="45">
        <v>1026.01</v>
      </c>
      <c r="J83" s="40">
        <f t="shared" si="7"/>
        <v>23.460000000000036</v>
      </c>
      <c r="K83" s="40">
        <f t="shared" si="8"/>
        <v>1407.6000000000022</v>
      </c>
      <c r="L83" s="40">
        <f t="shared" si="9"/>
        <v>61560.6</v>
      </c>
      <c r="M83" s="40">
        <f t="shared" si="10"/>
        <v>60153</v>
      </c>
      <c r="N83" s="40">
        <f t="shared" si="11"/>
        <v>121713.60000000001</v>
      </c>
      <c r="O83" s="40">
        <f t="shared" si="12"/>
        <v>16.309622400000002</v>
      </c>
      <c r="P83" s="40">
        <f t="shared" si="13"/>
        <v>1391.2903776000021</v>
      </c>
      <c r="Q83" s="14"/>
      <c r="R83" s="14"/>
      <c r="S83" s="14"/>
    </row>
    <row r="84" spans="1:19" hidden="1" x14ac:dyDescent="0.25">
      <c r="A84" s="51">
        <v>46197</v>
      </c>
      <c r="B84" s="9" t="s">
        <v>34</v>
      </c>
      <c r="C84" s="51">
        <v>46203</v>
      </c>
      <c r="D84" s="9" t="s">
        <v>28</v>
      </c>
      <c r="E84" s="9" t="s">
        <v>32</v>
      </c>
      <c r="F84" s="13">
        <v>59000</v>
      </c>
      <c r="G84" s="39">
        <v>13200</v>
      </c>
      <c r="H84" s="45">
        <v>1026.01</v>
      </c>
      <c r="I84" s="45">
        <v>1160.3900000000001</v>
      </c>
      <c r="J84" s="40">
        <f t="shared" si="7"/>
        <v>-134.38000000000011</v>
      </c>
      <c r="K84" s="40">
        <f t="shared" si="8"/>
        <v>-1773816.0000000014</v>
      </c>
      <c r="L84" s="40">
        <f t="shared" si="9"/>
        <v>13543332</v>
      </c>
      <c r="M84" s="40">
        <f t="shared" si="10"/>
        <v>15317148.000000002</v>
      </c>
      <c r="N84" s="40">
        <f t="shared" si="11"/>
        <v>28860480</v>
      </c>
      <c r="O84" s="40">
        <f t="shared" si="12"/>
        <v>3867.3043200000002</v>
      </c>
      <c r="P84" s="40">
        <f t="shared" si="13"/>
        <v>-1777683.3043200015</v>
      </c>
      <c r="Q84" s="14"/>
      <c r="R84" s="14"/>
      <c r="S84" s="14"/>
    </row>
    <row r="85" spans="1:19" hidden="1" x14ac:dyDescent="0.25">
      <c r="A85" s="51">
        <v>46197</v>
      </c>
      <c r="B85" s="9" t="s">
        <v>34</v>
      </c>
      <c r="C85" s="51">
        <v>46203</v>
      </c>
      <c r="D85" s="9" t="s">
        <v>30</v>
      </c>
      <c r="E85" s="9" t="s">
        <v>32</v>
      </c>
      <c r="F85" s="13">
        <v>56500</v>
      </c>
      <c r="G85" s="39">
        <v>13200</v>
      </c>
      <c r="H85" s="45">
        <v>51.97</v>
      </c>
      <c r="I85" s="45">
        <v>3.5</v>
      </c>
      <c r="J85" s="40">
        <f t="shared" si="7"/>
        <v>-48.47</v>
      </c>
      <c r="K85" s="40">
        <f t="shared" si="8"/>
        <v>-639804</v>
      </c>
      <c r="L85" s="40">
        <f t="shared" si="9"/>
        <v>46200</v>
      </c>
      <c r="M85" s="40">
        <f t="shared" si="10"/>
        <v>686004</v>
      </c>
      <c r="N85" s="40">
        <f t="shared" si="11"/>
        <v>732204</v>
      </c>
      <c r="O85" s="40">
        <f t="shared" si="12"/>
        <v>98.115335999999999</v>
      </c>
      <c r="P85" s="40">
        <f t="shared" si="13"/>
        <v>-639902.11533599999</v>
      </c>
      <c r="Q85" s="14"/>
      <c r="R85" s="14"/>
      <c r="S85" s="14"/>
    </row>
    <row r="86" spans="1:19" hidden="1" x14ac:dyDescent="0.25">
      <c r="A86" s="51">
        <v>46197</v>
      </c>
      <c r="B86" s="9" t="s">
        <v>34</v>
      </c>
      <c r="C86" s="51">
        <v>46203</v>
      </c>
      <c r="D86" s="9" t="s">
        <v>30</v>
      </c>
      <c r="E86" s="9" t="s">
        <v>32</v>
      </c>
      <c r="F86" s="13">
        <v>56000</v>
      </c>
      <c r="G86" s="39">
        <v>450</v>
      </c>
      <c r="H86" s="45">
        <v>56.42</v>
      </c>
      <c r="I86" s="45">
        <v>5.65</v>
      </c>
      <c r="J86" s="40">
        <f t="shared" si="7"/>
        <v>-50.77</v>
      </c>
      <c r="K86" s="40">
        <f t="shared" si="8"/>
        <v>-22846.5</v>
      </c>
      <c r="L86" s="40">
        <f t="shared" si="9"/>
        <v>2542.5</v>
      </c>
      <c r="M86" s="40">
        <f t="shared" si="10"/>
        <v>25389</v>
      </c>
      <c r="N86" s="40">
        <f t="shared" si="11"/>
        <v>27931.5</v>
      </c>
      <c r="O86" s="40">
        <f t="shared" si="12"/>
        <v>3.7428210000000002</v>
      </c>
      <c r="P86" s="40">
        <f t="shared" si="13"/>
        <v>-22850.242821</v>
      </c>
      <c r="Q86" s="14"/>
      <c r="R86" s="14"/>
      <c r="S86" s="14"/>
    </row>
    <row r="87" spans="1:19" hidden="1" x14ac:dyDescent="0.25">
      <c r="A87" s="51">
        <v>46204</v>
      </c>
      <c r="B87" s="9" t="s">
        <v>33</v>
      </c>
      <c r="C87" s="51">
        <v>46231</v>
      </c>
      <c r="D87" s="9" t="s">
        <v>30</v>
      </c>
      <c r="E87" s="9" t="s">
        <v>29</v>
      </c>
      <c r="F87" s="13">
        <v>14400</v>
      </c>
      <c r="G87" s="39">
        <v>86640</v>
      </c>
      <c r="H87" s="45">
        <v>367.72</v>
      </c>
      <c r="I87" s="45">
        <v>300.63762456546931</v>
      </c>
      <c r="J87" s="40">
        <f t="shared" si="7"/>
        <v>-67.082375434530718</v>
      </c>
      <c r="K87" s="40">
        <f t="shared" si="8"/>
        <v>-5812017.0076477416</v>
      </c>
      <c r="L87" s="40">
        <f t="shared" si="9"/>
        <v>26047243.792352259</v>
      </c>
      <c r="M87" s="40">
        <f t="shared" si="10"/>
        <v>31859260.800000001</v>
      </c>
      <c r="N87" s="40">
        <f t="shared" si="11"/>
        <v>57906504.592352256</v>
      </c>
      <c r="O87" s="40">
        <f t="shared" si="12"/>
        <v>7759.4716153752024</v>
      </c>
      <c r="P87" s="40">
        <f t="shared" si="13"/>
        <v>-5819776.4792631166</v>
      </c>
      <c r="Q87" s="14"/>
      <c r="R87" s="14"/>
      <c r="S87" s="14"/>
    </row>
    <row r="88" spans="1:19" hidden="1" x14ac:dyDescent="0.25">
      <c r="A88" s="51">
        <v>46198</v>
      </c>
      <c r="B88" s="9" t="s">
        <v>33</v>
      </c>
      <c r="C88" s="51">
        <v>46203</v>
      </c>
      <c r="D88" s="9" t="s">
        <v>28</v>
      </c>
      <c r="E88" s="9" t="s">
        <v>32</v>
      </c>
      <c r="F88" s="13">
        <v>14700</v>
      </c>
      <c r="G88" s="39">
        <v>42000</v>
      </c>
      <c r="H88" s="45">
        <v>148.83000000000001</v>
      </c>
      <c r="I88" s="45">
        <v>345.5</v>
      </c>
      <c r="J88" s="40">
        <f t="shared" si="7"/>
        <v>-196.67</v>
      </c>
      <c r="K88" s="40">
        <f t="shared" si="8"/>
        <v>-8260139.9999999991</v>
      </c>
      <c r="L88" s="40">
        <f t="shared" si="9"/>
        <v>6250860.0000000009</v>
      </c>
      <c r="M88" s="40">
        <f t="shared" si="10"/>
        <v>14511000</v>
      </c>
      <c r="N88" s="40">
        <f t="shared" si="11"/>
        <v>20761860</v>
      </c>
      <c r="O88" s="40">
        <f t="shared" si="12"/>
        <v>2782.0892400000002</v>
      </c>
      <c r="P88" s="40">
        <f t="shared" si="13"/>
        <v>-8262922.0892399987</v>
      </c>
      <c r="Q88" s="14"/>
      <c r="R88" s="14"/>
      <c r="S88" s="14"/>
    </row>
    <row r="89" spans="1:19" hidden="1" x14ac:dyDescent="0.25">
      <c r="A89" s="51">
        <v>46198</v>
      </c>
      <c r="B89" s="9" t="s">
        <v>33</v>
      </c>
      <c r="C89" s="51">
        <v>46203</v>
      </c>
      <c r="D89" s="9" t="s">
        <v>28</v>
      </c>
      <c r="E89" s="9" t="s">
        <v>32</v>
      </c>
      <c r="F89" s="13">
        <v>14300</v>
      </c>
      <c r="G89" s="39">
        <v>1200</v>
      </c>
      <c r="H89" s="45">
        <v>23.32</v>
      </c>
      <c r="I89" s="45">
        <v>14.55</v>
      </c>
      <c r="J89" s="40">
        <f t="shared" si="7"/>
        <v>8.77</v>
      </c>
      <c r="K89" s="40">
        <f t="shared" si="8"/>
        <v>10524</v>
      </c>
      <c r="L89" s="40">
        <f t="shared" si="9"/>
        <v>27984</v>
      </c>
      <c r="M89" s="40">
        <f t="shared" si="10"/>
        <v>17460</v>
      </c>
      <c r="N89" s="40">
        <f t="shared" si="11"/>
        <v>45444</v>
      </c>
      <c r="O89" s="40">
        <f t="shared" si="12"/>
        <v>6.0894960000000005</v>
      </c>
      <c r="P89" s="40">
        <f t="shared" si="13"/>
        <v>10517.910503999999</v>
      </c>
      <c r="Q89" s="14"/>
      <c r="R89" s="14"/>
      <c r="S89" s="14"/>
    </row>
    <row r="90" spans="1:19" hidden="1" x14ac:dyDescent="0.25">
      <c r="A90" s="51">
        <v>46198</v>
      </c>
      <c r="B90" s="9" t="s">
        <v>33</v>
      </c>
      <c r="C90" s="51">
        <v>46203</v>
      </c>
      <c r="D90" s="9" t="s">
        <v>30</v>
      </c>
      <c r="E90" s="9" t="s">
        <v>32</v>
      </c>
      <c r="F90" s="13">
        <v>14300</v>
      </c>
      <c r="G90" s="39">
        <v>42000</v>
      </c>
      <c r="H90" s="45">
        <v>14.55</v>
      </c>
      <c r="I90" s="45">
        <v>16.260000000000002</v>
      </c>
      <c r="J90" s="40">
        <f t="shared" si="7"/>
        <v>1.7100000000000009</v>
      </c>
      <c r="K90" s="40">
        <f t="shared" si="8"/>
        <v>71820.000000000029</v>
      </c>
      <c r="L90" s="40">
        <f t="shared" si="9"/>
        <v>682920.00000000012</v>
      </c>
      <c r="M90" s="40">
        <f t="shared" si="10"/>
        <v>611100</v>
      </c>
      <c r="N90" s="40">
        <f t="shared" si="11"/>
        <v>1294020</v>
      </c>
      <c r="O90" s="40">
        <f t="shared" si="12"/>
        <v>173.39868000000001</v>
      </c>
      <c r="P90" s="40">
        <f t="shared" si="13"/>
        <v>71646.601320000031</v>
      </c>
      <c r="Q90" s="14"/>
      <c r="R90" s="14"/>
      <c r="S90" s="14"/>
    </row>
    <row r="91" spans="1:19" hidden="1" x14ac:dyDescent="0.25">
      <c r="A91" s="51">
        <v>46198</v>
      </c>
      <c r="B91" s="9" t="s">
        <v>34</v>
      </c>
      <c r="C91" s="51">
        <v>46231</v>
      </c>
      <c r="D91" s="9" t="s">
        <v>30</v>
      </c>
      <c r="E91" s="9" t="s">
        <v>29</v>
      </c>
      <c r="F91" s="13">
        <v>58000</v>
      </c>
      <c r="G91" s="39">
        <v>6000</v>
      </c>
      <c r="H91" s="45">
        <v>1328.89</v>
      </c>
      <c r="I91" s="45">
        <v>210.36</v>
      </c>
      <c r="J91" s="40">
        <f t="shared" si="7"/>
        <v>-1118.5300000000002</v>
      </c>
      <c r="K91" s="40">
        <f t="shared" si="8"/>
        <v>-6711180.0000000009</v>
      </c>
      <c r="L91" s="40">
        <f t="shared" si="9"/>
        <v>1262160</v>
      </c>
      <c r="M91" s="40">
        <f t="shared" si="10"/>
        <v>7973340.0000000009</v>
      </c>
      <c r="N91" s="40">
        <f t="shared" si="11"/>
        <v>9235500</v>
      </c>
      <c r="O91" s="40">
        <f t="shared" si="12"/>
        <v>1237.557</v>
      </c>
      <c r="P91" s="40">
        <f t="shared" si="13"/>
        <v>-6712417.557000001</v>
      </c>
      <c r="Q91" s="14"/>
      <c r="R91" s="14"/>
      <c r="S91" s="14"/>
    </row>
    <row r="92" spans="1:19" hidden="1" x14ac:dyDescent="0.25">
      <c r="A92" s="51">
        <v>46191</v>
      </c>
      <c r="B92" s="9" t="s">
        <v>34</v>
      </c>
      <c r="C92" s="51">
        <v>46203</v>
      </c>
      <c r="D92" s="9" t="s">
        <v>30</v>
      </c>
      <c r="E92" s="9" t="s">
        <v>32</v>
      </c>
      <c r="F92" s="13">
        <v>55000</v>
      </c>
      <c r="G92" s="39">
        <v>5100</v>
      </c>
      <c r="H92" s="45">
        <v>47.59</v>
      </c>
      <c r="I92" s="45">
        <v>7.61</v>
      </c>
      <c r="J92" s="40">
        <f t="shared" si="7"/>
        <v>-39.980000000000004</v>
      </c>
      <c r="K92" s="40">
        <f t="shared" si="8"/>
        <v>-203898.00000000003</v>
      </c>
      <c r="L92" s="40">
        <f t="shared" si="9"/>
        <v>38811</v>
      </c>
      <c r="M92" s="40">
        <f t="shared" si="10"/>
        <v>242709.00000000003</v>
      </c>
      <c r="N92" s="40">
        <f t="shared" si="11"/>
        <v>281520</v>
      </c>
      <c r="O92" s="40">
        <f t="shared" si="12"/>
        <v>37.723680000000002</v>
      </c>
      <c r="P92" s="40">
        <f t="shared" si="13"/>
        <v>-203935.72368000002</v>
      </c>
    </row>
    <row r="93" spans="1:19" hidden="1" x14ac:dyDescent="0.25">
      <c r="A93" s="51">
        <v>46198</v>
      </c>
      <c r="B93" s="9" t="s">
        <v>34</v>
      </c>
      <c r="C93" s="51">
        <v>46203</v>
      </c>
      <c r="D93" s="9" t="s">
        <v>28</v>
      </c>
      <c r="E93" s="9" t="s">
        <v>32</v>
      </c>
      <c r="F93" s="13">
        <v>59000</v>
      </c>
      <c r="G93" s="39">
        <v>6000</v>
      </c>
      <c r="H93" s="45">
        <v>706.25</v>
      </c>
      <c r="I93" s="45">
        <v>1160.3900000000001</v>
      </c>
      <c r="J93" s="40">
        <f t="shared" si="7"/>
        <v>-454.1400000000001</v>
      </c>
      <c r="K93" s="40">
        <f t="shared" si="8"/>
        <v>-2724840.0000000005</v>
      </c>
      <c r="L93" s="40">
        <f t="shared" si="9"/>
        <v>4237500</v>
      </c>
      <c r="M93" s="40">
        <f t="shared" si="10"/>
        <v>6962340.0000000009</v>
      </c>
      <c r="N93" s="40">
        <f t="shared" si="11"/>
        <v>11199840</v>
      </c>
      <c r="O93" s="40">
        <f t="shared" si="12"/>
        <v>1500.77856</v>
      </c>
      <c r="P93" s="40">
        <f t="shared" si="13"/>
        <v>-2726340.7785600005</v>
      </c>
      <c r="Q93" s="14"/>
      <c r="R93" s="14"/>
      <c r="S93" s="14"/>
    </row>
    <row r="94" spans="1:19" hidden="1" x14ac:dyDescent="0.25">
      <c r="A94" s="51">
        <v>46198</v>
      </c>
      <c r="B94" s="9" t="s">
        <v>34</v>
      </c>
      <c r="C94" s="51">
        <v>46203</v>
      </c>
      <c r="D94" s="9" t="s">
        <v>30</v>
      </c>
      <c r="E94" s="9" t="s">
        <v>32</v>
      </c>
      <c r="F94" s="13">
        <v>56500</v>
      </c>
      <c r="G94" s="39">
        <v>6000</v>
      </c>
      <c r="H94" s="45">
        <v>18.68</v>
      </c>
      <c r="I94" s="45">
        <v>3.5</v>
      </c>
      <c r="J94" s="40">
        <f t="shared" si="7"/>
        <v>-15.18</v>
      </c>
      <c r="K94" s="40">
        <f t="shared" si="8"/>
        <v>-91080</v>
      </c>
      <c r="L94" s="40">
        <f t="shared" si="9"/>
        <v>21000</v>
      </c>
      <c r="M94" s="40">
        <f t="shared" si="10"/>
        <v>112080</v>
      </c>
      <c r="N94" s="40">
        <f t="shared" si="11"/>
        <v>133080</v>
      </c>
      <c r="O94" s="40">
        <f t="shared" si="12"/>
        <v>17.832720000000002</v>
      </c>
      <c r="P94" s="40">
        <f t="shared" si="13"/>
        <v>-91097.832720000006</v>
      </c>
      <c r="Q94" s="14"/>
      <c r="R94" s="14"/>
      <c r="S94" s="14"/>
    </row>
    <row r="95" spans="1:19" hidden="1" x14ac:dyDescent="0.25">
      <c r="A95" s="51">
        <v>46198</v>
      </c>
      <c r="B95" s="9" t="s">
        <v>34</v>
      </c>
      <c r="C95" s="51">
        <v>46203</v>
      </c>
      <c r="D95" s="9" t="s">
        <v>30</v>
      </c>
      <c r="E95" s="9" t="s">
        <v>32</v>
      </c>
      <c r="F95" s="13">
        <v>56000</v>
      </c>
      <c r="G95" s="39">
        <v>1560</v>
      </c>
      <c r="H95" s="45">
        <v>12.71</v>
      </c>
      <c r="I95" s="45">
        <v>2.95</v>
      </c>
      <c r="J95" s="40">
        <f t="shared" si="7"/>
        <v>-9.7600000000000016</v>
      </c>
      <c r="K95" s="40">
        <f t="shared" si="8"/>
        <v>-15225.600000000002</v>
      </c>
      <c r="L95" s="40">
        <f t="shared" si="9"/>
        <v>4602</v>
      </c>
      <c r="M95" s="40">
        <f t="shared" si="10"/>
        <v>19827.600000000002</v>
      </c>
      <c r="N95" s="40">
        <f t="shared" si="11"/>
        <v>24429.600000000002</v>
      </c>
      <c r="O95" s="40">
        <f t="shared" si="12"/>
        <v>3.2735664000000004</v>
      </c>
      <c r="P95" s="40">
        <f t="shared" si="13"/>
        <v>-15228.873566400001</v>
      </c>
      <c r="Q95" s="14"/>
      <c r="R95" s="14"/>
      <c r="S95" s="14"/>
    </row>
    <row r="96" spans="1:19" hidden="1" x14ac:dyDescent="0.25">
      <c r="A96" s="51">
        <v>46198</v>
      </c>
      <c r="B96" s="9" t="s">
        <v>34</v>
      </c>
      <c r="C96" s="51">
        <v>46203</v>
      </c>
      <c r="D96" s="9" t="s">
        <v>30</v>
      </c>
      <c r="E96" s="9" t="s">
        <v>32</v>
      </c>
      <c r="F96" s="13">
        <v>56000</v>
      </c>
      <c r="G96" s="39">
        <v>240</v>
      </c>
      <c r="H96" s="45">
        <v>12.71</v>
      </c>
      <c r="I96" s="45">
        <v>5.65</v>
      </c>
      <c r="J96" s="40">
        <f t="shared" si="7"/>
        <v>-7.0600000000000005</v>
      </c>
      <c r="K96" s="40">
        <f t="shared" si="8"/>
        <v>-1694.4</v>
      </c>
      <c r="L96" s="40">
        <f t="shared" si="9"/>
        <v>1356</v>
      </c>
      <c r="M96" s="40">
        <f t="shared" si="10"/>
        <v>3050.4</v>
      </c>
      <c r="N96" s="40">
        <f t="shared" si="11"/>
        <v>4406.3999999999996</v>
      </c>
      <c r="O96" s="40">
        <f t="shared" si="12"/>
        <v>0.59045759999999992</v>
      </c>
      <c r="P96" s="40">
        <f t="shared" si="13"/>
        <v>-1694.9904576000001</v>
      </c>
    </row>
    <row r="97" spans="1:19" hidden="1" x14ac:dyDescent="0.25">
      <c r="A97" s="51">
        <v>46203</v>
      </c>
      <c r="B97" s="9" t="s">
        <v>34</v>
      </c>
      <c r="C97" s="51">
        <v>46231</v>
      </c>
      <c r="D97" s="9" t="s">
        <v>28</v>
      </c>
      <c r="E97" s="9" t="s">
        <v>32</v>
      </c>
      <c r="F97" s="13">
        <v>55000</v>
      </c>
      <c r="G97" s="39">
        <v>12060</v>
      </c>
      <c r="H97" s="45">
        <v>163.36000000000001</v>
      </c>
      <c r="I97" s="45">
        <v>182.53</v>
      </c>
      <c r="J97" s="40">
        <f t="shared" si="7"/>
        <v>-19.169999999999987</v>
      </c>
      <c r="K97" s="40">
        <f t="shared" si="8"/>
        <v>-231190.19999999984</v>
      </c>
      <c r="L97" s="40">
        <f t="shared" si="9"/>
        <v>1970121.6</v>
      </c>
      <c r="M97" s="40">
        <f t="shared" si="10"/>
        <v>2201311.7999999998</v>
      </c>
      <c r="N97" s="40">
        <f t="shared" si="11"/>
        <v>4171433.4</v>
      </c>
      <c r="O97" s="40">
        <f t="shared" si="12"/>
        <v>558.97207560000004</v>
      </c>
      <c r="P97" s="40">
        <f t="shared" si="13"/>
        <v>-231749.17207559984</v>
      </c>
      <c r="Q97" s="14"/>
      <c r="R97" s="14"/>
      <c r="S97" s="14"/>
    </row>
    <row r="98" spans="1:19" hidden="1" x14ac:dyDescent="0.25">
      <c r="A98" s="51">
        <v>46203</v>
      </c>
      <c r="B98" s="9" t="s">
        <v>34</v>
      </c>
      <c r="C98" s="51">
        <v>46231</v>
      </c>
      <c r="D98" s="9" t="s">
        <v>30</v>
      </c>
      <c r="E98" s="9" t="s">
        <v>32</v>
      </c>
      <c r="F98" s="13">
        <v>55000</v>
      </c>
      <c r="G98" s="39">
        <v>900</v>
      </c>
      <c r="H98" s="45">
        <v>182.53</v>
      </c>
      <c r="I98" s="45">
        <v>154.06</v>
      </c>
      <c r="J98" s="40">
        <f t="shared" si="7"/>
        <v>-28.47</v>
      </c>
      <c r="K98" s="40">
        <f t="shared" si="8"/>
        <v>-25623</v>
      </c>
      <c r="L98" s="40">
        <f t="shared" si="9"/>
        <v>138654</v>
      </c>
      <c r="M98" s="40">
        <f t="shared" si="10"/>
        <v>164277</v>
      </c>
      <c r="N98" s="40">
        <f t="shared" si="11"/>
        <v>302931</v>
      </c>
      <c r="O98" s="40">
        <f t="shared" si="12"/>
        <v>40.592753999999999</v>
      </c>
      <c r="P98" s="40">
        <f t="shared" si="13"/>
        <v>-25663.592754000001</v>
      </c>
      <c r="Q98" s="14"/>
      <c r="R98" s="14"/>
      <c r="S98" s="14"/>
    </row>
    <row r="99" spans="1:19" hidden="1" x14ac:dyDescent="0.25">
      <c r="A99" s="51">
        <v>46203</v>
      </c>
      <c r="B99" s="9" t="s">
        <v>34</v>
      </c>
      <c r="C99" s="51">
        <v>46231</v>
      </c>
      <c r="D99" s="9" t="s">
        <v>28</v>
      </c>
      <c r="E99" s="9" t="s">
        <v>32</v>
      </c>
      <c r="F99" s="13">
        <v>59000</v>
      </c>
      <c r="G99" s="39">
        <v>630</v>
      </c>
      <c r="H99" s="45">
        <v>1443.24</v>
      </c>
      <c r="I99" s="45">
        <v>1371.95</v>
      </c>
      <c r="J99" s="40">
        <f t="shared" si="7"/>
        <v>71.289999999999964</v>
      </c>
      <c r="K99" s="40">
        <f t="shared" si="8"/>
        <v>44912.699999999975</v>
      </c>
      <c r="L99" s="40">
        <f t="shared" si="9"/>
        <v>909241.2</v>
      </c>
      <c r="M99" s="40">
        <f t="shared" si="10"/>
        <v>864328.5</v>
      </c>
      <c r="N99" s="40">
        <f t="shared" si="11"/>
        <v>1773569.7</v>
      </c>
      <c r="O99" s="40">
        <f t="shared" si="12"/>
        <v>237.65833979999999</v>
      </c>
      <c r="P99" s="40">
        <f t="shared" si="13"/>
        <v>44675.041660199975</v>
      </c>
      <c r="Q99" s="14"/>
      <c r="R99" s="14"/>
      <c r="S99" s="14"/>
    </row>
    <row r="100" spans="1:19" hidden="1" x14ac:dyDescent="0.25">
      <c r="A100" s="51">
        <v>46203</v>
      </c>
      <c r="B100" s="9" t="s">
        <v>34</v>
      </c>
      <c r="C100" s="51">
        <v>46231</v>
      </c>
      <c r="D100" s="9" t="s">
        <v>28</v>
      </c>
      <c r="E100" s="9" t="s">
        <v>32</v>
      </c>
      <c r="F100" s="13">
        <v>59000</v>
      </c>
      <c r="G100" s="39">
        <v>10590</v>
      </c>
      <c r="H100" s="45">
        <v>1443.24</v>
      </c>
      <c r="I100" s="45">
        <v>1506.22</v>
      </c>
      <c r="J100" s="40">
        <f t="shared" si="7"/>
        <v>-62.980000000000018</v>
      </c>
      <c r="K100" s="40">
        <f t="shared" si="8"/>
        <v>-666958.20000000019</v>
      </c>
      <c r="L100" s="40">
        <f t="shared" si="9"/>
        <v>15283911.6</v>
      </c>
      <c r="M100" s="40">
        <f t="shared" si="10"/>
        <v>15950869.800000001</v>
      </c>
      <c r="N100" s="40">
        <f t="shared" si="11"/>
        <v>31234781.399999999</v>
      </c>
      <c r="O100" s="40">
        <f t="shared" si="12"/>
        <v>4185.4607076000002</v>
      </c>
      <c r="P100" s="40">
        <f t="shared" si="13"/>
        <v>-671143.66070760018</v>
      </c>
      <c r="Q100" s="14"/>
      <c r="R100" s="14"/>
      <c r="S100" s="14"/>
    </row>
    <row r="101" spans="1:19" hidden="1" x14ac:dyDescent="0.25">
      <c r="A101" s="51">
        <v>46203</v>
      </c>
      <c r="B101" s="9" t="s">
        <v>34</v>
      </c>
      <c r="C101" s="51">
        <v>46231</v>
      </c>
      <c r="D101" s="9" t="s">
        <v>30</v>
      </c>
      <c r="E101" s="9" t="s">
        <v>29</v>
      </c>
      <c r="F101" s="13">
        <v>57000</v>
      </c>
      <c r="G101" s="39">
        <v>13860</v>
      </c>
      <c r="H101" s="45">
        <v>1689.54</v>
      </c>
      <c r="I101" s="45">
        <v>646.29</v>
      </c>
      <c r="J101" s="40">
        <f t="shared" si="7"/>
        <v>-1043.25</v>
      </c>
      <c r="K101" s="40">
        <f t="shared" si="8"/>
        <v>-14459445</v>
      </c>
      <c r="L101" s="40">
        <f t="shared" si="9"/>
        <v>8957579.4000000004</v>
      </c>
      <c r="M101" s="40">
        <f t="shared" si="10"/>
        <v>23417024.399999999</v>
      </c>
      <c r="N101" s="40">
        <f t="shared" si="11"/>
        <v>32374603.799999997</v>
      </c>
      <c r="O101" s="40">
        <f t="shared" si="12"/>
        <v>4338.1969091999999</v>
      </c>
      <c r="P101" s="40">
        <f t="shared" si="13"/>
        <v>-14463783.1969092</v>
      </c>
      <c r="Q101" s="14"/>
      <c r="R101" s="14"/>
      <c r="S101" s="14"/>
    </row>
    <row r="102" spans="1:19" hidden="1" x14ac:dyDescent="0.25">
      <c r="A102" s="51">
        <v>46203</v>
      </c>
      <c r="B102" s="9" t="s">
        <v>34</v>
      </c>
      <c r="C102" s="51">
        <v>46231</v>
      </c>
      <c r="D102" s="9" t="s">
        <v>30</v>
      </c>
      <c r="E102" s="9" t="s">
        <v>29</v>
      </c>
      <c r="F102" s="13">
        <v>57000</v>
      </c>
      <c r="G102" s="39">
        <v>150</v>
      </c>
      <c r="H102" s="45">
        <v>1689.54</v>
      </c>
      <c r="I102" s="45">
        <v>1658.67</v>
      </c>
      <c r="J102" s="40">
        <f t="shared" si="7"/>
        <v>-30.869999999999891</v>
      </c>
      <c r="K102" s="40">
        <f t="shared" si="8"/>
        <v>-4630.4999999999836</v>
      </c>
      <c r="L102" s="40">
        <f t="shared" si="9"/>
        <v>248800.5</v>
      </c>
      <c r="M102" s="40">
        <f t="shared" si="10"/>
        <v>253431</v>
      </c>
      <c r="N102" s="40">
        <f t="shared" si="11"/>
        <v>502231.5</v>
      </c>
      <c r="O102" s="40">
        <f t="shared" si="12"/>
        <v>67.299020999999996</v>
      </c>
      <c r="P102" s="40">
        <f t="shared" si="13"/>
        <v>-4697.7990209999834</v>
      </c>
      <c r="Q102" s="14"/>
      <c r="R102" s="14"/>
      <c r="S102" s="14"/>
    </row>
    <row r="103" spans="1:19" hidden="1" x14ac:dyDescent="0.25">
      <c r="A103" s="51">
        <v>46203</v>
      </c>
      <c r="B103" s="9" t="s">
        <v>33</v>
      </c>
      <c r="C103" s="51">
        <v>46231</v>
      </c>
      <c r="D103" s="9" t="s">
        <v>30</v>
      </c>
      <c r="E103" s="9" t="s">
        <v>32</v>
      </c>
      <c r="F103" s="13">
        <v>13700</v>
      </c>
      <c r="G103" s="39">
        <v>5640</v>
      </c>
      <c r="H103" s="45">
        <v>55.92</v>
      </c>
      <c r="I103" s="45">
        <v>1.71</v>
      </c>
      <c r="J103" s="40">
        <f t="shared" si="7"/>
        <v>-54.21</v>
      </c>
      <c r="K103" s="40">
        <f t="shared" si="8"/>
        <v>-305744.40000000002</v>
      </c>
      <c r="L103" s="40">
        <f t="shared" si="9"/>
        <v>9644.4</v>
      </c>
      <c r="M103" s="40">
        <f t="shared" si="10"/>
        <v>315388.79999999999</v>
      </c>
      <c r="N103" s="40">
        <f t="shared" si="11"/>
        <v>325033.2</v>
      </c>
      <c r="O103" s="40">
        <f t="shared" si="12"/>
        <v>43.554448800000003</v>
      </c>
      <c r="P103" s="40">
        <f t="shared" si="13"/>
        <v>-305787.95444880001</v>
      </c>
      <c r="Q103" s="14"/>
      <c r="R103" s="14"/>
      <c r="S103" s="14"/>
    </row>
    <row r="104" spans="1:19" hidden="1" x14ac:dyDescent="0.25">
      <c r="A104" s="51">
        <v>46203</v>
      </c>
      <c r="B104" s="9" t="s">
        <v>33</v>
      </c>
      <c r="C104" s="51">
        <v>46231</v>
      </c>
      <c r="D104" s="9" t="s">
        <v>28</v>
      </c>
      <c r="E104" s="9" t="s">
        <v>32</v>
      </c>
      <c r="F104" s="13">
        <v>14500</v>
      </c>
      <c r="G104" s="39">
        <v>87000</v>
      </c>
      <c r="H104" s="45">
        <v>292.2</v>
      </c>
      <c r="I104" s="45">
        <v>227.69</v>
      </c>
      <c r="J104" s="40">
        <f t="shared" si="7"/>
        <v>64.509999999999991</v>
      </c>
      <c r="K104" s="40">
        <f t="shared" si="8"/>
        <v>5612369.9999999991</v>
      </c>
      <c r="L104" s="40">
        <f t="shared" si="9"/>
        <v>25421400</v>
      </c>
      <c r="M104" s="40">
        <f t="shared" si="10"/>
        <v>19809030</v>
      </c>
      <c r="N104" s="40">
        <f t="shared" si="11"/>
        <v>45230430</v>
      </c>
      <c r="O104" s="40">
        <f t="shared" si="12"/>
        <v>6060.8776200000002</v>
      </c>
      <c r="P104" s="40">
        <f t="shared" si="13"/>
        <v>5606309.1223799987</v>
      </c>
      <c r="Q104" s="14"/>
      <c r="R104" s="14"/>
      <c r="S104" s="14"/>
    </row>
    <row r="105" spans="1:19" hidden="1" x14ac:dyDescent="0.25">
      <c r="A105" s="51">
        <v>46203</v>
      </c>
      <c r="B105" s="9" t="s">
        <v>33</v>
      </c>
      <c r="C105" s="51">
        <v>46231</v>
      </c>
      <c r="D105" s="9" t="s">
        <v>30</v>
      </c>
      <c r="E105" s="9" t="s">
        <v>32</v>
      </c>
      <c r="F105" s="13">
        <v>13500</v>
      </c>
      <c r="G105" s="39">
        <v>61200</v>
      </c>
      <c r="H105" s="45">
        <v>48.31</v>
      </c>
      <c r="I105" s="45">
        <v>24.32</v>
      </c>
      <c r="J105" s="40">
        <f t="shared" si="7"/>
        <v>-23.990000000000002</v>
      </c>
      <c r="K105" s="40">
        <f t="shared" si="8"/>
        <v>-1468188.0000000002</v>
      </c>
      <c r="L105" s="40">
        <f t="shared" si="9"/>
        <v>1488384</v>
      </c>
      <c r="M105" s="40">
        <f t="shared" si="10"/>
        <v>2956572</v>
      </c>
      <c r="N105" s="40">
        <f t="shared" si="11"/>
        <v>4444956</v>
      </c>
      <c r="O105" s="40">
        <f t="shared" si="12"/>
        <v>595.62410399999999</v>
      </c>
      <c r="P105" s="40">
        <f t="shared" si="13"/>
        <v>-1468783.6241040002</v>
      </c>
      <c r="Q105" s="14"/>
      <c r="R105" s="14"/>
      <c r="S105" s="14"/>
    </row>
    <row r="106" spans="1:19" hidden="1" x14ac:dyDescent="0.25">
      <c r="A106" s="51">
        <v>46209</v>
      </c>
      <c r="B106" s="9" t="s">
        <v>33</v>
      </c>
      <c r="C106" s="51">
        <v>46231</v>
      </c>
      <c r="D106" s="9" t="s">
        <v>30</v>
      </c>
      <c r="E106" s="9" t="s">
        <v>29</v>
      </c>
      <c r="F106" s="13">
        <v>14400</v>
      </c>
      <c r="G106" s="39">
        <v>4200</v>
      </c>
      <c r="H106" s="45">
        <v>327.10000000000002</v>
      </c>
      <c r="I106" s="45">
        <v>300.63762456546931</v>
      </c>
      <c r="J106" s="40">
        <f t="shared" si="7"/>
        <v>-26.462375434530713</v>
      </c>
      <c r="K106" s="40">
        <f t="shared" si="8"/>
        <v>-111141.97682502899</v>
      </c>
      <c r="L106" s="40">
        <f t="shared" si="9"/>
        <v>1262678.0231749711</v>
      </c>
      <c r="M106" s="40">
        <f t="shared" si="10"/>
        <v>1373820</v>
      </c>
      <c r="N106" s="40">
        <f t="shared" si="11"/>
        <v>2636498.0231749713</v>
      </c>
      <c r="O106" s="40">
        <f t="shared" si="12"/>
        <v>353.29073510544617</v>
      </c>
      <c r="P106" s="40">
        <f t="shared" si="13"/>
        <v>-111495.26756013444</v>
      </c>
      <c r="Q106" s="14"/>
      <c r="R106" s="14"/>
      <c r="S106" s="14"/>
    </row>
    <row r="107" spans="1:19" hidden="1" x14ac:dyDescent="0.25">
      <c r="A107" s="51">
        <v>46197</v>
      </c>
      <c r="B107" s="9" t="s">
        <v>33</v>
      </c>
      <c r="C107" s="51">
        <v>46231</v>
      </c>
      <c r="D107" s="9" t="s">
        <v>30</v>
      </c>
      <c r="E107" s="9" t="s">
        <v>29</v>
      </c>
      <c r="F107" s="13">
        <v>14500</v>
      </c>
      <c r="G107" s="39">
        <v>15600</v>
      </c>
      <c r="H107" s="45">
        <v>365.17</v>
      </c>
      <c r="I107" s="45">
        <v>225.70112881806111</v>
      </c>
      <c r="J107" s="40">
        <f t="shared" si="7"/>
        <v>-139.46887118193891</v>
      </c>
      <c r="K107" s="40">
        <f t="shared" si="8"/>
        <v>-2175714.390438247</v>
      </c>
      <c r="L107" s="40">
        <f t="shared" si="9"/>
        <v>3520937.6095617535</v>
      </c>
      <c r="M107" s="40">
        <f t="shared" si="10"/>
        <v>5696652</v>
      </c>
      <c r="N107" s="40">
        <f t="shared" si="11"/>
        <v>9217589.6095617525</v>
      </c>
      <c r="O107" s="40">
        <f t="shared" si="12"/>
        <v>1235.157007681275</v>
      </c>
      <c r="P107" s="40">
        <f t="shared" si="13"/>
        <v>-2176949.5474459282</v>
      </c>
      <c r="Q107" s="14"/>
      <c r="R107" s="14"/>
      <c r="S107" s="14"/>
    </row>
    <row r="108" spans="1:19" hidden="1" x14ac:dyDescent="0.25">
      <c r="A108" s="51">
        <v>46203</v>
      </c>
      <c r="B108" s="9" t="s">
        <v>33</v>
      </c>
      <c r="C108" s="51">
        <v>46203</v>
      </c>
      <c r="D108" s="9" t="s">
        <v>28</v>
      </c>
      <c r="E108" s="9" t="s">
        <v>32</v>
      </c>
      <c r="F108" s="13">
        <v>14700</v>
      </c>
      <c r="G108" s="39">
        <v>600</v>
      </c>
      <c r="H108" s="45">
        <v>334.13</v>
      </c>
      <c r="I108" s="45">
        <v>345.5</v>
      </c>
      <c r="J108" s="40">
        <f t="shared" si="7"/>
        <v>-11.370000000000005</v>
      </c>
      <c r="K108" s="40">
        <f t="shared" si="8"/>
        <v>-6822.0000000000027</v>
      </c>
      <c r="L108" s="40">
        <f t="shared" si="9"/>
        <v>200478</v>
      </c>
      <c r="M108" s="40">
        <f t="shared" si="10"/>
        <v>207300</v>
      </c>
      <c r="N108" s="40">
        <f t="shared" si="11"/>
        <v>407778</v>
      </c>
      <c r="O108" s="40">
        <f t="shared" si="12"/>
        <v>54.642251999999999</v>
      </c>
      <c r="P108" s="40">
        <f t="shared" si="13"/>
        <v>-6876.6422520000024</v>
      </c>
      <c r="Q108" s="14"/>
      <c r="R108" s="14"/>
      <c r="S108" s="14"/>
    </row>
    <row r="109" spans="1:19" hidden="1" x14ac:dyDescent="0.25">
      <c r="A109" s="51">
        <v>46204</v>
      </c>
      <c r="B109" s="9" t="s">
        <v>27</v>
      </c>
      <c r="C109" s="51">
        <v>46205</v>
      </c>
      <c r="D109" s="9" t="s">
        <v>28</v>
      </c>
      <c r="E109" s="9" t="s">
        <v>32</v>
      </c>
      <c r="F109" s="13">
        <v>77500</v>
      </c>
      <c r="G109" s="39">
        <v>240</v>
      </c>
      <c r="H109" s="45">
        <v>622.35</v>
      </c>
      <c r="I109" s="45">
        <v>57.32</v>
      </c>
      <c r="J109" s="40">
        <f t="shared" si="7"/>
        <v>565.03</v>
      </c>
      <c r="K109" s="40">
        <f t="shared" si="8"/>
        <v>135607.19999999998</v>
      </c>
      <c r="L109" s="40">
        <f t="shared" si="9"/>
        <v>149364</v>
      </c>
      <c r="M109" s="40">
        <f t="shared" si="10"/>
        <v>13756.8</v>
      </c>
      <c r="N109" s="40">
        <f t="shared" si="11"/>
        <v>163120.79999999999</v>
      </c>
      <c r="O109" s="40">
        <f t="shared" si="12"/>
        <v>21.8581872</v>
      </c>
      <c r="P109" s="40">
        <f t="shared" si="13"/>
        <v>135585.34181279998</v>
      </c>
      <c r="Q109" s="14"/>
      <c r="R109" s="14"/>
      <c r="S109" s="14"/>
    </row>
    <row r="110" spans="1:19" hidden="1" x14ac:dyDescent="0.25">
      <c r="A110" s="51">
        <v>46204</v>
      </c>
      <c r="B110" s="9" t="s">
        <v>27</v>
      </c>
      <c r="C110" s="51">
        <v>46205</v>
      </c>
      <c r="D110" s="9" t="s">
        <v>30</v>
      </c>
      <c r="E110" s="9" t="s">
        <v>32</v>
      </c>
      <c r="F110" s="13">
        <v>76200</v>
      </c>
      <c r="G110" s="39">
        <v>340</v>
      </c>
      <c r="H110" s="45">
        <v>65.180000000000007</v>
      </c>
      <c r="I110" s="45">
        <v>2.1</v>
      </c>
      <c r="J110" s="40">
        <f t="shared" si="7"/>
        <v>-63.080000000000005</v>
      </c>
      <c r="K110" s="40">
        <f t="shared" si="8"/>
        <v>-21447.200000000001</v>
      </c>
      <c r="L110" s="40">
        <f t="shared" si="9"/>
        <v>714</v>
      </c>
      <c r="M110" s="40">
        <f t="shared" si="10"/>
        <v>22161.200000000001</v>
      </c>
      <c r="N110" s="40">
        <f t="shared" si="11"/>
        <v>22875.200000000001</v>
      </c>
      <c r="O110" s="40">
        <f t="shared" si="12"/>
        <v>3.0652768000000004</v>
      </c>
      <c r="P110" s="40">
        <f t="shared" si="13"/>
        <v>-21450.265276800001</v>
      </c>
      <c r="Q110" s="14"/>
      <c r="R110" s="14"/>
      <c r="S110" s="14"/>
    </row>
    <row r="111" spans="1:19" hidden="1" x14ac:dyDescent="0.25">
      <c r="A111" s="51">
        <v>46204</v>
      </c>
      <c r="B111" s="9" t="s">
        <v>33</v>
      </c>
      <c r="C111" s="51">
        <v>46231</v>
      </c>
      <c r="D111" s="9" t="s">
        <v>30</v>
      </c>
      <c r="E111" s="9" t="s">
        <v>32</v>
      </c>
      <c r="F111" s="13">
        <v>14000</v>
      </c>
      <c r="G111" s="39">
        <v>6600</v>
      </c>
      <c r="H111" s="45">
        <v>74.349999999999994</v>
      </c>
      <c r="I111" s="45">
        <v>4.28</v>
      </c>
      <c r="J111" s="40">
        <f t="shared" si="7"/>
        <v>-70.069999999999993</v>
      </c>
      <c r="K111" s="40">
        <f t="shared" si="8"/>
        <v>-462461.99999999994</v>
      </c>
      <c r="L111" s="40">
        <f t="shared" si="9"/>
        <v>28248</v>
      </c>
      <c r="M111" s="40">
        <f t="shared" si="10"/>
        <v>490709.99999999994</v>
      </c>
      <c r="N111" s="40">
        <f t="shared" si="11"/>
        <v>518957.99999999994</v>
      </c>
      <c r="O111" s="40">
        <f t="shared" si="12"/>
        <v>69.540371999999991</v>
      </c>
      <c r="P111" s="40">
        <f t="shared" si="13"/>
        <v>-462531.54037199996</v>
      </c>
      <c r="Q111" s="14"/>
      <c r="R111" s="14"/>
      <c r="S111" s="14"/>
    </row>
    <row r="112" spans="1:19" hidden="1" x14ac:dyDescent="0.25">
      <c r="A112" s="51">
        <v>46209</v>
      </c>
      <c r="B112" s="9" t="s">
        <v>33</v>
      </c>
      <c r="C112" s="51">
        <v>46231</v>
      </c>
      <c r="D112" s="9" t="s">
        <v>30</v>
      </c>
      <c r="E112" s="9" t="s">
        <v>32</v>
      </c>
      <c r="F112" s="13">
        <v>14000</v>
      </c>
      <c r="G112" s="39">
        <v>600</v>
      </c>
      <c r="H112" s="45">
        <v>50.42</v>
      </c>
      <c r="I112" s="45">
        <v>4.28</v>
      </c>
      <c r="J112" s="40">
        <f t="shared" si="7"/>
        <v>-46.14</v>
      </c>
      <c r="K112" s="40">
        <f t="shared" si="8"/>
        <v>-27684</v>
      </c>
      <c r="L112" s="40">
        <f t="shared" si="9"/>
        <v>2568</v>
      </c>
      <c r="M112" s="40">
        <f t="shared" si="10"/>
        <v>30252</v>
      </c>
      <c r="N112" s="40">
        <f t="shared" si="11"/>
        <v>32820</v>
      </c>
      <c r="O112" s="40">
        <f t="shared" si="12"/>
        <v>4.3978799999999998</v>
      </c>
      <c r="P112" s="40">
        <f t="shared" si="13"/>
        <v>-27688.39788</v>
      </c>
      <c r="Q112" s="14"/>
      <c r="R112" s="14"/>
      <c r="S112" s="14"/>
    </row>
    <row r="113" spans="1:19" hidden="1" x14ac:dyDescent="0.25">
      <c r="A113" s="51">
        <v>46204</v>
      </c>
      <c r="B113" s="9" t="s">
        <v>33</v>
      </c>
      <c r="C113" s="51">
        <v>46231</v>
      </c>
      <c r="D113" s="9" t="s">
        <v>28</v>
      </c>
      <c r="E113" s="9" t="s">
        <v>32</v>
      </c>
      <c r="F113" s="13">
        <v>14700</v>
      </c>
      <c r="G113" s="39">
        <v>480</v>
      </c>
      <c r="H113" s="45">
        <v>308.85000000000002</v>
      </c>
      <c r="I113" s="45">
        <v>225.18</v>
      </c>
      <c r="J113" s="40">
        <f t="shared" si="7"/>
        <v>83.670000000000016</v>
      </c>
      <c r="K113" s="40">
        <f t="shared" si="8"/>
        <v>40161.600000000006</v>
      </c>
      <c r="L113" s="40">
        <f t="shared" si="9"/>
        <v>148248</v>
      </c>
      <c r="M113" s="40">
        <f t="shared" si="10"/>
        <v>108086.40000000001</v>
      </c>
      <c r="N113" s="40">
        <f t="shared" si="11"/>
        <v>256334.40000000002</v>
      </c>
      <c r="O113" s="40">
        <f t="shared" si="12"/>
        <v>34.348809600000003</v>
      </c>
      <c r="P113" s="40">
        <f t="shared" si="13"/>
        <v>40127.251190400006</v>
      </c>
      <c r="Q113" s="14"/>
      <c r="R113" s="14"/>
      <c r="S113" s="14"/>
    </row>
    <row r="114" spans="1:19" hidden="1" x14ac:dyDescent="0.25">
      <c r="A114" s="51">
        <v>46204</v>
      </c>
      <c r="B114" s="9" t="s">
        <v>33</v>
      </c>
      <c r="C114" s="51">
        <v>46231</v>
      </c>
      <c r="D114" s="9" t="s">
        <v>28</v>
      </c>
      <c r="E114" s="9" t="s">
        <v>32</v>
      </c>
      <c r="F114" s="13">
        <v>14800</v>
      </c>
      <c r="G114" s="39">
        <v>7560</v>
      </c>
      <c r="H114" s="45">
        <v>364.65</v>
      </c>
      <c r="I114" s="45">
        <v>307.14</v>
      </c>
      <c r="J114" s="40">
        <f t="shared" si="7"/>
        <v>57.509999999999991</v>
      </c>
      <c r="K114" s="40">
        <f t="shared" si="8"/>
        <v>434775.59999999992</v>
      </c>
      <c r="L114" s="40">
        <f t="shared" si="9"/>
        <v>2756754</v>
      </c>
      <c r="M114" s="40">
        <f t="shared" si="10"/>
        <v>2321978.4</v>
      </c>
      <c r="N114" s="40">
        <f t="shared" si="11"/>
        <v>5078732.4000000004</v>
      </c>
      <c r="O114" s="40">
        <f t="shared" si="12"/>
        <v>680.55014160000007</v>
      </c>
      <c r="P114" s="40">
        <f t="shared" si="13"/>
        <v>434095.0498583999</v>
      </c>
      <c r="Q114" s="14"/>
      <c r="R114" s="14"/>
      <c r="S114" s="14"/>
    </row>
    <row r="115" spans="1:19" hidden="1" x14ac:dyDescent="0.25">
      <c r="A115" s="51">
        <v>46203</v>
      </c>
      <c r="B115" s="9" t="s">
        <v>33</v>
      </c>
      <c r="C115" s="51">
        <v>46231</v>
      </c>
      <c r="D115" s="9" t="s">
        <v>30</v>
      </c>
      <c r="E115" s="9" t="s">
        <v>32</v>
      </c>
      <c r="F115" s="13">
        <v>13700</v>
      </c>
      <c r="G115" s="39">
        <v>14880</v>
      </c>
      <c r="H115" s="45">
        <v>55.92</v>
      </c>
      <c r="I115" s="45">
        <v>37.01</v>
      </c>
      <c r="J115" s="40">
        <f t="shared" si="7"/>
        <v>-18.910000000000004</v>
      </c>
      <c r="K115" s="40">
        <f t="shared" si="8"/>
        <v>-281380.80000000005</v>
      </c>
      <c r="L115" s="40">
        <f t="shared" si="9"/>
        <v>550708.79999999993</v>
      </c>
      <c r="M115" s="40">
        <f t="shared" si="10"/>
        <v>832089.59999999998</v>
      </c>
      <c r="N115" s="40">
        <f t="shared" si="11"/>
        <v>1382798.4</v>
      </c>
      <c r="O115" s="40">
        <f t="shared" si="12"/>
        <v>185.29498559999999</v>
      </c>
      <c r="P115" s="40">
        <f t="shared" si="13"/>
        <v>-281566.09498560004</v>
      </c>
    </row>
    <row r="116" spans="1:19" hidden="1" x14ac:dyDescent="0.25">
      <c r="A116" s="51">
        <v>46198</v>
      </c>
      <c r="B116" s="9" t="s">
        <v>33</v>
      </c>
      <c r="C116" s="51">
        <v>46231</v>
      </c>
      <c r="D116" s="9" t="s">
        <v>30</v>
      </c>
      <c r="E116" s="9" t="s">
        <v>29</v>
      </c>
      <c r="F116" s="13">
        <v>14500</v>
      </c>
      <c r="G116" s="39">
        <v>10200</v>
      </c>
      <c r="H116" s="45">
        <v>376.77</v>
      </c>
      <c r="I116" s="45">
        <v>225.70112881806111</v>
      </c>
      <c r="J116" s="40">
        <f t="shared" si="7"/>
        <v>-151.06887118193887</v>
      </c>
      <c r="K116" s="40">
        <f t="shared" si="8"/>
        <v>-1540902.4860557765</v>
      </c>
      <c r="L116" s="40">
        <f t="shared" si="9"/>
        <v>2302151.5139442235</v>
      </c>
      <c r="M116" s="40">
        <f t="shared" si="10"/>
        <v>3843054</v>
      </c>
      <c r="N116" s="40">
        <f t="shared" si="11"/>
        <v>6145205.5139442235</v>
      </c>
      <c r="O116" s="40">
        <f t="shared" si="12"/>
        <v>823.45753886852594</v>
      </c>
      <c r="P116" s="40">
        <f t="shared" si="13"/>
        <v>-1541725.943594645</v>
      </c>
      <c r="Q116" s="14"/>
      <c r="R116" s="14"/>
      <c r="S116" s="14"/>
    </row>
    <row r="117" spans="1:19" hidden="1" x14ac:dyDescent="0.25">
      <c r="A117" s="51">
        <v>46203</v>
      </c>
      <c r="B117" s="9" t="s">
        <v>33</v>
      </c>
      <c r="C117" s="51">
        <v>46231</v>
      </c>
      <c r="D117" s="9" t="s">
        <v>30</v>
      </c>
      <c r="E117" s="9" t="s">
        <v>29</v>
      </c>
      <c r="F117" s="13">
        <v>14500</v>
      </c>
      <c r="G117" s="39">
        <v>16800</v>
      </c>
      <c r="H117" s="45">
        <v>301.31</v>
      </c>
      <c r="I117" s="45">
        <v>225.70112881806111</v>
      </c>
      <c r="J117" s="40">
        <f t="shared" si="7"/>
        <v>-75.608871181938895</v>
      </c>
      <c r="K117" s="40">
        <f t="shared" si="8"/>
        <v>-1270229.0358565734</v>
      </c>
      <c r="L117" s="40">
        <f t="shared" si="9"/>
        <v>3791778.9641434266</v>
      </c>
      <c r="M117" s="40">
        <f t="shared" si="10"/>
        <v>5062008</v>
      </c>
      <c r="N117" s="40">
        <f t="shared" si="11"/>
        <v>8853786.9641434271</v>
      </c>
      <c r="O117" s="40">
        <f t="shared" si="12"/>
        <v>1186.4074531952192</v>
      </c>
      <c r="P117" s="40">
        <f t="shared" si="13"/>
        <v>-1271415.4433097686</v>
      </c>
      <c r="Q117" s="14"/>
      <c r="R117" s="14"/>
      <c r="S117" s="14"/>
    </row>
    <row r="118" spans="1:19" hidden="1" x14ac:dyDescent="0.25">
      <c r="A118" s="51">
        <v>46204</v>
      </c>
      <c r="B118" s="9" t="s">
        <v>34</v>
      </c>
      <c r="C118" s="51">
        <v>46231</v>
      </c>
      <c r="D118" s="9" t="s">
        <v>30</v>
      </c>
      <c r="E118" s="9" t="s">
        <v>29</v>
      </c>
      <c r="F118" s="13">
        <v>57000</v>
      </c>
      <c r="G118" s="39">
        <v>1920</v>
      </c>
      <c r="H118" s="45">
        <v>1704.74</v>
      </c>
      <c r="I118" s="45">
        <v>646.29</v>
      </c>
      <c r="J118" s="40">
        <f t="shared" si="7"/>
        <v>-1058.45</v>
      </c>
      <c r="K118" s="40">
        <f t="shared" si="8"/>
        <v>-2032224</v>
      </c>
      <c r="L118" s="40">
        <f t="shared" si="9"/>
        <v>1240876.7999999998</v>
      </c>
      <c r="M118" s="40">
        <f t="shared" si="10"/>
        <v>3273100.8</v>
      </c>
      <c r="N118" s="40">
        <f t="shared" si="11"/>
        <v>4513977.5999999996</v>
      </c>
      <c r="O118" s="40">
        <f t="shared" si="12"/>
        <v>604.87299839999991</v>
      </c>
      <c r="P118" s="40">
        <f t="shared" si="13"/>
        <v>-2032828.8729983999</v>
      </c>
      <c r="Q118" s="14"/>
      <c r="R118" s="14"/>
      <c r="S118" s="14"/>
    </row>
    <row r="119" spans="1:19" hidden="1" x14ac:dyDescent="0.25">
      <c r="A119" s="51">
        <v>46204</v>
      </c>
      <c r="B119" s="9" t="s">
        <v>33</v>
      </c>
      <c r="C119" s="51">
        <v>46231</v>
      </c>
      <c r="D119" s="9" t="s">
        <v>30</v>
      </c>
      <c r="E119" s="9" t="s">
        <v>32</v>
      </c>
      <c r="F119" s="13">
        <v>14000</v>
      </c>
      <c r="G119" s="39">
        <v>1440</v>
      </c>
      <c r="H119" s="45">
        <v>74.349999999999994</v>
      </c>
      <c r="I119" s="45">
        <v>74.16</v>
      </c>
      <c r="J119" s="40">
        <f t="shared" si="7"/>
        <v>-0.18999999999999773</v>
      </c>
      <c r="K119" s="40">
        <f t="shared" si="8"/>
        <v>-273.59999999999673</v>
      </c>
      <c r="L119" s="40">
        <f t="shared" si="9"/>
        <v>106790.39999999999</v>
      </c>
      <c r="M119" s="40">
        <f t="shared" si="10"/>
        <v>107063.99999999999</v>
      </c>
      <c r="N119" s="40">
        <f t="shared" si="11"/>
        <v>213854.39999999997</v>
      </c>
      <c r="O119" s="40">
        <f t="shared" si="12"/>
        <v>28.656489599999997</v>
      </c>
      <c r="P119" s="40">
        <f t="shared" si="13"/>
        <v>-302.25648959999671</v>
      </c>
      <c r="Q119" s="14"/>
      <c r="R119" s="14"/>
      <c r="S119" s="14"/>
    </row>
    <row r="120" spans="1:19" hidden="1" x14ac:dyDescent="0.25">
      <c r="A120" s="51">
        <v>46205</v>
      </c>
      <c r="B120" s="9" t="s">
        <v>27</v>
      </c>
      <c r="C120" s="51">
        <v>46212</v>
      </c>
      <c r="D120" s="9" t="s">
        <v>28</v>
      </c>
      <c r="E120" s="9" t="s">
        <v>32</v>
      </c>
      <c r="F120" s="13">
        <v>77800</v>
      </c>
      <c r="G120" s="39">
        <v>240</v>
      </c>
      <c r="H120" s="45">
        <v>565.25</v>
      </c>
      <c r="I120" s="45">
        <v>319.39999999999998</v>
      </c>
      <c r="J120" s="40">
        <f t="shared" si="7"/>
        <v>245.85000000000002</v>
      </c>
      <c r="K120" s="40">
        <f t="shared" si="8"/>
        <v>59004.000000000007</v>
      </c>
      <c r="L120" s="40">
        <f t="shared" si="9"/>
        <v>135660</v>
      </c>
      <c r="M120" s="40">
        <f t="shared" si="10"/>
        <v>76656</v>
      </c>
      <c r="N120" s="40">
        <f t="shared" si="11"/>
        <v>212316</v>
      </c>
      <c r="O120" s="40">
        <f t="shared" si="12"/>
        <v>28.450344000000001</v>
      </c>
      <c r="P120" s="40">
        <f t="shared" si="13"/>
        <v>58975.54965600001</v>
      </c>
      <c r="Q120" s="14"/>
      <c r="R120" s="14"/>
      <c r="S120" s="14"/>
    </row>
    <row r="121" spans="1:19" hidden="1" x14ac:dyDescent="0.25">
      <c r="A121" s="51">
        <v>46205</v>
      </c>
      <c r="B121" s="9" t="s">
        <v>27</v>
      </c>
      <c r="C121" s="51">
        <v>46212</v>
      </c>
      <c r="D121" s="9" t="s">
        <v>30</v>
      </c>
      <c r="E121" s="9" t="s">
        <v>32</v>
      </c>
      <c r="F121" s="13">
        <v>75500</v>
      </c>
      <c r="G121" s="39">
        <v>260</v>
      </c>
      <c r="H121" s="45">
        <v>49.07</v>
      </c>
      <c r="I121" s="45">
        <v>5.55</v>
      </c>
      <c r="J121" s="40">
        <f t="shared" si="7"/>
        <v>-43.52</v>
      </c>
      <c r="K121" s="40">
        <f t="shared" si="8"/>
        <v>-11315.2</v>
      </c>
      <c r="L121" s="40">
        <f t="shared" si="9"/>
        <v>1443</v>
      </c>
      <c r="M121" s="40">
        <f t="shared" si="10"/>
        <v>12758.2</v>
      </c>
      <c r="N121" s="40">
        <f t="shared" si="11"/>
        <v>14201.2</v>
      </c>
      <c r="O121" s="40">
        <f t="shared" si="12"/>
        <v>1.9029608000000002</v>
      </c>
      <c r="P121" s="40">
        <f t="shared" si="13"/>
        <v>-11317.102960800001</v>
      </c>
      <c r="Q121" s="14"/>
      <c r="R121" s="14"/>
      <c r="S121" s="14"/>
    </row>
    <row r="122" spans="1:19" hidden="1" x14ac:dyDescent="0.25">
      <c r="A122" s="51">
        <v>46203</v>
      </c>
      <c r="B122" s="9" t="s">
        <v>33</v>
      </c>
      <c r="C122" s="51">
        <v>46231</v>
      </c>
      <c r="D122" s="9" t="s">
        <v>30</v>
      </c>
      <c r="E122" s="9" t="s">
        <v>32</v>
      </c>
      <c r="F122" s="13">
        <v>13700</v>
      </c>
      <c r="G122" s="39">
        <v>2880</v>
      </c>
      <c r="H122" s="45">
        <v>55.92</v>
      </c>
      <c r="I122" s="45">
        <v>26.26</v>
      </c>
      <c r="J122" s="40">
        <f t="shared" si="7"/>
        <v>-29.66</v>
      </c>
      <c r="K122" s="40">
        <f t="shared" si="8"/>
        <v>-85420.800000000003</v>
      </c>
      <c r="L122" s="40">
        <f t="shared" si="9"/>
        <v>75628.800000000003</v>
      </c>
      <c r="M122" s="40">
        <f t="shared" si="10"/>
        <v>161049.60000000001</v>
      </c>
      <c r="N122" s="40">
        <f t="shared" si="11"/>
        <v>236678.40000000002</v>
      </c>
      <c r="O122" s="40">
        <f t="shared" si="12"/>
        <v>31.714905600000005</v>
      </c>
      <c r="P122" s="40">
        <f t="shared" si="13"/>
        <v>-85452.514905600008</v>
      </c>
    </row>
    <row r="123" spans="1:19" hidden="1" x14ac:dyDescent="0.25">
      <c r="A123" s="51">
        <v>46206</v>
      </c>
      <c r="B123" s="9" t="s">
        <v>27</v>
      </c>
      <c r="C123" s="51">
        <v>46212</v>
      </c>
      <c r="D123" s="9" t="s">
        <v>30</v>
      </c>
      <c r="E123" s="9" t="s">
        <v>32</v>
      </c>
      <c r="F123" s="13">
        <v>76300</v>
      </c>
      <c r="G123" s="39">
        <v>240</v>
      </c>
      <c r="H123" s="45">
        <v>54.03</v>
      </c>
      <c r="I123" s="45">
        <v>10.92</v>
      </c>
      <c r="J123" s="40">
        <f t="shared" si="7"/>
        <v>-43.11</v>
      </c>
      <c r="K123" s="40">
        <f t="shared" si="8"/>
        <v>-10346.4</v>
      </c>
      <c r="L123" s="40">
        <f t="shared" si="9"/>
        <v>2620.8000000000002</v>
      </c>
      <c r="M123" s="40">
        <f t="shared" si="10"/>
        <v>12967.2</v>
      </c>
      <c r="N123" s="40">
        <f t="shared" si="11"/>
        <v>15588</v>
      </c>
      <c r="O123" s="40">
        <f t="shared" si="12"/>
        <v>2.0887920000000002</v>
      </c>
      <c r="P123" s="40">
        <f t="shared" si="13"/>
        <v>-10348.488792</v>
      </c>
      <c r="Q123" s="14"/>
      <c r="R123" s="14"/>
      <c r="S123" s="14"/>
    </row>
    <row r="124" spans="1:19" hidden="1" x14ac:dyDescent="0.25">
      <c r="A124" s="51">
        <v>46206</v>
      </c>
      <c r="B124" s="9" t="s">
        <v>27</v>
      </c>
      <c r="C124" s="51">
        <v>46212</v>
      </c>
      <c r="D124" s="9" t="s">
        <v>28</v>
      </c>
      <c r="E124" s="9" t="s">
        <v>32</v>
      </c>
      <c r="F124" s="13">
        <v>78300</v>
      </c>
      <c r="G124" s="39">
        <v>240</v>
      </c>
      <c r="H124" s="45">
        <v>542.34</v>
      </c>
      <c r="I124" s="45">
        <v>170.77</v>
      </c>
      <c r="J124" s="40">
        <f t="shared" si="7"/>
        <v>371.57000000000005</v>
      </c>
      <c r="K124" s="40">
        <f t="shared" si="8"/>
        <v>89176.800000000017</v>
      </c>
      <c r="L124" s="40">
        <f t="shared" si="9"/>
        <v>130161.60000000001</v>
      </c>
      <c r="M124" s="40">
        <f t="shared" si="10"/>
        <v>40984.800000000003</v>
      </c>
      <c r="N124" s="40">
        <f t="shared" si="11"/>
        <v>171146.40000000002</v>
      </c>
      <c r="O124" s="40">
        <f t="shared" si="12"/>
        <v>22.933617600000005</v>
      </c>
      <c r="P124" s="40">
        <f t="shared" si="13"/>
        <v>89153.86638240001</v>
      </c>
      <c r="Q124" s="14"/>
      <c r="R124" s="14"/>
      <c r="S124" s="14"/>
    </row>
    <row r="125" spans="1:19" hidden="1" x14ac:dyDescent="0.25">
      <c r="A125" s="51">
        <v>46204</v>
      </c>
      <c r="B125" s="9" t="s">
        <v>33</v>
      </c>
      <c r="C125" s="51">
        <v>46231</v>
      </c>
      <c r="D125" s="9" t="s">
        <v>28</v>
      </c>
      <c r="E125" s="9" t="s">
        <v>32</v>
      </c>
      <c r="F125" s="13">
        <v>14700</v>
      </c>
      <c r="G125" s="39">
        <v>6600</v>
      </c>
      <c r="H125" s="45">
        <v>308.85000000000002</v>
      </c>
      <c r="I125" s="45">
        <v>285.35000000000002</v>
      </c>
      <c r="J125" s="40">
        <f t="shared" si="7"/>
        <v>23.5</v>
      </c>
      <c r="K125" s="40">
        <f t="shared" si="8"/>
        <v>155100</v>
      </c>
      <c r="L125" s="40">
        <f t="shared" si="9"/>
        <v>2038410.0000000002</v>
      </c>
      <c r="M125" s="40">
        <f t="shared" si="10"/>
        <v>1883310.0000000002</v>
      </c>
      <c r="N125" s="40">
        <f t="shared" si="11"/>
        <v>3921720.0000000005</v>
      </c>
      <c r="O125" s="40">
        <f t="shared" si="12"/>
        <v>525.51048000000003</v>
      </c>
      <c r="P125" s="40">
        <f t="shared" si="13"/>
        <v>154574.48952</v>
      </c>
    </row>
    <row r="126" spans="1:19" hidden="1" x14ac:dyDescent="0.25">
      <c r="A126" s="51">
        <v>46204</v>
      </c>
      <c r="B126" s="9" t="s">
        <v>33</v>
      </c>
      <c r="C126" s="51">
        <v>46231</v>
      </c>
      <c r="D126" s="9" t="s">
        <v>30</v>
      </c>
      <c r="E126" s="9" t="s">
        <v>29</v>
      </c>
      <c r="F126" s="13">
        <v>14500</v>
      </c>
      <c r="G126" s="39">
        <v>40200</v>
      </c>
      <c r="H126" s="45">
        <v>312.27999999999997</v>
      </c>
      <c r="I126" s="45">
        <v>225.70112881806111</v>
      </c>
      <c r="J126" s="40">
        <f t="shared" si="7"/>
        <v>-86.578871181938865</v>
      </c>
      <c r="K126" s="40">
        <f t="shared" si="8"/>
        <v>-3480470.6215139423</v>
      </c>
      <c r="L126" s="40">
        <f t="shared" si="9"/>
        <v>9073185.3784860559</v>
      </c>
      <c r="M126" s="40">
        <f t="shared" si="10"/>
        <v>12553655.999999998</v>
      </c>
      <c r="N126" s="40">
        <f t="shared" si="11"/>
        <v>21626841.378486052</v>
      </c>
      <c r="O126" s="40">
        <f t="shared" si="12"/>
        <v>2897.9967447171312</v>
      </c>
      <c r="P126" s="40">
        <f t="shared" si="13"/>
        <v>-3483368.6182586593</v>
      </c>
      <c r="Q126" s="14"/>
      <c r="R126" s="14"/>
      <c r="S126" s="14"/>
    </row>
    <row r="127" spans="1:19" hidden="1" x14ac:dyDescent="0.25">
      <c r="A127" s="51">
        <v>46209</v>
      </c>
      <c r="B127" s="9" t="s">
        <v>33</v>
      </c>
      <c r="C127" s="51">
        <v>46231</v>
      </c>
      <c r="D127" s="9" t="s">
        <v>30</v>
      </c>
      <c r="E127" s="9" t="s">
        <v>29</v>
      </c>
      <c r="F127" s="13">
        <v>14500</v>
      </c>
      <c r="G127" s="39">
        <v>1800</v>
      </c>
      <c r="H127" s="45">
        <v>264.87</v>
      </c>
      <c r="I127" s="45">
        <v>225.70112881806111</v>
      </c>
      <c r="J127" s="40">
        <f t="shared" si="7"/>
        <v>-39.168871181938897</v>
      </c>
      <c r="K127" s="40">
        <f t="shared" si="8"/>
        <v>-70503.968127490021</v>
      </c>
      <c r="L127" s="40">
        <f t="shared" si="9"/>
        <v>406262.03187250998</v>
      </c>
      <c r="M127" s="40">
        <f t="shared" si="10"/>
        <v>476766</v>
      </c>
      <c r="N127" s="40">
        <f t="shared" si="11"/>
        <v>883028.03187250998</v>
      </c>
      <c r="O127" s="40">
        <f t="shared" si="12"/>
        <v>118.32575627091634</v>
      </c>
      <c r="P127" s="40">
        <f t="shared" si="13"/>
        <v>-70622.29388376094</v>
      </c>
      <c r="Q127" s="14"/>
      <c r="R127" s="14"/>
      <c r="S127" s="14"/>
    </row>
    <row r="128" spans="1:19" hidden="1" x14ac:dyDescent="0.25">
      <c r="A128" s="51">
        <v>46204</v>
      </c>
      <c r="B128" s="9" t="s">
        <v>33</v>
      </c>
      <c r="C128" s="51">
        <v>46231</v>
      </c>
      <c r="D128" s="9" t="s">
        <v>28</v>
      </c>
      <c r="E128" s="9" t="s">
        <v>32</v>
      </c>
      <c r="F128" s="13">
        <v>15000</v>
      </c>
      <c r="G128" s="39">
        <v>8640</v>
      </c>
      <c r="H128" s="45">
        <v>495.32</v>
      </c>
      <c r="I128" s="45">
        <v>315.25</v>
      </c>
      <c r="J128" s="40">
        <f t="shared" si="7"/>
        <v>180.07</v>
      </c>
      <c r="K128" s="40">
        <f t="shared" si="8"/>
        <v>1555804.8</v>
      </c>
      <c r="L128" s="40">
        <f t="shared" si="9"/>
        <v>4279564.8</v>
      </c>
      <c r="M128" s="40">
        <f t="shared" si="10"/>
        <v>2723760</v>
      </c>
      <c r="N128" s="40">
        <f t="shared" si="11"/>
        <v>7003324.7999999998</v>
      </c>
      <c r="O128" s="40">
        <f t="shared" si="12"/>
        <v>938.44552320000003</v>
      </c>
      <c r="P128" s="40">
        <f t="shared" si="13"/>
        <v>1554866.3544768</v>
      </c>
      <c r="Q128" s="14"/>
      <c r="R128" s="14"/>
      <c r="S128" s="14"/>
    </row>
    <row r="129" spans="1:19" hidden="1" x14ac:dyDescent="0.25">
      <c r="A129" s="51">
        <v>46203</v>
      </c>
      <c r="B129" s="9" t="s">
        <v>33</v>
      </c>
      <c r="C129" s="51">
        <v>46231</v>
      </c>
      <c r="D129" s="9" t="s">
        <v>30</v>
      </c>
      <c r="E129" s="9" t="s">
        <v>32</v>
      </c>
      <c r="F129" s="13">
        <v>13700</v>
      </c>
      <c r="G129" s="39">
        <v>7800</v>
      </c>
      <c r="H129" s="45">
        <v>55.92</v>
      </c>
      <c r="I129" s="45">
        <v>19.100000000000001</v>
      </c>
      <c r="J129" s="40">
        <f t="shared" si="7"/>
        <v>-36.82</v>
      </c>
      <c r="K129" s="40">
        <f t="shared" si="8"/>
        <v>-287196</v>
      </c>
      <c r="L129" s="40">
        <f t="shared" si="9"/>
        <v>148980</v>
      </c>
      <c r="M129" s="40">
        <f t="shared" si="10"/>
        <v>436176</v>
      </c>
      <c r="N129" s="40">
        <f t="shared" si="11"/>
        <v>585156</v>
      </c>
      <c r="O129" s="40">
        <f t="shared" si="12"/>
        <v>78.410904000000002</v>
      </c>
      <c r="P129" s="40">
        <f t="shared" si="13"/>
        <v>-287274.41090399999</v>
      </c>
    </row>
    <row r="130" spans="1:19" hidden="1" x14ac:dyDescent="0.25">
      <c r="A130" s="51">
        <v>46203</v>
      </c>
      <c r="B130" s="9" t="s">
        <v>33</v>
      </c>
      <c r="C130" s="51">
        <v>46231</v>
      </c>
      <c r="D130" s="9" t="s">
        <v>30</v>
      </c>
      <c r="E130" s="9" t="s">
        <v>32</v>
      </c>
      <c r="F130" s="13">
        <v>13700</v>
      </c>
      <c r="G130" s="39">
        <v>7680</v>
      </c>
      <c r="H130" s="45">
        <v>55.92</v>
      </c>
      <c r="I130" s="45">
        <v>12.19</v>
      </c>
      <c r="J130" s="40">
        <f t="shared" ref="J130:J193" si="14">IF(D130="Short",H130-I130,I130-H130)</f>
        <v>-43.730000000000004</v>
      </c>
      <c r="K130" s="40">
        <f t="shared" ref="K130:K193" si="15">J130*G130</f>
        <v>-335846.40000000002</v>
      </c>
      <c r="L130" s="40">
        <f t="shared" ref="L130:L193" si="16">IF(D130="Short",G130*H130,G130*I130)</f>
        <v>93619.199999999997</v>
      </c>
      <c r="M130" s="40">
        <f t="shared" ref="M130:M193" si="17">IF(D130="Short",G130*I130,H130*G130)</f>
        <v>429465.60000000003</v>
      </c>
      <c r="N130" s="40">
        <f t="shared" ref="N130:N193" si="18">L130+M130</f>
        <v>523084.80000000005</v>
      </c>
      <c r="O130" s="40">
        <f t="shared" ref="O130:O193" si="19">N130*0.000134</f>
        <v>70.093363200000013</v>
      </c>
      <c r="P130" s="40">
        <f t="shared" ref="P130:P193" si="20">K130-O130</f>
        <v>-335916.49336320005</v>
      </c>
    </row>
    <row r="131" spans="1:19" hidden="1" x14ac:dyDescent="0.25">
      <c r="A131" s="51">
        <v>46210</v>
      </c>
      <c r="B131" s="9" t="s">
        <v>27</v>
      </c>
      <c r="C131" s="51">
        <v>46212</v>
      </c>
      <c r="D131" s="9" t="s">
        <v>28</v>
      </c>
      <c r="E131" s="9" t="s">
        <v>32</v>
      </c>
      <c r="F131" s="13">
        <v>78800</v>
      </c>
      <c r="G131" s="39">
        <v>240</v>
      </c>
      <c r="H131" s="45">
        <v>388.14</v>
      </c>
      <c r="I131" s="45">
        <v>2340</v>
      </c>
      <c r="J131" s="40">
        <f t="shared" si="14"/>
        <v>-1951.8600000000001</v>
      </c>
      <c r="K131" s="40">
        <f t="shared" si="15"/>
        <v>-468446.4</v>
      </c>
      <c r="L131" s="40">
        <f t="shared" si="16"/>
        <v>93153.599999999991</v>
      </c>
      <c r="M131" s="40">
        <f t="shared" si="17"/>
        <v>561600</v>
      </c>
      <c r="N131" s="40">
        <f t="shared" si="18"/>
        <v>654753.6</v>
      </c>
      <c r="O131" s="40">
        <f t="shared" si="19"/>
        <v>87.736982400000002</v>
      </c>
      <c r="P131" s="40">
        <f t="shared" si="20"/>
        <v>-468534.13698240003</v>
      </c>
      <c r="Q131" s="14"/>
      <c r="R131" s="14"/>
      <c r="S131" s="14"/>
    </row>
    <row r="132" spans="1:19" hidden="1" x14ac:dyDescent="0.25">
      <c r="A132" s="51">
        <v>46210</v>
      </c>
      <c r="B132" s="9" t="s">
        <v>33</v>
      </c>
      <c r="C132" s="51">
        <v>46231</v>
      </c>
      <c r="D132" s="9" t="s">
        <v>28</v>
      </c>
      <c r="E132" s="9" t="s">
        <v>32</v>
      </c>
      <c r="F132" s="13">
        <v>15000</v>
      </c>
      <c r="G132" s="39">
        <v>480</v>
      </c>
      <c r="H132" s="45">
        <v>415.75</v>
      </c>
      <c r="I132" s="45">
        <v>315.25</v>
      </c>
      <c r="J132" s="40">
        <f t="shared" si="14"/>
        <v>100.5</v>
      </c>
      <c r="K132" s="40">
        <f t="shared" si="15"/>
        <v>48240</v>
      </c>
      <c r="L132" s="40">
        <f t="shared" si="16"/>
        <v>199560</v>
      </c>
      <c r="M132" s="40">
        <f t="shared" si="17"/>
        <v>151320</v>
      </c>
      <c r="N132" s="40">
        <f t="shared" si="18"/>
        <v>350880</v>
      </c>
      <c r="O132" s="40">
        <f t="shared" si="19"/>
        <v>47.017920000000004</v>
      </c>
      <c r="P132" s="40">
        <f t="shared" si="20"/>
        <v>48192.982080000002</v>
      </c>
      <c r="Q132" s="14"/>
      <c r="R132" s="14"/>
      <c r="S132" s="14"/>
    </row>
    <row r="133" spans="1:19" hidden="1" x14ac:dyDescent="0.25">
      <c r="A133" s="51">
        <v>46210</v>
      </c>
      <c r="B133" s="9" t="s">
        <v>27</v>
      </c>
      <c r="C133" s="51">
        <v>46212</v>
      </c>
      <c r="D133" s="9" t="s">
        <v>30</v>
      </c>
      <c r="E133" s="9" t="s">
        <v>32</v>
      </c>
      <c r="F133" s="13">
        <v>77500</v>
      </c>
      <c r="G133" s="39">
        <v>240</v>
      </c>
      <c r="H133" s="45">
        <v>42.43</v>
      </c>
      <c r="I133" s="45">
        <v>193.66</v>
      </c>
      <c r="J133" s="40">
        <f t="shared" si="14"/>
        <v>151.22999999999999</v>
      </c>
      <c r="K133" s="40">
        <f t="shared" si="15"/>
        <v>36295.199999999997</v>
      </c>
      <c r="L133" s="40">
        <f t="shared" si="16"/>
        <v>46478.400000000001</v>
      </c>
      <c r="M133" s="40">
        <f t="shared" si="17"/>
        <v>10183.200000000001</v>
      </c>
      <c r="N133" s="40">
        <f t="shared" si="18"/>
        <v>56661.600000000006</v>
      </c>
      <c r="O133" s="40">
        <f t="shared" si="19"/>
        <v>7.5926544000000007</v>
      </c>
      <c r="P133" s="40">
        <f t="shared" si="20"/>
        <v>36287.607345599994</v>
      </c>
      <c r="Q133" s="14"/>
      <c r="R133" s="14"/>
      <c r="S133" s="14"/>
    </row>
    <row r="134" spans="1:19" hidden="1" x14ac:dyDescent="0.25">
      <c r="A134" s="51">
        <v>46211</v>
      </c>
      <c r="B134" s="9" t="s">
        <v>27</v>
      </c>
      <c r="C134" s="51">
        <v>46212</v>
      </c>
      <c r="D134" s="9" t="s">
        <v>28</v>
      </c>
      <c r="E134" s="9" t="s">
        <v>32</v>
      </c>
      <c r="F134" s="13">
        <v>76700</v>
      </c>
      <c r="G134" s="39">
        <v>340</v>
      </c>
      <c r="H134" s="45">
        <v>455.87</v>
      </c>
      <c r="I134" s="45">
        <v>30.7</v>
      </c>
      <c r="J134" s="40">
        <f t="shared" si="14"/>
        <v>425.17</v>
      </c>
      <c r="K134" s="40">
        <f t="shared" si="15"/>
        <v>144557.80000000002</v>
      </c>
      <c r="L134" s="40">
        <f t="shared" si="16"/>
        <v>154995.79999999999</v>
      </c>
      <c r="M134" s="40">
        <f t="shared" si="17"/>
        <v>10438</v>
      </c>
      <c r="N134" s="40">
        <f t="shared" si="18"/>
        <v>165433.79999999999</v>
      </c>
      <c r="O134" s="40">
        <f t="shared" si="19"/>
        <v>22.168129199999999</v>
      </c>
      <c r="P134" s="40">
        <f t="shared" si="20"/>
        <v>144535.63187080002</v>
      </c>
      <c r="Q134" s="14"/>
      <c r="R134" s="14"/>
      <c r="S134" s="14"/>
    </row>
    <row r="135" spans="1:19" hidden="1" x14ac:dyDescent="0.25">
      <c r="A135" s="51">
        <v>46211</v>
      </c>
      <c r="B135" s="9" t="s">
        <v>27</v>
      </c>
      <c r="C135" s="51">
        <v>46212</v>
      </c>
      <c r="D135" s="9" t="s">
        <v>28</v>
      </c>
      <c r="E135" s="9" t="s">
        <v>32</v>
      </c>
      <c r="F135" s="13">
        <v>77000</v>
      </c>
      <c r="G135" s="39">
        <v>140</v>
      </c>
      <c r="H135" s="45">
        <v>654.95000000000005</v>
      </c>
      <c r="I135" s="45">
        <v>60.74</v>
      </c>
      <c r="J135" s="40">
        <f t="shared" si="14"/>
        <v>594.21</v>
      </c>
      <c r="K135" s="40">
        <f t="shared" si="15"/>
        <v>83189.400000000009</v>
      </c>
      <c r="L135" s="40">
        <f t="shared" si="16"/>
        <v>91693</v>
      </c>
      <c r="M135" s="40">
        <f t="shared" si="17"/>
        <v>8503.6</v>
      </c>
      <c r="N135" s="40">
        <f t="shared" si="18"/>
        <v>100196.6</v>
      </c>
      <c r="O135" s="40">
        <f t="shared" si="19"/>
        <v>13.426344400000001</v>
      </c>
      <c r="P135" s="40">
        <f t="shared" si="20"/>
        <v>83175.973655600013</v>
      </c>
      <c r="Q135" s="14"/>
      <c r="R135" s="14"/>
      <c r="S135" s="14"/>
    </row>
    <row r="136" spans="1:19" hidden="1" x14ac:dyDescent="0.25">
      <c r="A136" s="51">
        <v>46203</v>
      </c>
      <c r="B136" s="9" t="s">
        <v>33</v>
      </c>
      <c r="C136" s="51">
        <v>46231</v>
      </c>
      <c r="D136" s="9" t="s">
        <v>30</v>
      </c>
      <c r="E136" s="9" t="s">
        <v>32</v>
      </c>
      <c r="F136" s="13">
        <v>13700</v>
      </c>
      <c r="G136" s="39">
        <v>1680</v>
      </c>
      <c r="H136" s="45">
        <v>55.92</v>
      </c>
      <c r="I136" s="45">
        <v>35.67</v>
      </c>
      <c r="J136" s="40">
        <f t="shared" si="14"/>
        <v>-20.25</v>
      </c>
      <c r="K136" s="40">
        <f t="shared" si="15"/>
        <v>-34020</v>
      </c>
      <c r="L136" s="40">
        <f t="shared" si="16"/>
        <v>59925.600000000006</v>
      </c>
      <c r="M136" s="40">
        <f t="shared" si="17"/>
        <v>93945.600000000006</v>
      </c>
      <c r="N136" s="40">
        <f t="shared" si="18"/>
        <v>153871.20000000001</v>
      </c>
      <c r="O136" s="40">
        <f t="shared" si="19"/>
        <v>20.618740800000001</v>
      </c>
      <c r="P136" s="40">
        <f t="shared" si="20"/>
        <v>-34040.618740799997</v>
      </c>
    </row>
    <row r="137" spans="1:19" hidden="1" x14ac:dyDescent="0.25">
      <c r="A137" s="51">
        <v>46212</v>
      </c>
      <c r="B137" s="9" t="s">
        <v>33</v>
      </c>
      <c r="C137" s="51">
        <v>46231</v>
      </c>
      <c r="D137" s="9" t="s">
        <v>30</v>
      </c>
      <c r="E137" s="9" t="s">
        <v>32</v>
      </c>
      <c r="F137" s="13">
        <v>13700</v>
      </c>
      <c r="G137" s="39">
        <v>8520</v>
      </c>
      <c r="H137" s="45">
        <v>55.92</v>
      </c>
      <c r="I137" s="45">
        <v>18.14</v>
      </c>
      <c r="J137" s="40">
        <f t="shared" si="14"/>
        <v>-37.78</v>
      </c>
      <c r="K137" s="40">
        <f t="shared" si="15"/>
        <v>-321885.60000000003</v>
      </c>
      <c r="L137" s="40">
        <f t="shared" si="16"/>
        <v>154552.80000000002</v>
      </c>
      <c r="M137" s="40">
        <f t="shared" si="17"/>
        <v>476438.4</v>
      </c>
      <c r="N137" s="40">
        <f t="shared" si="18"/>
        <v>630991.20000000007</v>
      </c>
      <c r="O137" s="40">
        <f t="shared" si="19"/>
        <v>84.552820800000006</v>
      </c>
      <c r="P137" s="40">
        <f t="shared" si="20"/>
        <v>-321970.15282080002</v>
      </c>
    </row>
    <row r="138" spans="1:19" hidden="1" x14ac:dyDescent="0.25">
      <c r="A138" s="51">
        <v>46212</v>
      </c>
      <c r="B138" s="9" t="s">
        <v>34</v>
      </c>
      <c r="C138" s="51">
        <v>46259</v>
      </c>
      <c r="D138" s="9" t="s">
        <v>30</v>
      </c>
      <c r="E138" s="9" t="s">
        <v>29</v>
      </c>
      <c r="F138" s="13">
        <v>57000</v>
      </c>
      <c r="G138" s="39">
        <v>1290</v>
      </c>
      <c r="H138" s="45">
        <v>1610.21</v>
      </c>
      <c r="I138" s="45">
        <v>1357.45</v>
      </c>
      <c r="J138" s="40">
        <f t="shared" si="14"/>
        <v>-252.76</v>
      </c>
      <c r="K138" s="40">
        <f t="shared" si="15"/>
        <v>-326060.39999999997</v>
      </c>
      <c r="L138" s="40">
        <f t="shared" si="16"/>
        <v>1751110.5</v>
      </c>
      <c r="M138" s="40">
        <f t="shared" si="17"/>
        <v>2077170.9000000001</v>
      </c>
      <c r="N138" s="40">
        <f t="shared" si="18"/>
        <v>3828281.4000000004</v>
      </c>
      <c r="O138" s="40">
        <f t="shared" si="19"/>
        <v>512.98970760000009</v>
      </c>
      <c r="P138" s="40">
        <f t="shared" si="20"/>
        <v>-326573.38970759994</v>
      </c>
    </row>
    <row r="139" spans="1:19" hidden="1" x14ac:dyDescent="0.25">
      <c r="A139" s="51">
        <v>46212</v>
      </c>
      <c r="B139" s="9" t="s">
        <v>33</v>
      </c>
      <c r="C139" s="51">
        <v>46231</v>
      </c>
      <c r="D139" s="9" t="s">
        <v>30</v>
      </c>
      <c r="E139" s="9" t="s">
        <v>29</v>
      </c>
      <c r="F139" s="13">
        <v>14500</v>
      </c>
      <c r="G139" s="39">
        <v>4560</v>
      </c>
      <c r="H139" s="45">
        <v>277.52999999999997</v>
      </c>
      <c r="I139" s="45">
        <v>225.70112881806111</v>
      </c>
      <c r="J139" s="40">
        <f t="shared" si="14"/>
        <v>-51.828871181938865</v>
      </c>
      <c r="K139" s="40">
        <f t="shared" si="15"/>
        <v>-236339.65258964122</v>
      </c>
      <c r="L139" s="40">
        <f t="shared" si="16"/>
        <v>1029197.1474103587</v>
      </c>
      <c r="M139" s="40">
        <f t="shared" si="17"/>
        <v>1265536.7999999998</v>
      </c>
      <c r="N139" s="40">
        <f t="shared" si="18"/>
        <v>2294733.9474103586</v>
      </c>
      <c r="O139" s="40">
        <f t="shared" si="19"/>
        <v>307.49434895298805</v>
      </c>
      <c r="P139" s="40">
        <f t="shared" si="20"/>
        <v>-236647.1469385942</v>
      </c>
    </row>
    <row r="140" spans="1:19" hidden="1" x14ac:dyDescent="0.25">
      <c r="A140" s="51">
        <v>46212</v>
      </c>
      <c r="B140" s="9" t="s">
        <v>33</v>
      </c>
      <c r="C140" s="51">
        <v>46231</v>
      </c>
      <c r="D140" s="9" t="s">
        <v>30</v>
      </c>
      <c r="E140" s="9" t="s">
        <v>29</v>
      </c>
      <c r="F140" s="13">
        <v>14400</v>
      </c>
      <c r="G140" s="39">
        <v>2160</v>
      </c>
      <c r="H140" s="45">
        <v>341.36</v>
      </c>
      <c r="I140" s="45">
        <v>300.63762456546931</v>
      </c>
      <c r="J140" s="40">
        <f t="shared" si="14"/>
        <v>-40.722375434530704</v>
      </c>
      <c r="K140" s="40">
        <f t="shared" si="15"/>
        <v>-87960.330938586325</v>
      </c>
      <c r="L140" s="40">
        <f t="shared" si="16"/>
        <v>649377.26906141371</v>
      </c>
      <c r="M140" s="40">
        <f t="shared" si="17"/>
        <v>737337.6</v>
      </c>
      <c r="N140" s="40">
        <f t="shared" si="18"/>
        <v>1386714.8690614137</v>
      </c>
      <c r="O140" s="40">
        <f t="shared" si="19"/>
        <v>185.81979245422943</v>
      </c>
      <c r="P140" s="40">
        <f t="shared" si="20"/>
        <v>-88146.150731040558</v>
      </c>
    </row>
    <row r="141" spans="1:19" hidden="1" x14ac:dyDescent="0.25">
      <c r="A141" s="51">
        <v>46213</v>
      </c>
      <c r="B141" s="9" t="s">
        <v>33</v>
      </c>
      <c r="C141" s="51">
        <v>46231</v>
      </c>
      <c r="D141" s="9" t="s">
        <v>30</v>
      </c>
      <c r="E141" s="9" t="s">
        <v>32</v>
      </c>
      <c r="F141" s="13">
        <v>13700</v>
      </c>
      <c r="G141" s="39">
        <v>7920</v>
      </c>
      <c r="H141" s="45">
        <v>55.92</v>
      </c>
      <c r="I141" s="45">
        <v>9.57</v>
      </c>
      <c r="J141" s="40">
        <f t="shared" si="14"/>
        <v>-46.35</v>
      </c>
      <c r="K141" s="40">
        <f t="shared" si="15"/>
        <v>-367092</v>
      </c>
      <c r="L141" s="40">
        <f t="shared" si="16"/>
        <v>75794.400000000009</v>
      </c>
      <c r="M141" s="40">
        <f t="shared" si="17"/>
        <v>442886.40000000002</v>
      </c>
      <c r="N141" s="40">
        <f t="shared" si="18"/>
        <v>518680.80000000005</v>
      </c>
      <c r="O141" s="40">
        <f t="shared" si="19"/>
        <v>69.503227200000012</v>
      </c>
      <c r="P141" s="40">
        <f t="shared" si="20"/>
        <v>-367161.50322720001</v>
      </c>
    </row>
    <row r="142" spans="1:19" hidden="1" x14ac:dyDescent="0.25">
      <c r="A142" s="51">
        <v>46216</v>
      </c>
      <c r="B142" s="9" t="s">
        <v>33</v>
      </c>
      <c r="C142" s="51">
        <v>46231</v>
      </c>
      <c r="D142" s="9" t="s">
        <v>30</v>
      </c>
      <c r="E142" s="9" t="s">
        <v>32</v>
      </c>
      <c r="F142" s="13">
        <v>13700</v>
      </c>
      <c r="G142" s="39">
        <v>1080</v>
      </c>
      <c r="H142" s="45">
        <v>55.92</v>
      </c>
      <c r="I142" s="45">
        <v>9.82</v>
      </c>
      <c r="J142" s="40">
        <f t="shared" si="14"/>
        <v>-46.1</v>
      </c>
      <c r="K142" s="40">
        <f t="shared" si="15"/>
        <v>-49788</v>
      </c>
      <c r="L142" s="40">
        <f t="shared" si="16"/>
        <v>10605.6</v>
      </c>
      <c r="M142" s="40">
        <f t="shared" si="17"/>
        <v>60393.599999999999</v>
      </c>
      <c r="N142" s="40">
        <f t="shared" si="18"/>
        <v>70999.199999999997</v>
      </c>
      <c r="O142" s="40">
        <f t="shared" si="19"/>
        <v>9.5138928000000007</v>
      </c>
      <c r="P142" s="40">
        <f t="shared" si="20"/>
        <v>-49797.513892800001</v>
      </c>
    </row>
    <row r="143" spans="1:19" hidden="1" x14ac:dyDescent="0.25">
      <c r="A143" s="51">
        <v>46216</v>
      </c>
      <c r="B143" s="9" t="s">
        <v>33</v>
      </c>
      <c r="C143" s="51">
        <v>46231</v>
      </c>
      <c r="D143" s="9" t="s">
        <v>30</v>
      </c>
      <c r="E143" s="9" t="s">
        <v>32</v>
      </c>
      <c r="F143" s="13">
        <v>14000</v>
      </c>
      <c r="G143" s="39">
        <v>1200</v>
      </c>
      <c r="H143" s="45">
        <v>74.349999999999994</v>
      </c>
      <c r="I143" s="45">
        <v>22.21</v>
      </c>
      <c r="J143" s="40">
        <f t="shared" si="14"/>
        <v>-52.139999999999993</v>
      </c>
      <c r="K143" s="40">
        <f t="shared" si="15"/>
        <v>-62567.999999999993</v>
      </c>
      <c r="L143" s="40">
        <f t="shared" si="16"/>
        <v>26652</v>
      </c>
      <c r="M143" s="40">
        <f t="shared" si="17"/>
        <v>89220</v>
      </c>
      <c r="N143" s="40">
        <f t="shared" si="18"/>
        <v>115872</v>
      </c>
      <c r="O143" s="40">
        <f t="shared" si="19"/>
        <v>15.526848000000001</v>
      </c>
      <c r="P143" s="40">
        <f t="shared" si="20"/>
        <v>-62583.526847999994</v>
      </c>
    </row>
    <row r="144" spans="1:19" hidden="1" x14ac:dyDescent="0.25">
      <c r="A144" s="51">
        <v>46216</v>
      </c>
      <c r="B144" s="9" t="s">
        <v>33</v>
      </c>
      <c r="C144" s="51">
        <v>46231</v>
      </c>
      <c r="D144" s="9" t="s">
        <v>30</v>
      </c>
      <c r="E144" s="9" t="s">
        <v>32</v>
      </c>
      <c r="F144" s="13">
        <v>14000</v>
      </c>
      <c r="G144" s="39">
        <v>2280</v>
      </c>
      <c r="H144" s="45">
        <v>22.07</v>
      </c>
      <c r="I144" s="45">
        <v>4.28</v>
      </c>
      <c r="J144" s="40">
        <f t="shared" si="14"/>
        <v>-17.79</v>
      </c>
      <c r="K144" s="40">
        <f t="shared" si="15"/>
        <v>-40561.199999999997</v>
      </c>
      <c r="L144" s="40">
        <f t="shared" si="16"/>
        <v>9758.4000000000015</v>
      </c>
      <c r="M144" s="40">
        <f t="shared" si="17"/>
        <v>50319.6</v>
      </c>
      <c r="N144" s="40">
        <f t="shared" si="18"/>
        <v>60078</v>
      </c>
      <c r="O144" s="40">
        <f t="shared" si="19"/>
        <v>8.0504519999999999</v>
      </c>
      <c r="P144" s="40">
        <f t="shared" si="20"/>
        <v>-40569.250452</v>
      </c>
    </row>
    <row r="145" spans="1:16" hidden="1" x14ac:dyDescent="0.25">
      <c r="A145" s="51">
        <v>46217</v>
      </c>
      <c r="B145" s="9" t="s">
        <v>33</v>
      </c>
      <c r="C145" s="51">
        <v>46231</v>
      </c>
      <c r="D145" s="9" t="s">
        <v>30</v>
      </c>
      <c r="E145" s="9" t="s">
        <v>32</v>
      </c>
      <c r="F145" s="13">
        <v>14000</v>
      </c>
      <c r="G145" s="39">
        <v>600</v>
      </c>
      <c r="H145" s="45">
        <v>24.13</v>
      </c>
      <c r="I145" s="45">
        <v>4.28</v>
      </c>
      <c r="J145" s="40">
        <f t="shared" si="14"/>
        <v>-19.849999999999998</v>
      </c>
      <c r="K145" s="40">
        <f t="shared" si="15"/>
        <v>-11909.999999999998</v>
      </c>
      <c r="L145" s="40">
        <f t="shared" si="16"/>
        <v>2568</v>
      </c>
      <c r="M145" s="40">
        <f t="shared" si="17"/>
        <v>14478</v>
      </c>
      <c r="N145" s="40">
        <f t="shared" si="18"/>
        <v>17046</v>
      </c>
      <c r="O145" s="40">
        <f t="shared" si="19"/>
        <v>2.2841640000000001</v>
      </c>
      <c r="P145" s="40">
        <f t="shared" si="20"/>
        <v>-11912.284163999999</v>
      </c>
    </row>
    <row r="146" spans="1:16" hidden="1" x14ac:dyDescent="0.25">
      <c r="A146" s="51">
        <v>46218</v>
      </c>
      <c r="B146" s="9" t="s">
        <v>33</v>
      </c>
      <c r="C146" s="51">
        <v>46231</v>
      </c>
      <c r="D146" s="9" t="s">
        <v>30</v>
      </c>
      <c r="E146" s="9" t="s">
        <v>32</v>
      </c>
      <c r="F146" s="13">
        <v>13700</v>
      </c>
      <c r="G146" s="39">
        <v>120</v>
      </c>
      <c r="H146" s="45">
        <v>55.92</v>
      </c>
      <c r="I146" s="45">
        <v>7.4</v>
      </c>
      <c r="J146" s="40">
        <f t="shared" si="14"/>
        <v>-48.52</v>
      </c>
      <c r="K146" s="40">
        <f t="shared" si="15"/>
        <v>-5822.4000000000005</v>
      </c>
      <c r="L146" s="40">
        <f t="shared" si="16"/>
        <v>888</v>
      </c>
      <c r="M146" s="40">
        <f t="shared" si="17"/>
        <v>6710.4000000000005</v>
      </c>
      <c r="N146" s="40">
        <f t="shared" si="18"/>
        <v>7598.4000000000005</v>
      </c>
      <c r="O146" s="40">
        <f t="shared" si="19"/>
        <v>1.0181856</v>
      </c>
      <c r="P146" s="40">
        <f t="shared" si="20"/>
        <v>-5823.4181856000005</v>
      </c>
    </row>
    <row r="147" spans="1:16" hidden="1" x14ac:dyDescent="0.25">
      <c r="A147" s="51">
        <v>46218</v>
      </c>
      <c r="B147" s="9" t="s">
        <v>33</v>
      </c>
      <c r="C147" s="51">
        <v>46231</v>
      </c>
      <c r="D147" s="9" t="s">
        <v>30</v>
      </c>
      <c r="E147" s="9" t="s">
        <v>32</v>
      </c>
      <c r="F147" s="13">
        <v>14000</v>
      </c>
      <c r="G147" s="39">
        <v>960</v>
      </c>
      <c r="H147" s="45">
        <v>16.010000000000002</v>
      </c>
      <c r="I147" s="45">
        <v>4.28</v>
      </c>
      <c r="J147" s="40">
        <f t="shared" si="14"/>
        <v>-11.73</v>
      </c>
      <c r="K147" s="40">
        <f t="shared" si="15"/>
        <v>-11260.800000000001</v>
      </c>
      <c r="L147" s="40">
        <f t="shared" si="16"/>
        <v>4108.8</v>
      </c>
      <c r="M147" s="40">
        <f t="shared" si="17"/>
        <v>15369.600000000002</v>
      </c>
      <c r="N147" s="40">
        <f t="shared" si="18"/>
        <v>19478.400000000001</v>
      </c>
      <c r="O147" s="40">
        <f t="shared" si="19"/>
        <v>2.6101056000000002</v>
      </c>
      <c r="P147" s="40">
        <f t="shared" si="20"/>
        <v>-11263.410105600002</v>
      </c>
    </row>
    <row r="148" spans="1:16" hidden="1" x14ac:dyDescent="0.25">
      <c r="A148" s="51">
        <v>46219</v>
      </c>
      <c r="B148" s="9" t="s">
        <v>33</v>
      </c>
      <c r="C148" s="51">
        <v>46231</v>
      </c>
      <c r="D148" s="9" t="s">
        <v>30</v>
      </c>
      <c r="E148" s="9" t="s">
        <v>32</v>
      </c>
      <c r="F148" s="13">
        <v>14200</v>
      </c>
      <c r="G148" s="39">
        <v>240</v>
      </c>
      <c r="H148" s="45">
        <v>21.8</v>
      </c>
      <c r="I148" s="45">
        <v>10.71</v>
      </c>
      <c r="J148" s="40">
        <f t="shared" si="14"/>
        <v>-11.09</v>
      </c>
      <c r="K148" s="40">
        <f t="shared" si="15"/>
        <v>-2661.6</v>
      </c>
      <c r="L148" s="40">
        <f t="shared" si="16"/>
        <v>2570.4</v>
      </c>
      <c r="M148" s="40">
        <f t="shared" si="17"/>
        <v>5232</v>
      </c>
      <c r="N148" s="40">
        <f t="shared" si="18"/>
        <v>7802.4</v>
      </c>
      <c r="O148" s="40">
        <f t="shared" si="19"/>
        <v>1.0455216000000001</v>
      </c>
      <c r="P148" s="40">
        <f t="shared" si="20"/>
        <v>-2662.6455215999999</v>
      </c>
    </row>
    <row r="149" spans="1:16" hidden="1" x14ac:dyDescent="0.25">
      <c r="A149" s="51">
        <v>46220</v>
      </c>
      <c r="B149" s="9" t="s">
        <v>33</v>
      </c>
      <c r="C149" s="51">
        <v>46231</v>
      </c>
      <c r="D149" s="9" t="s">
        <v>30</v>
      </c>
      <c r="E149" s="9" t="s">
        <v>32</v>
      </c>
      <c r="F149" s="13">
        <v>13700</v>
      </c>
      <c r="G149" s="39">
        <v>1800</v>
      </c>
      <c r="H149" s="45">
        <v>55.92</v>
      </c>
      <c r="I149" s="45">
        <v>5.67</v>
      </c>
      <c r="J149" s="40">
        <f t="shared" si="14"/>
        <v>-50.25</v>
      </c>
      <c r="K149" s="40">
        <f t="shared" si="15"/>
        <v>-90450</v>
      </c>
      <c r="L149" s="40">
        <f t="shared" si="16"/>
        <v>10206</v>
      </c>
      <c r="M149" s="40">
        <f t="shared" si="17"/>
        <v>100656</v>
      </c>
      <c r="N149" s="40">
        <f t="shared" si="18"/>
        <v>110862</v>
      </c>
      <c r="O149" s="40">
        <f t="shared" si="19"/>
        <v>14.855508</v>
      </c>
      <c r="P149" s="40">
        <f t="shared" si="20"/>
        <v>-90464.855507999993</v>
      </c>
    </row>
    <row r="150" spans="1:16" hidden="1" x14ac:dyDescent="0.25">
      <c r="A150" s="51">
        <v>46220</v>
      </c>
      <c r="B150" s="9" t="s">
        <v>33</v>
      </c>
      <c r="C150" s="51">
        <v>46231</v>
      </c>
      <c r="D150" s="9" t="s">
        <v>30</v>
      </c>
      <c r="E150" s="9" t="s">
        <v>32</v>
      </c>
      <c r="F150" s="13">
        <v>14200</v>
      </c>
      <c r="G150" s="39">
        <v>1200</v>
      </c>
      <c r="H150" s="45">
        <v>27.31</v>
      </c>
      <c r="I150" s="45">
        <v>10.71</v>
      </c>
      <c r="J150" s="40">
        <f t="shared" si="14"/>
        <v>-16.599999999999998</v>
      </c>
      <c r="K150" s="40">
        <f t="shared" si="15"/>
        <v>-19919.999999999996</v>
      </c>
      <c r="L150" s="40">
        <f t="shared" si="16"/>
        <v>12852.000000000002</v>
      </c>
      <c r="M150" s="40">
        <f t="shared" si="17"/>
        <v>32772</v>
      </c>
      <c r="N150" s="40">
        <f t="shared" si="18"/>
        <v>45624</v>
      </c>
      <c r="O150" s="40">
        <f t="shared" si="19"/>
        <v>6.1136160000000004</v>
      </c>
      <c r="P150" s="40">
        <f t="shared" si="20"/>
        <v>-19926.113615999995</v>
      </c>
    </row>
    <row r="151" spans="1:16" hidden="1" x14ac:dyDescent="0.25">
      <c r="A151" s="51">
        <v>46223</v>
      </c>
      <c r="B151" s="9" t="s">
        <v>33</v>
      </c>
      <c r="C151" s="51">
        <v>46231</v>
      </c>
      <c r="D151" s="9" t="s">
        <v>30</v>
      </c>
      <c r="E151" s="9" t="s">
        <v>32</v>
      </c>
      <c r="F151" s="13">
        <v>13700</v>
      </c>
      <c r="G151" s="39">
        <v>1200</v>
      </c>
      <c r="H151" s="45">
        <v>55.92</v>
      </c>
      <c r="I151" s="45">
        <v>3.79</v>
      </c>
      <c r="J151" s="40">
        <f t="shared" si="14"/>
        <v>-52.13</v>
      </c>
      <c r="K151" s="40">
        <f t="shared" si="15"/>
        <v>-62556</v>
      </c>
      <c r="L151" s="40">
        <f t="shared" si="16"/>
        <v>4548</v>
      </c>
      <c r="M151" s="40">
        <f t="shared" si="17"/>
        <v>67104</v>
      </c>
      <c r="N151" s="40">
        <f t="shared" si="18"/>
        <v>71652</v>
      </c>
      <c r="O151" s="40">
        <f t="shared" si="19"/>
        <v>9.6013680000000008</v>
      </c>
      <c r="P151" s="40">
        <f t="shared" si="20"/>
        <v>-62565.601368000003</v>
      </c>
    </row>
    <row r="152" spans="1:16" hidden="1" x14ac:dyDescent="0.25">
      <c r="A152" s="51">
        <v>46223</v>
      </c>
      <c r="B152" s="9" t="s">
        <v>33</v>
      </c>
      <c r="C152" s="51">
        <v>46231</v>
      </c>
      <c r="D152" s="9" t="s">
        <v>30</v>
      </c>
      <c r="E152" s="9" t="s">
        <v>32</v>
      </c>
      <c r="F152" s="13">
        <v>14200</v>
      </c>
      <c r="G152" s="39">
        <v>480</v>
      </c>
      <c r="H152" s="45">
        <v>24.71</v>
      </c>
      <c r="I152" s="45">
        <v>10.71</v>
      </c>
      <c r="J152" s="40">
        <f t="shared" si="14"/>
        <v>-14</v>
      </c>
      <c r="K152" s="40">
        <f t="shared" si="15"/>
        <v>-6720</v>
      </c>
      <c r="L152" s="40">
        <f t="shared" si="16"/>
        <v>5140.8</v>
      </c>
      <c r="M152" s="40">
        <f t="shared" si="17"/>
        <v>11860.800000000001</v>
      </c>
      <c r="N152" s="40">
        <f t="shared" si="18"/>
        <v>17001.600000000002</v>
      </c>
      <c r="O152" s="40">
        <f t="shared" si="19"/>
        <v>2.2782144000000004</v>
      </c>
      <c r="P152" s="40">
        <f t="shared" si="20"/>
        <v>-6722.2782144000003</v>
      </c>
    </row>
    <row r="153" spans="1:16" hidden="1" x14ac:dyDescent="0.25">
      <c r="A153" s="51">
        <v>46224</v>
      </c>
      <c r="B153" s="9" t="s">
        <v>33</v>
      </c>
      <c r="C153" s="51">
        <v>46231</v>
      </c>
      <c r="D153" s="9" t="s">
        <v>30</v>
      </c>
      <c r="E153" s="9" t="s">
        <v>32</v>
      </c>
      <c r="F153" s="13">
        <v>13700</v>
      </c>
      <c r="G153" s="39">
        <v>600</v>
      </c>
      <c r="H153" s="45">
        <v>55.92</v>
      </c>
      <c r="I153" s="45">
        <v>1.71</v>
      </c>
      <c r="J153" s="40">
        <f t="shared" si="14"/>
        <v>-54.21</v>
      </c>
      <c r="K153" s="40">
        <f t="shared" si="15"/>
        <v>-32526</v>
      </c>
      <c r="L153" s="40">
        <f t="shared" si="16"/>
        <v>1026</v>
      </c>
      <c r="M153" s="40">
        <f t="shared" si="17"/>
        <v>33552</v>
      </c>
      <c r="N153" s="40">
        <f t="shared" si="18"/>
        <v>34578</v>
      </c>
      <c r="O153" s="40">
        <f t="shared" si="19"/>
        <v>4.6334520000000001</v>
      </c>
      <c r="P153" s="40">
        <f t="shared" si="20"/>
        <v>-32530.633451999998</v>
      </c>
    </row>
    <row r="154" spans="1:16" hidden="1" x14ac:dyDescent="0.25">
      <c r="A154" s="51">
        <v>46224</v>
      </c>
      <c r="B154" s="9" t="s">
        <v>33</v>
      </c>
      <c r="C154" s="51">
        <v>46231</v>
      </c>
      <c r="D154" s="9" t="s">
        <v>30</v>
      </c>
      <c r="E154" s="9" t="s">
        <v>32</v>
      </c>
      <c r="F154" s="13">
        <v>14200</v>
      </c>
      <c r="G154" s="39">
        <v>600</v>
      </c>
      <c r="H154" s="45">
        <v>9.0500000000000007</v>
      </c>
      <c r="I154" s="45">
        <v>10.71</v>
      </c>
      <c r="J154" s="40">
        <f t="shared" si="14"/>
        <v>1.6600000000000001</v>
      </c>
      <c r="K154" s="40">
        <f t="shared" si="15"/>
        <v>996.00000000000011</v>
      </c>
      <c r="L154" s="40">
        <f t="shared" si="16"/>
        <v>6426.0000000000009</v>
      </c>
      <c r="M154" s="40">
        <f t="shared" si="17"/>
        <v>5430</v>
      </c>
      <c r="N154" s="40">
        <f t="shared" si="18"/>
        <v>11856</v>
      </c>
      <c r="O154" s="40">
        <f t="shared" si="19"/>
        <v>1.5887040000000001</v>
      </c>
      <c r="P154" s="40">
        <f t="shared" si="20"/>
        <v>994.41129600000011</v>
      </c>
    </row>
    <row r="155" spans="1:16" hidden="1" x14ac:dyDescent="0.25">
      <c r="A155" s="51">
        <v>46225</v>
      </c>
      <c r="B155" s="9" t="s">
        <v>33</v>
      </c>
      <c r="C155" s="51">
        <v>46231</v>
      </c>
      <c r="D155" s="9" t="s">
        <v>30</v>
      </c>
      <c r="E155" s="9" t="s">
        <v>29</v>
      </c>
      <c r="F155" s="13">
        <v>14400</v>
      </c>
      <c r="G155" s="39">
        <v>2640</v>
      </c>
      <c r="H155" s="45">
        <v>305.41772727272729</v>
      </c>
      <c r="I155" s="45">
        <v>300.63762456546931</v>
      </c>
      <c r="J155" s="40">
        <f t="shared" si="14"/>
        <v>-4.7801027072579814</v>
      </c>
      <c r="K155" s="40">
        <f t="shared" si="15"/>
        <v>-12619.471147161072</v>
      </c>
      <c r="L155" s="40">
        <f t="shared" si="16"/>
        <v>793683.32885283895</v>
      </c>
      <c r="M155" s="40">
        <f t="shared" si="17"/>
        <v>806302.8</v>
      </c>
      <c r="N155" s="40">
        <f t="shared" si="18"/>
        <v>1599986.1288528391</v>
      </c>
      <c r="O155" s="40">
        <f t="shared" si="19"/>
        <v>214.39814126628045</v>
      </c>
      <c r="P155" s="40">
        <f t="shared" si="20"/>
        <v>-12833.869288427351</v>
      </c>
    </row>
    <row r="156" spans="1:16" hidden="1" x14ac:dyDescent="0.25">
      <c r="A156" s="51">
        <v>46225</v>
      </c>
      <c r="B156" s="9" t="s">
        <v>33</v>
      </c>
      <c r="C156" s="51">
        <v>46231</v>
      </c>
      <c r="D156" s="9" t="s">
        <v>30</v>
      </c>
      <c r="E156" s="9" t="s">
        <v>29</v>
      </c>
      <c r="F156" s="13">
        <v>14500</v>
      </c>
      <c r="G156" s="39">
        <v>1200</v>
      </c>
      <c r="H156" s="45">
        <v>234.99</v>
      </c>
      <c r="I156" s="45">
        <v>225.70112881806111</v>
      </c>
      <c r="J156" s="40">
        <f t="shared" si="14"/>
        <v>-9.2888711819389016</v>
      </c>
      <c r="K156" s="40">
        <f t="shared" si="15"/>
        <v>-11146.645418326681</v>
      </c>
      <c r="L156" s="40">
        <f t="shared" si="16"/>
        <v>270841.35458167334</v>
      </c>
      <c r="M156" s="40">
        <f t="shared" si="17"/>
        <v>281988</v>
      </c>
      <c r="N156" s="40">
        <f t="shared" si="18"/>
        <v>552829.3545816734</v>
      </c>
      <c r="O156" s="40">
        <f t="shared" si="19"/>
        <v>74.079133513944242</v>
      </c>
      <c r="P156" s="40">
        <f t="shared" si="20"/>
        <v>-11220.724551840625</v>
      </c>
    </row>
    <row r="157" spans="1:16" hidden="1" x14ac:dyDescent="0.25">
      <c r="A157" s="51">
        <v>46225</v>
      </c>
      <c r="B157" s="9" t="s">
        <v>33</v>
      </c>
      <c r="C157" s="51">
        <v>46231</v>
      </c>
      <c r="D157" s="9" t="s">
        <v>30</v>
      </c>
      <c r="E157" s="9" t="s">
        <v>32</v>
      </c>
      <c r="F157" s="13">
        <v>14000</v>
      </c>
      <c r="G157" s="39">
        <v>360</v>
      </c>
      <c r="H157" s="45">
        <v>4.3499999999999996</v>
      </c>
      <c r="I157" s="45">
        <v>4.28</v>
      </c>
      <c r="J157" s="40">
        <f t="shared" si="14"/>
        <v>-6.9999999999999396E-2</v>
      </c>
      <c r="K157" s="40">
        <f t="shared" si="15"/>
        <v>-25.199999999999783</v>
      </c>
      <c r="L157" s="40">
        <f t="shared" si="16"/>
        <v>1540.8000000000002</v>
      </c>
      <c r="M157" s="40">
        <f t="shared" si="17"/>
        <v>1565.9999999999998</v>
      </c>
      <c r="N157" s="40">
        <f t="shared" si="18"/>
        <v>3106.8</v>
      </c>
      <c r="O157" s="40">
        <f t="shared" si="19"/>
        <v>0.41631120000000005</v>
      </c>
      <c r="P157" s="40">
        <f t="shared" si="20"/>
        <v>-25.616311199999782</v>
      </c>
    </row>
    <row r="158" spans="1:16" hidden="1" x14ac:dyDescent="0.25">
      <c r="A158" s="51">
        <v>46225</v>
      </c>
      <c r="B158" s="9" t="s">
        <v>33</v>
      </c>
      <c r="C158" s="51">
        <v>46231</v>
      </c>
      <c r="D158" s="9" t="s">
        <v>30</v>
      </c>
      <c r="E158" s="9" t="s">
        <v>32</v>
      </c>
      <c r="F158" s="13">
        <v>14200</v>
      </c>
      <c r="G158" s="39">
        <v>8400</v>
      </c>
      <c r="H158" s="45">
        <v>10.130000000000001</v>
      </c>
      <c r="I158" s="45">
        <v>41.87</v>
      </c>
      <c r="J158" s="40">
        <f t="shared" si="14"/>
        <v>31.739999999999995</v>
      </c>
      <c r="K158" s="40">
        <f t="shared" si="15"/>
        <v>266615.99999999994</v>
      </c>
      <c r="L158" s="40">
        <f t="shared" si="16"/>
        <v>351708</v>
      </c>
      <c r="M158" s="40">
        <f t="shared" si="17"/>
        <v>85092</v>
      </c>
      <c r="N158" s="40">
        <f t="shared" si="18"/>
        <v>436800</v>
      </c>
      <c r="O158" s="40">
        <f t="shared" si="19"/>
        <v>58.531200000000005</v>
      </c>
      <c r="P158" s="40">
        <f t="shared" si="20"/>
        <v>266557.46879999992</v>
      </c>
    </row>
    <row r="159" spans="1:16" hidden="1" x14ac:dyDescent="0.25">
      <c r="A159" s="51">
        <v>46225</v>
      </c>
      <c r="B159" s="9" t="s">
        <v>33</v>
      </c>
      <c r="C159" s="51">
        <v>46231</v>
      </c>
      <c r="D159" s="9" t="s">
        <v>30</v>
      </c>
      <c r="E159" s="9" t="s">
        <v>32</v>
      </c>
      <c r="F159" s="13">
        <v>14200</v>
      </c>
      <c r="G159" s="39">
        <v>1560</v>
      </c>
      <c r="H159" s="45">
        <v>10.130000000000001</v>
      </c>
      <c r="I159" s="45">
        <v>10.71</v>
      </c>
      <c r="J159" s="40">
        <f t="shared" si="14"/>
        <v>0.58000000000000007</v>
      </c>
      <c r="K159" s="40">
        <f t="shared" si="15"/>
        <v>904.80000000000007</v>
      </c>
      <c r="L159" s="40">
        <f t="shared" si="16"/>
        <v>16707.600000000002</v>
      </c>
      <c r="M159" s="40">
        <f t="shared" si="17"/>
        <v>15802.800000000001</v>
      </c>
      <c r="N159" s="40">
        <f t="shared" si="18"/>
        <v>32510.400000000001</v>
      </c>
      <c r="O159" s="40">
        <f t="shared" si="19"/>
        <v>4.3563936000000005</v>
      </c>
      <c r="P159" s="40">
        <f t="shared" si="20"/>
        <v>900.44360640000002</v>
      </c>
    </row>
    <row r="160" spans="1:16" hidden="1" x14ac:dyDescent="0.25">
      <c r="A160" s="51">
        <v>46225</v>
      </c>
      <c r="B160" s="9" t="s">
        <v>33</v>
      </c>
      <c r="C160" s="51">
        <v>46231</v>
      </c>
      <c r="D160" s="9" t="s">
        <v>28</v>
      </c>
      <c r="E160" s="9" t="s">
        <v>32</v>
      </c>
      <c r="F160" s="13">
        <v>14700</v>
      </c>
      <c r="G160" s="39">
        <v>6600</v>
      </c>
      <c r="H160" s="45">
        <v>117.87</v>
      </c>
      <c r="I160" s="45">
        <v>311.51</v>
      </c>
      <c r="J160" s="40">
        <f t="shared" si="14"/>
        <v>-193.64</v>
      </c>
      <c r="K160" s="40">
        <f t="shared" si="15"/>
        <v>-1278024</v>
      </c>
      <c r="L160" s="40">
        <f t="shared" si="16"/>
        <v>777942</v>
      </c>
      <c r="M160" s="40">
        <f t="shared" si="17"/>
        <v>2055966</v>
      </c>
      <c r="N160" s="40">
        <f t="shared" si="18"/>
        <v>2833908</v>
      </c>
      <c r="O160" s="40">
        <f t="shared" si="19"/>
        <v>379.743672</v>
      </c>
      <c r="P160" s="40">
        <f t="shared" si="20"/>
        <v>-1278403.743672</v>
      </c>
    </row>
    <row r="161" spans="1:16" hidden="1" x14ac:dyDescent="0.25">
      <c r="A161" s="51">
        <v>46225</v>
      </c>
      <c r="B161" s="9" t="s">
        <v>31</v>
      </c>
      <c r="C161" s="51">
        <v>46231</v>
      </c>
      <c r="D161" s="9" t="s">
        <v>28</v>
      </c>
      <c r="E161" s="9" t="s">
        <v>29</v>
      </c>
      <c r="F161" s="13">
        <v>23800</v>
      </c>
      <c r="G161" s="39">
        <v>3575</v>
      </c>
      <c r="H161" s="45">
        <v>257.69</v>
      </c>
      <c r="I161" s="45">
        <v>148.74</v>
      </c>
      <c r="J161" s="40">
        <f t="shared" si="14"/>
        <v>108.94999999999999</v>
      </c>
      <c r="K161" s="40">
        <f t="shared" si="15"/>
        <v>389496.24999999994</v>
      </c>
      <c r="L161" s="40">
        <f t="shared" si="16"/>
        <v>921241.75</v>
      </c>
      <c r="M161" s="40">
        <f t="shared" si="17"/>
        <v>531745.5</v>
      </c>
      <c r="N161" s="40">
        <f t="shared" si="18"/>
        <v>1452987.25</v>
      </c>
      <c r="O161" s="40">
        <f t="shared" si="19"/>
        <v>194.70029150000002</v>
      </c>
      <c r="P161" s="40">
        <f t="shared" si="20"/>
        <v>389301.54970849992</v>
      </c>
    </row>
    <row r="162" spans="1:16" hidden="1" x14ac:dyDescent="0.25">
      <c r="A162" s="51">
        <v>46225</v>
      </c>
      <c r="B162" s="9" t="s">
        <v>31</v>
      </c>
      <c r="C162" s="51">
        <v>46231</v>
      </c>
      <c r="D162" s="9" t="s">
        <v>30</v>
      </c>
      <c r="E162" s="9" t="s">
        <v>29</v>
      </c>
      <c r="F162" s="13">
        <v>24600</v>
      </c>
      <c r="G162" s="39">
        <v>3575</v>
      </c>
      <c r="H162" s="45">
        <v>11.66</v>
      </c>
      <c r="I162" s="45">
        <v>5.2</v>
      </c>
      <c r="J162" s="40">
        <f t="shared" si="14"/>
        <v>-6.46</v>
      </c>
      <c r="K162" s="40">
        <f t="shared" si="15"/>
        <v>-23094.5</v>
      </c>
      <c r="L162" s="40">
        <f t="shared" si="16"/>
        <v>18590</v>
      </c>
      <c r="M162" s="40">
        <f t="shared" si="17"/>
        <v>41684.5</v>
      </c>
      <c r="N162" s="40">
        <f t="shared" si="18"/>
        <v>60274.5</v>
      </c>
      <c r="O162" s="40">
        <f t="shared" si="19"/>
        <v>8.0767830000000007</v>
      </c>
      <c r="P162" s="40">
        <f t="shared" si="20"/>
        <v>-23102.576783</v>
      </c>
    </row>
    <row r="163" spans="1:16" hidden="1" x14ac:dyDescent="0.25">
      <c r="A163" s="51">
        <v>46225</v>
      </c>
      <c r="B163" s="9" t="s">
        <v>31</v>
      </c>
      <c r="C163" s="51">
        <v>46231</v>
      </c>
      <c r="D163" s="9" t="s">
        <v>28</v>
      </c>
      <c r="E163" s="9" t="s">
        <v>29</v>
      </c>
      <c r="F163" s="13">
        <v>24000</v>
      </c>
      <c r="G163" s="39">
        <v>3640</v>
      </c>
      <c r="H163" s="45">
        <v>168.63</v>
      </c>
      <c r="I163" s="45">
        <v>143.81</v>
      </c>
      <c r="J163" s="40">
        <f t="shared" si="14"/>
        <v>24.819999999999993</v>
      </c>
      <c r="K163" s="40">
        <f t="shared" si="15"/>
        <v>90344.799999999974</v>
      </c>
      <c r="L163" s="40">
        <f t="shared" si="16"/>
        <v>613813.19999999995</v>
      </c>
      <c r="M163" s="40">
        <f t="shared" si="17"/>
        <v>523468.4</v>
      </c>
      <c r="N163" s="40">
        <f t="shared" si="18"/>
        <v>1137281.6000000001</v>
      </c>
      <c r="O163" s="40">
        <f t="shared" si="19"/>
        <v>152.39573440000001</v>
      </c>
      <c r="P163" s="40">
        <f t="shared" si="20"/>
        <v>90192.40426559998</v>
      </c>
    </row>
    <row r="164" spans="1:16" hidden="1" x14ac:dyDescent="0.25">
      <c r="A164" s="51">
        <v>46226</v>
      </c>
      <c r="B164" s="9" t="s">
        <v>31</v>
      </c>
      <c r="C164" s="51">
        <v>46231</v>
      </c>
      <c r="D164" s="9" t="s">
        <v>28</v>
      </c>
      <c r="E164" s="9" t="s">
        <v>29</v>
      </c>
      <c r="F164" s="13">
        <v>23800</v>
      </c>
      <c r="G164" s="39">
        <v>27430</v>
      </c>
      <c r="H164" s="45">
        <v>215.15</v>
      </c>
      <c r="I164" s="45">
        <v>148.74</v>
      </c>
      <c r="J164" s="40">
        <f t="shared" si="14"/>
        <v>66.41</v>
      </c>
      <c r="K164" s="40">
        <f t="shared" si="15"/>
        <v>1821626.2999999998</v>
      </c>
      <c r="L164" s="40">
        <f t="shared" si="16"/>
        <v>5901564.5</v>
      </c>
      <c r="M164" s="40">
        <f t="shared" si="17"/>
        <v>4079938.2</v>
      </c>
      <c r="N164" s="40">
        <f t="shared" si="18"/>
        <v>9981502.6999999993</v>
      </c>
      <c r="O164" s="40">
        <f t="shared" si="19"/>
        <v>1337.5213618</v>
      </c>
      <c r="P164" s="40">
        <f t="shared" si="20"/>
        <v>1820288.7786381999</v>
      </c>
    </row>
    <row r="165" spans="1:16" hidden="1" x14ac:dyDescent="0.25">
      <c r="A165" s="51">
        <v>46226</v>
      </c>
      <c r="B165" s="9" t="s">
        <v>33</v>
      </c>
      <c r="C165" s="51">
        <v>46231</v>
      </c>
      <c r="D165" s="9" t="s">
        <v>28</v>
      </c>
      <c r="E165" s="9" t="s">
        <v>32</v>
      </c>
      <c r="F165" s="13">
        <v>14600</v>
      </c>
      <c r="G165" s="39">
        <v>55920</v>
      </c>
      <c r="H165" s="45">
        <v>134.49</v>
      </c>
      <c r="I165" s="45">
        <v>216.31</v>
      </c>
      <c r="J165" s="40">
        <f t="shared" si="14"/>
        <v>-81.819999999999993</v>
      </c>
      <c r="K165" s="40">
        <f t="shared" si="15"/>
        <v>-4575374.3999999994</v>
      </c>
      <c r="L165" s="40">
        <f t="shared" si="16"/>
        <v>7520680.8000000007</v>
      </c>
      <c r="M165" s="40">
        <f t="shared" si="17"/>
        <v>12096055.199999999</v>
      </c>
      <c r="N165" s="40">
        <f t="shared" si="18"/>
        <v>19616736</v>
      </c>
      <c r="O165" s="40">
        <f t="shared" si="19"/>
        <v>2628.6426240000001</v>
      </c>
      <c r="P165" s="40">
        <f t="shared" si="20"/>
        <v>-4578003.0426239995</v>
      </c>
    </row>
    <row r="166" spans="1:16" hidden="1" x14ac:dyDescent="0.25">
      <c r="A166" s="51">
        <v>46226</v>
      </c>
      <c r="B166" s="9" t="s">
        <v>33</v>
      </c>
      <c r="C166" s="51">
        <v>46231</v>
      </c>
      <c r="D166" s="9" t="s">
        <v>30</v>
      </c>
      <c r="E166" s="9" t="s">
        <v>32</v>
      </c>
      <c r="F166" s="13">
        <v>14200</v>
      </c>
      <c r="G166" s="39">
        <v>48240</v>
      </c>
      <c r="H166" s="45">
        <v>13.57</v>
      </c>
      <c r="I166" s="45">
        <v>41.87</v>
      </c>
      <c r="J166" s="40">
        <f t="shared" si="14"/>
        <v>28.299999999999997</v>
      </c>
      <c r="K166" s="40">
        <f t="shared" si="15"/>
        <v>1365191.9999999998</v>
      </c>
      <c r="L166" s="40">
        <f t="shared" si="16"/>
        <v>2019808.7999999998</v>
      </c>
      <c r="M166" s="40">
        <f t="shared" si="17"/>
        <v>654616.80000000005</v>
      </c>
      <c r="N166" s="40">
        <f t="shared" si="18"/>
        <v>2674425.5999999996</v>
      </c>
      <c r="O166" s="40">
        <f t="shared" si="19"/>
        <v>358.37303039999995</v>
      </c>
      <c r="P166" s="40">
        <f t="shared" si="20"/>
        <v>1364833.6269695999</v>
      </c>
    </row>
    <row r="167" spans="1:16" hidden="1" x14ac:dyDescent="0.25">
      <c r="A167" s="51">
        <v>46226</v>
      </c>
      <c r="B167" s="9" t="s">
        <v>31</v>
      </c>
      <c r="C167" s="51">
        <v>46231</v>
      </c>
      <c r="D167" s="9" t="s">
        <v>30</v>
      </c>
      <c r="E167" s="9" t="s">
        <v>29</v>
      </c>
      <c r="F167" s="13">
        <v>24400</v>
      </c>
      <c r="G167" s="39">
        <v>28600</v>
      </c>
      <c r="H167" s="45">
        <v>17.489999999999998</v>
      </c>
      <c r="I167" s="45">
        <v>10.75</v>
      </c>
      <c r="J167" s="40">
        <f t="shared" si="14"/>
        <v>-6.7399999999999984</v>
      </c>
      <c r="K167" s="40">
        <f t="shared" si="15"/>
        <v>-192763.99999999994</v>
      </c>
      <c r="L167" s="40">
        <f t="shared" si="16"/>
        <v>307450</v>
      </c>
      <c r="M167" s="40">
        <f t="shared" si="17"/>
        <v>500213.99999999994</v>
      </c>
      <c r="N167" s="40">
        <f t="shared" si="18"/>
        <v>807664</v>
      </c>
      <c r="O167" s="40">
        <f t="shared" si="19"/>
        <v>108.22697600000001</v>
      </c>
      <c r="P167" s="40">
        <f t="shared" si="20"/>
        <v>-192872.22697599995</v>
      </c>
    </row>
    <row r="168" spans="1:16" hidden="1" x14ac:dyDescent="0.25">
      <c r="A168" s="51">
        <v>46226</v>
      </c>
      <c r="B168" s="9" t="s">
        <v>33</v>
      </c>
      <c r="C168" s="51">
        <v>46231</v>
      </c>
      <c r="D168" s="9" t="s">
        <v>30</v>
      </c>
      <c r="E168" s="9" t="s">
        <v>32</v>
      </c>
      <c r="F168" s="13">
        <v>14200</v>
      </c>
      <c r="G168" s="39">
        <v>480</v>
      </c>
      <c r="H168" s="45">
        <v>10.130000000000001</v>
      </c>
      <c r="I168" s="45">
        <v>10.28</v>
      </c>
      <c r="J168" s="40">
        <f t="shared" si="14"/>
        <v>0.14999999999999858</v>
      </c>
      <c r="K168" s="40">
        <f t="shared" si="15"/>
        <v>71.999999999999318</v>
      </c>
      <c r="L168" s="40">
        <f t="shared" si="16"/>
        <v>4934.3999999999996</v>
      </c>
      <c r="M168" s="40">
        <f t="shared" si="17"/>
        <v>4862.4000000000005</v>
      </c>
      <c r="N168" s="40">
        <f t="shared" si="18"/>
        <v>9796.7999999999993</v>
      </c>
      <c r="O168" s="40">
        <f t="shared" si="19"/>
        <v>1.3127712</v>
      </c>
      <c r="P168" s="40">
        <f t="shared" si="20"/>
        <v>70.687228799999318</v>
      </c>
    </row>
    <row r="169" spans="1:16" hidden="1" x14ac:dyDescent="0.25">
      <c r="A169" s="51">
        <v>46226</v>
      </c>
      <c r="B169" s="9" t="s">
        <v>33</v>
      </c>
      <c r="C169" s="51">
        <v>46231</v>
      </c>
      <c r="D169" s="9" t="s">
        <v>28</v>
      </c>
      <c r="E169" s="9" t="s">
        <v>32</v>
      </c>
      <c r="F169" s="13">
        <v>14700</v>
      </c>
      <c r="G169" s="39">
        <v>1800</v>
      </c>
      <c r="H169" s="45">
        <v>308.81</v>
      </c>
      <c r="I169" s="45">
        <v>311.51</v>
      </c>
      <c r="J169" s="40">
        <f t="shared" si="14"/>
        <v>-2.6999999999999886</v>
      </c>
      <c r="K169" s="40">
        <f t="shared" si="15"/>
        <v>-4859.99999999998</v>
      </c>
      <c r="L169" s="40">
        <f t="shared" si="16"/>
        <v>555858</v>
      </c>
      <c r="M169" s="40">
        <f t="shared" si="17"/>
        <v>560718</v>
      </c>
      <c r="N169" s="40">
        <f t="shared" si="18"/>
        <v>1116576</v>
      </c>
      <c r="O169" s="40">
        <f t="shared" si="19"/>
        <v>149.621184</v>
      </c>
      <c r="P169" s="40">
        <f t="shared" si="20"/>
        <v>-5009.6211839999796</v>
      </c>
    </row>
    <row r="170" spans="1:16" hidden="1" x14ac:dyDescent="0.25">
      <c r="A170" s="51">
        <v>46226</v>
      </c>
      <c r="B170" s="9" t="s">
        <v>33</v>
      </c>
      <c r="C170" s="51">
        <v>46231</v>
      </c>
      <c r="D170" s="9" t="s">
        <v>28</v>
      </c>
      <c r="E170" s="9" t="s">
        <v>29</v>
      </c>
      <c r="F170" s="13">
        <v>14500</v>
      </c>
      <c r="G170" s="39">
        <v>120000</v>
      </c>
      <c r="H170" s="45">
        <v>62.67</v>
      </c>
      <c r="I170" s="45">
        <v>28.92</v>
      </c>
      <c r="J170" s="40">
        <f t="shared" si="14"/>
        <v>33.75</v>
      </c>
      <c r="K170" s="40">
        <f t="shared" si="15"/>
        <v>4050000</v>
      </c>
      <c r="L170" s="40">
        <f t="shared" si="16"/>
        <v>7520400</v>
      </c>
      <c r="M170" s="40">
        <f t="shared" si="17"/>
        <v>3470400</v>
      </c>
      <c r="N170" s="40">
        <f t="shared" si="18"/>
        <v>10990800</v>
      </c>
      <c r="O170" s="40">
        <f t="shared" si="19"/>
        <v>1472.7672</v>
      </c>
      <c r="P170" s="40">
        <f t="shared" si="20"/>
        <v>4048527.2327999999</v>
      </c>
    </row>
    <row r="171" spans="1:16" hidden="1" x14ac:dyDescent="0.25">
      <c r="A171" s="51">
        <v>46226</v>
      </c>
      <c r="B171" s="9" t="s">
        <v>33</v>
      </c>
      <c r="C171" s="51">
        <v>46231</v>
      </c>
      <c r="D171" s="9" t="s">
        <v>30</v>
      </c>
      <c r="E171" s="9" t="s">
        <v>29</v>
      </c>
      <c r="F171" s="13">
        <v>14800</v>
      </c>
      <c r="G171" s="39">
        <v>119520</v>
      </c>
      <c r="H171" s="45">
        <v>13.4</v>
      </c>
      <c r="I171" s="45">
        <v>0.78</v>
      </c>
      <c r="J171" s="40">
        <f t="shared" si="14"/>
        <v>-12.620000000000001</v>
      </c>
      <c r="K171" s="40">
        <f t="shared" si="15"/>
        <v>-1508342.4000000001</v>
      </c>
      <c r="L171" s="40">
        <f t="shared" si="16"/>
        <v>93225.600000000006</v>
      </c>
      <c r="M171" s="40">
        <f t="shared" si="17"/>
        <v>1601568</v>
      </c>
      <c r="N171" s="40">
        <f t="shared" si="18"/>
        <v>1694793.6</v>
      </c>
      <c r="O171" s="40">
        <f t="shared" si="19"/>
        <v>227.10234240000003</v>
      </c>
      <c r="P171" s="40">
        <f t="shared" si="20"/>
        <v>-1508569.5023424001</v>
      </c>
    </row>
    <row r="172" spans="1:16" hidden="1" x14ac:dyDescent="0.25">
      <c r="A172" s="51">
        <v>46226</v>
      </c>
      <c r="B172" s="9" t="s">
        <v>33</v>
      </c>
      <c r="C172" s="51">
        <v>46231</v>
      </c>
      <c r="D172" s="9" t="s">
        <v>30</v>
      </c>
      <c r="E172" s="9" t="s">
        <v>29</v>
      </c>
      <c r="F172" s="13">
        <v>14800</v>
      </c>
      <c r="G172" s="39">
        <v>4440</v>
      </c>
      <c r="H172" s="45">
        <v>13.4</v>
      </c>
      <c r="I172" s="45">
        <v>12.6</v>
      </c>
      <c r="J172" s="40">
        <f t="shared" si="14"/>
        <v>-0.80000000000000071</v>
      </c>
      <c r="K172" s="40">
        <f t="shared" si="15"/>
        <v>-3552.0000000000032</v>
      </c>
      <c r="L172" s="40">
        <f t="shared" si="16"/>
        <v>55944</v>
      </c>
      <c r="M172" s="40">
        <f t="shared" si="17"/>
        <v>59496</v>
      </c>
      <c r="N172" s="40">
        <f t="shared" si="18"/>
        <v>115440</v>
      </c>
      <c r="O172" s="40">
        <f t="shared" si="19"/>
        <v>15.468960000000001</v>
      </c>
      <c r="P172" s="40">
        <f t="shared" si="20"/>
        <v>-3567.4689600000033</v>
      </c>
    </row>
    <row r="173" spans="1:16" hidden="1" x14ac:dyDescent="0.25">
      <c r="A173" s="51">
        <v>46227</v>
      </c>
      <c r="B173" s="9" t="s">
        <v>33</v>
      </c>
      <c r="C173" s="51">
        <v>46231</v>
      </c>
      <c r="D173" s="9" t="s">
        <v>30</v>
      </c>
      <c r="E173" s="9" t="s">
        <v>29</v>
      </c>
      <c r="F173" s="13">
        <v>14800</v>
      </c>
      <c r="G173" s="39">
        <v>600</v>
      </c>
      <c r="H173" s="45">
        <v>13.4</v>
      </c>
      <c r="I173" s="45">
        <v>5.93</v>
      </c>
      <c r="J173" s="40">
        <f t="shared" si="14"/>
        <v>-7.4700000000000006</v>
      </c>
      <c r="K173" s="40">
        <f t="shared" si="15"/>
        <v>-4482</v>
      </c>
      <c r="L173" s="40">
        <f t="shared" si="16"/>
        <v>3558</v>
      </c>
      <c r="M173" s="40">
        <f t="shared" si="17"/>
        <v>8040</v>
      </c>
      <c r="N173" s="40">
        <f t="shared" si="18"/>
        <v>11598</v>
      </c>
      <c r="O173" s="40">
        <f t="shared" si="19"/>
        <v>1.5541320000000001</v>
      </c>
      <c r="P173" s="40">
        <f t="shared" si="20"/>
        <v>-4483.5541320000002</v>
      </c>
    </row>
    <row r="174" spans="1:16" hidden="1" x14ac:dyDescent="0.25">
      <c r="A174" s="51">
        <v>46227</v>
      </c>
      <c r="B174" s="9" t="s">
        <v>33</v>
      </c>
      <c r="C174" s="51">
        <v>46231</v>
      </c>
      <c r="D174" s="9" t="s">
        <v>28</v>
      </c>
      <c r="E174" s="9" t="s">
        <v>29</v>
      </c>
      <c r="F174" s="13">
        <v>14700</v>
      </c>
      <c r="G174" s="39">
        <v>600</v>
      </c>
      <c r="H174" s="45">
        <v>8.48</v>
      </c>
      <c r="I174" s="45">
        <v>8.51</v>
      </c>
      <c r="J174" s="40">
        <f t="shared" si="14"/>
        <v>-2.9999999999999361E-2</v>
      </c>
      <c r="K174" s="40">
        <f t="shared" si="15"/>
        <v>-17.999999999999616</v>
      </c>
      <c r="L174" s="40">
        <f t="shared" si="16"/>
        <v>5088</v>
      </c>
      <c r="M174" s="40">
        <f t="shared" si="17"/>
        <v>5106</v>
      </c>
      <c r="N174" s="40">
        <f t="shared" si="18"/>
        <v>10194</v>
      </c>
      <c r="O174" s="40">
        <f t="shared" si="19"/>
        <v>1.365996</v>
      </c>
      <c r="P174" s="40">
        <f t="shared" si="20"/>
        <v>-19.365995999999615</v>
      </c>
    </row>
    <row r="175" spans="1:16" hidden="1" x14ac:dyDescent="0.25">
      <c r="A175" s="51">
        <v>46227</v>
      </c>
      <c r="B175" s="9" t="s">
        <v>33</v>
      </c>
      <c r="C175" s="51">
        <v>46231</v>
      </c>
      <c r="D175" s="9" t="s">
        <v>30</v>
      </c>
      <c r="E175" s="9" t="s">
        <v>29</v>
      </c>
      <c r="F175" s="13">
        <v>14400</v>
      </c>
      <c r="G175" s="39">
        <v>120</v>
      </c>
      <c r="H175" s="45">
        <v>54</v>
      </c>
      <c r="I175" s="45">
        <v>54.25</v>
      </c>
      <c r="J175" s="40">
        <f t="shared" si="14"/>
        <v>0.25</v>
      </c>
      <c r="K175" s="40">
        <f t="shared" si="15"/>
        <v>30</v>
      </c>
      <c r="L175" s="40">
        <f t="shared" si="16"/>
        <v>6510</v>
      </c>
      <c r="M175" s="40">
        <f t="shared" si="17"/>
        <v>6480</v>
      </c>
      <c r="N175" s="40">
        <f t="shared" si="18"/>
        <v>12990</v>
      </c>
      <c r="O175" s="40">
        <f t="shared" si="19"/>
        <v>1.7406600000000001</v>
      </c>
      <c r="P175" s="40">
        <f t="shared" si="20"/>
        <v>28.259340000000002</v>
      </c>
    </row>
    <row r="176" spans="1:16" hidden="1" x14ac:dyDescent="0.25">
      <c r="A176" s="51">
        <v>46227</v>
      </c>
      <c r="B176" s="9" t="s">
        <v>33</v>
      </c>
      <c r="C176" s="51">
        <v>46231</v>
      </c>
      <c r="D176" s="9" t="s">
        <v>28</v>
      </c>
      <c r="E176" s="9" t="s">
        <v>29</v>
      </c>
      <c r="F176" s="13">
        <v>14400</v>
      </c>
      <c r="G176" s="39">
        <v>127080</v>
      </c>
      <c r="H176" s="45">
        <v>54.25</v>
      </c>
      <c r="I176" s="45">
        <v>202.41</v>
      </c>
      <c r="J176" s="40">
        <f t="shared" si="14"/>
        <v>-148.16</v>
      </c>
      <c r="K176" s="40">
        <f t="shared" si="15"/>
        <v>-18828172.800000001</v>
      </c>
      <c r="L176" s="40">
        <f t="shared" si="16"/>
        <v>6894090</v>
      </c>
      <c r="M176" s="40">
        <f t="shared" si="17"/>
        <v>25722262.800000001</v>
      </c>
      <c r="N176" s="40">
        <f t="shared" si="18"/>
        <v>32616352.800000001</v>
      </c>
      <c r="O176" s="40">
        <f t="shared" si="19"/>
        <v>4370.5912752000004</v>
      </c>
      <c r="P176" s="40">
        <f t="shared" si="20"/>
        <v>-18832543.391275201</v>
      </c>
    </row>
    <row r="177" spans="1:16" hidden="1" x14ac:dyDescent="0.25">
      <c r="A177" s="51">
        <v>46227</v>
      </c>
      <c r="B177" s="9" t="s">
        <v>33</v>
      </c>
      <c r="C177" s="51">
        <v>46231</v>
      </c>
      <c r="D177" s="9" t="s">
        <v>30</v>
      </c>
      <c r="E177" s="9" t="s">
        <v>29</v>
      </c>
      <c r="F177" s="13">
        <v>14700</v>
      </c>
      <c r="G177" s="39">
        <v>29400</v>
      </c>
      <c r="H177" s="45">
        <v>8.51</v>
      </c>
      <c r="I177" s="45">
        <v>1.68</v>
      </c>
      <c r="J177" s="40">
        <f t="shared" si="14"/>
        <v>-6.83</v>
      </c>
      <c r="K177" s="40">
        <f t="shared" si="15"/>
        <v>-200802</v>
      </c>
      <c r="L177" s="40">
        <f t="shared" si="16"/>
        <v>49392</v>
      </c>
      <c r="M177" s="40">
        <f t="shared" si="17"/>
        <v>250194</v>
      </c>
      <c r="N177" s="40">
        <f t="shared" si="18"/>
        <v>299586</v>
      </c>
      <c r="O177" s="40">
        <f t="shared" si="19"/>
        <v>40.144524000000004</v>
      </c>
      <c r="P177" s="40">
        <f t="shared" si="20"/>
        <v>-200842.144524</v>
      </c>
    </row>
    <row r="178" spans="1:16" hidden="1" x14ac:dyDescent="0.25">
      <c r="A178" s="51">
        <v>46227</v>
      </c>
      <c r="B178" s="9" t="s">
        <v>33</v>
      </c>
      <c r="C178" s="51">
        <v>46231</v>
      </c>
      <c r="D178" s="9" t="s">
        <v>30</v>
      </c>
      <c r="E178" s="9" t="s">
        <v>29</v>
      </c>
      <c r="F178" s="13">
        <v>14800</v>
      </c>
      <c r="G178" s="39">
        <v>7080</v>
      </c>
      <c r="H178" s="45">
        <v>5.12</v>
      </c>
      <c r="I178" s="45">
        <v>0.78</v>
      </c>
      <c r="J178" s="40">
        <f t="shared" si="14"/>
        <v>-4.34</v>
      </c>
      <c r="K178" s="40">
        <f t="shared" si="15"/>
        <v>-30727.200000000001</v>
      </c>
      <c r="L178" s="40">
        <f t="shared" si="16"/>
        <v>5522.4000000000005</v>
      </c>
      <c r="M178" s="40">
        <f t="shared" si="17"/>
        <v>36249.599999999999</v>
      </c>
      <c r="N178" s="40">
        <f t="shared" si="18"/>
        <v>41772</v>
      </c>
      <c r="O178" s="40">
        <f t="shared" si="19"/>
        <v>5.597448</v>
      </c>
      <c r="P178" s="40">
        <f t="shared" si="20"/>
        <v>-30732.797448000001</v>
      </c>
    </row>
    <row r="179" spans="1:16" hidden="1" x14ac:dyDescent="0.25">
      <c r="A179" s="51">
        <v>46230</v>
      </c>
      <c r="B179" s="9" t="s">
        <v>33</v>
      </c>
      <c r="C179" s="51">
        <v>46231</v>
      </c>
      <c r="D179" s="9" t="s">
        <v>30</v>
      </c>
      <c r="E179" s="9" t="s">
        <v>29</v>
      </c>
      <c r="F179" s="13">
        <v>14800</v>
      </c>
      <c r="G179" s="39">
        <v>240</v>
      </c>
      <c r="H179" s="45">
        <v>13.4</v>
      </c>
      <c r="I179" s="45">
        <v>7.7</v>
      </c>
      <c r="J179" s="40">
        <f t="shared" si="14"/>
        <v>-5.7</v>
      </c>
      <c r="K179" s="40">
        <f t="shared" si="15"/>
        <v>-1368</v>
      </c>
      <c r="L179" s="40">
        <f t="shared" si="16"/>
        <v>1848</v>
      </c>
      <c r="M179" s="40">
        <f t="shared" si="17"/>
        <v>3216</v>
      </c>
      <c r="N179" s="40">
        <f t="shared" si="18"/>
        <v>5064</v>
      </c>
      <c r="O179" s="40">
        <f t="shared" si="19"/>
        <v>0.67857600000000007</v>
      </c>
      <c r="P179" s="40">
        <f t="shared" si="20"/>
        <v>-1368.678576</v>
      </c>
    </row>
    <row r="180" spans="1:16" hidden="1" x14ac:dyDescent="0.25">
      <c r="A180" s="51">
        <v>46230</v>
      </c>
      <c r="B180" s="9" t="s">
        <v>33</v>
      </c>
      <c r="C180" s="51">
        <v>46231</v>
      </c>
      <c r="D180" s="9" t="s">
        <v>30</v>
      </c>
      <c r="E180" s="9" t="s">
        <v>29</v>
      </c>
      <c r="F180" s="13">
        <v>14700</v>
      </c>
      <c r="G180" s="39">
        <v>17760</v>
      </c>
      <c r="H180" s="45">
        <v>18.95</v>
      </c>
      <c r="I180" s="45">
        <v>1.68</v>
      </c>
      <c r="J180" s="40">
        <f t="shared" si="14"/>
        <v>-17.27</v>
      </c>
      <c r="K180" s="40">
        <f t="shared" si="15"/>
        <v>-306715.2</v>
      </c>
      <c r="L180" s="40">
        <f t="shared" si="16"/>
        <v>29836.799999999999</v>
      </c>
      <c r="M180" s="40">
        <f t="shared" si="17"/>
        <v>336552</v>
      </c>
      <c r="N180" s="40">
        <f t="shared" si="18"/>
        <v>366388.8</v>
      </c>
      <c r="O180" s="40">
        <f t="shared" si="19"/>
        <v>49.096099199999998</v>
      </c>
      <c r="P180" s="40">
        <f t="shared" si="20"/>
        <v>-306764.29609920003</v>
      </c>
    </row>
    <row r="181" spans="1:16" x14ac:dyDescent="0.25">
      <c r="A181" s="51">
        <v>46231</v>
      </c>
      <c r="B181" s="9" t="s">
        <v>34</v>
      </c>
      <c r="C181" s="51">
        <v>46259</v>
      </c>
      <c r="D181" s="9" t="s">
        <v>28</v>
      </c>
      <c r="E181" s="9" t="s">
        <v>29</v>
      </c>
      <c r="F181" s="13">
        <v>56000</v>
      </c>
      <c r="G181" s="39">
        <v>14940</v>
      </c>
      <c r="H181" s="45">
        <v>1625.37</v>
      </c>
      <c r="I181" s="15">
        <v>1842.1</v>
      </c>
      <c r="J181" s="40">
        <f t="shared" si="14"/>
        <v>-216.73000000000002</v>
      </c>
      <c r="K181" s="40">
        <f t="shared" si="15"/>
        <v>-3237946.2</v>
      </c>
      <c r="L181" s="40">
        <f t="shared" si="16"/>
        <v>24283027.799999997</v>
      </c>
      <c r="M181" s="40">
        <f t="shared" si="17"/>
        <v>27520974</v>
      </c>
      <c r="N181" s="40">
        <f t="shared" si="18"/>
        <v>51804001.799999997</v>
      </c>
      <c r="O181" s="40">
        <f t="shared" si="19"/>
        <v>6941.7362412000002</v>
      </c>
      <c r="P181" s="40">
        <f t="shared" si="20"/>
        <v>-3244887.9362412002</v>
      </c>
    </row>
    <row r="182" spans="1:16" x14ac:dyDescent="0.25">
      <c r="A182" s="51">
        <v>46231</v>
      </c>
      <c r="B182" s="9" t="s">
        <v>33</v>
      </c>
      <c r="C182" s="51">
        <v>46259</v>
      </c>
      <c r="D182" s="9" t="s">
        <v>28</v>
      </c>
      <c r="E182" s="9" t="s">
        <v>29</v>
      </c>
      <c r="F182" s="13">
        <v>14400</v>
      </c>
      <c r="G182" s="39">
        <v>26280</v>
      </c>
      <c r="H182" s="45">
        <v>398.32</v>
      </c>
      <c r="I182" s="15">
        <v>600.70000000000005</v>
      </c>
      <c r="J182" s="40">
        <f t="shared" si="14"/>
        <v>-202.38000000000005</v>
      </c>
      <c r="K182" s="40">
        <f t="shared" si="15"/>
        <v>-5318546.4000000013</v>
      </c>
      <c r="L182" s="40">
        <f t="shared" si="16"/>
        <v>10467849.6</v>
      </c>
      <c r="M182" s="40">
        <f t="shared" si="17"/>
        <v>15786396.000000002</v>
      </c>
      <c r="N182" s="40">
        <f t="shared" si="18"/>
        <v>26254245.600000001</v>
      </c>
      <c r="O182" s="40">
        <f t="shared" si="19"/>
        <v>3518.0689104000003</v>
      </c>
      <c r="P182" s="40">
        <f t="shared" si="20"/>
        <v>-5322064.4689104017</v>
      </c>
    </row>
    <row r="183" spans="1:16" x14ac:dyDescent="0.25">
      <c r="A183" s="51">
        <v>46231</v>
      </c>
      <c r="B183" s="9" t="s">
        <v>34</v>
      </c>
      <c r="C183" s="51">
        <v>46259</v>
      </c>
      <c r="D183" s="9" t="s">
        <v>30</v>
      </c>
      <c r="E183" s="9" t="s">
        <v>29</v>
      </c>
      <c r="F183" s="13">
        <v>60000</v>
      </c>
      <c r="G183" s="39">
        <v>23310</v>
      </c>
      <c r="H183" s="45">
        <v>113.78</v>
      </c>
      <c r="I183" s="15">
        <v>18.7</v>
      </c>
      <c r="J183" s="40">
        <f t="shared" si="14"/>
        <v>-95.08</v>
      </c>
      <c r="K183" s="40">
        <f t="shared" si="15"/>
        <v>-2216314.7999999998</v>
      </c>
      <c r="L183" s="40">
        <f t="shared" si="16"/>
        <v>435897</v>
      </c>
      <c r="M183" s="40">
        <f t="shared" si="17"/>
        <v>2652211.7999999998</v>
      </c>
      <c r="N183" s="40">
        <f t="shared" si="18"/>
        <v>3088108.8</v>
      </c>
      <c r="O183" s="40">
        <f t="shared" si="19"/>
        <v>413.80657919999999</v>
      </c>
      <c r="P183" s="40">
        <f t="shared" si="20"/>
        <v>-2216728.6065791999</v>
      </c>
    </row>
    <row r="184" spans="1:16" hidden="1" x14ac:dyDescent="0.25">
      <c r="A184" s="51">
        <v>46231</v>
      </c>
      <c r="B184" s="9" t="s">
        <v>34</v>
      </c>
      <c r="C184" s="51">
        <v>46259</v>
      </c>
      <c r="D184" s="9" t="s">
        <v>30</v>
      </c>
      <c r="E184" s="9" t="s">
        <v>29</v>
      </c>
      <c r="F184" s="13">
        <v>60000</v>
      </c>
      <c r="G184" s="39">
        <v>630</v>
      </c>
      <c r="H184" s="45">
        <v>113.78</v>
      </c>
      <c r="I184" s="45">
        <v>96.73</v>
      </c>
      <c r="J184" s="40">
        <f t="shared" si="14"/>
        <v>-17.049999999999997</v>
      </c>
      <c r="K184" s="40">
        <f t="shared" si="15"/>
        <v>-10741.499999999998</v>
      </c>
      <c r="L184" s="40">
        <f t="shared" si="16"/>
        <v>60939.9</v>
      </c>
      <c r="M184" s="40">
        <f t="shared" si="17"/>
        <v>71681.399999999994</v>
      </c>
      <c r="N184" s="40">
        <f t="shared" si="18"/>
        <v>132621.29999999999</v>
      </c>
      <c r="O184" s="40">
        <f t="shared" si="19"/>
        <v>17.771254199999998</v>
      </c>
      <c r="P184" s="40">
        <f t="shared" si="20"/>
        <v>-10759.271254199999</v>
      </c>
    </row>
    <row r="185" spans="1:16" hidden="1" x14ac:dyDescent="0.25">
      <c r="A185" s="51">
        <v>46231</v>
      </c>
      <c r="B185" s="9" t="s">
        <v>33</v>
      </c>
      <c r="C185" s="51">
        <v>46259</v>
      </c>
      <c r="D185" s="9" t="s">
        <v>30</v>
      </c>
      <c r="E185" s="9" t="s">
        <v>29</v>
      </c>
      <c r="F185" s="13">
        <v>15500</v>
      </c>
      <c r="G185" s="39">
        <v>18000</v>
      </c>
      <c r="H185" s="45">
        <v>17.420000000000002</v>
      </c>
      <c r="I185" s="45">
        <v>14.2</v>
      </c>
      <c r="J185" s="40">
        <f t="shared" si="14"/>
        <v>-3.2200000000000024</v>
      </c>
      <c r="K185" s="40">
        <f t="shared" si="15"/>
        <v>-57960.000000000044</v>
      </c>
      <c r="L185" s="40">
        <f t="shared" si="16"/>
        <v>255600</v>
      </c>
      <c r="M185" s="40">
        <f t="shared" si="17"/>
        <v>313560.00000000006</v>
      </c>
      <c r="N185" s="40">
        <f t="shared" si="18"/>
        <v>569160</v>
      </c>
      <c r="O185" s="40">
        <f t="shared" si="19"/>
        <v>76.267440000000008</v>
      </c>
      <c r="P185" s="40">
        <f t="shared" si="20"/>
        <v>-58036.267440000047</v>
      </c>
    </row>
    <row r="186" spans="1:16" hidden="1" x14ac:dyDescent="0.25">
      <c r="A186" s="51">
        <v>46232</v>
      </c>
      <c r="B186" s="9" t="s">
        <v>34</v>
      </c>
      <c r="C186" s="51">
        <v>46259</v>
      </c>
      <c r="D186" s="9" t="s">
        <v>30</v>
      </c>
      <c r="E186" s="9" t="s">
        <v>29</v>
      </c>
      <c r="F186" s="13">
        <v>60000</v>
      </c>
      <c r="G186" s="39">
        <v>5370</v>
      </c>
      <c r="H186" s="45">
        <v>113.78</v>
      </c>
      <c r="I186" s="45">
        <v>99.06</v>
      </c>
      <c r="J186" s="40">
        <f t="shared" si="14"/>
        <v>-14.719999999999999</v>
      </c>
      <c r="K186" s="40">
        <f t="shared" si="15"/>
        <v>-79046.399999999994</v>
      </c>
      <c r="L186" s="40">
        <f t="shared" si="16"/>
        <v>531952.20000000007</v>
      </c>
      <c r="M186" s="40">
        <f t="shared" si="17"/>
        <v>610998.6</v>
      </c>
      <c r="N186" s="40">
        <f t="shared" si="18"/>
        <v>1142950.8</v>
      </c>
      <c r="O186" s="40">
        <f t="shared" si="19"/>
        <v>153.15540720000001</v>
      </c>
      <c r="P186" s="40">
        <f t="shared" si="20"/>
        <v>-79199.555407199994</v>
      </c>
    </row>
    <row r="187" spans="1:16" hidden="1" x14ac:dyDescent="0.25">
      <c r="A187" s="51">
        <v>46232</v>
      </c>
      <c r="B187" s="9" t="s">
        <v>33</v>
      </c>
      <c r="C187" s="51">
        <v>46259</v>
      </c>
      <c r="D187" s="9" t="s">
        <v>30</v>
      </c>
      <c r="E187" s="9" t="s">
        <v>29</v>
      </c>
      <c r="F187" s="13">
        <v>15500</v>
      </c>
      <c r="G187" s="39">
        <v>9240</v>
      </c>
      <c r="H187" s="45">
        <v>17.420000000000002</v>
      </c>
      <c r="I187" s="45">
        <v>13.26</v>
      </c>
      <c r="J187" s="40">
        <f t="shared" si="14"/>
        <v>-4.1600000000000019</v>
      </c>
      <c r="K187" s="40">
        <f t="shared" si="15"/>
        <v>-38438.400000000016</v>
      </c>
      <c r="L187" s="40">
        <f t="shared" si="16"/>
        <v>122522.4</v>
      </c>
      <c r="M187" s="40">
        <f t="shared" si="17"/>
        <v>160960.80000000002</v>
      </c>
      <c r="N187" s="40">
        <f t="shared" si="18"/>
        <v>283483.2</v>
      </c>
      <c r="O187" s="40">
        <f t="shared" si="19"/>
        <v>37.986748800000001</v>
      </c>
      <c r="P187" s="40">
        <f t="shared" si="20"/>
        <v>-38476.386748800018</v>
      </c>
    </row>
    <row r="188" spans="1:16" x14ac:dyDescent="0.25">
      <c r="A188" s="51">
        <v>46233</v>
      </c>
      <c r="B188" s="9" t="s">
        <v>33</v>
      </c>
      <c r="C188" s="51">
        <v>46259</v>
      </c>
      <c r="D188" s="9" t="s">
        <v>28</v>
      </c>
      <c r="E188" s="9" t="s">
        <v>29</v>
      </c>
      <c r="F188" s="13">
        <v>14400</v>
      </c>
      <c r="G188" s="39">
        <v>5520</v>
      </c>
      <c r="H188" s="45">
        <v>424.24</v>
      </c>
      <c r="I188" s="15">
        <v>600.70000000000005</v>
      </c>
      <c r="J188" s="40">
        <f t="shared" si="14"/>
        <v>-176.46000000000004</v>
      </c>
      <c r="K188" s="40">
        <f t="shared" si="15"/>
        <v>-974059.20000000019</v>
      </c>
      <c r="L188" s="40">
        <f t="shared" si="16"/>
        <v>2341804.8000000003</v>
      </c>
      <c r="M188" s="40">
        <f t="shared" si="17"/>
        <v>3315864.0000000005</v>
      </c>
      <c r="N188" s="40">
        <f t="shared" si="18"/>
        <v>5657668.8000000007</v>
      </c>
      <c r="O188" s="40">
        <f t="shared" si="19"/>
        <v>758.12761920000014</v>
      </c>
      <c r="P188" s="40">
        <f t="shared" si="20"/>
        <v>-974817.32761920022</v>
      </c>
    </row>
    <row r="189" spans="1:16" x14ac:dyDescent="0.25">
      <c r="A189" s="51">
        <v>46233</v>
      </c>
      <c r="B189" s="9" t="s">
        <v>34</v>
      </c>
      <c r="C189" s="51">
        <v>46259</v>
      </c>
      <c r="D189" s="9" t="s">
        <v>30</v>
      </c>
      <c r="E189" s="9" t="s">
        <v>29</v>
      </c>
      <c r="F189" s="13">
        <v>60000</v>
      </c>
      <c r="G189" s="39">
        <v>5880</v>
      </c>
      <c r="H189" s="45">
        <v>71.431122448979593</v>
      </c>
      <c r="I189" s="15">
        <v>18.7</v>
      </c>
      <c r="J189" s="40">
        <f t="shared" si="14"/>
        <v>-52.73112244897959</v>
      </c>
      <c r="K189" s="40">
        <f t="shared" si="15"/>
        <v>-310059</v>
      </c>
      <c r="L189" s="40">
        <f t="shared" si="16"/>
        <v>109956</v>
      </c>
      <c r="M189" s="40">
        <f t="shared" si="17"/>
        <v>420015</v>
      </c>
      <c r="N189" s="40">
        <f t="shared" si="18"/>
        <v>529971</v>
      </c>
      <c r="O189" s="40">
        <f t="shared" si="19"/>
        <v>71.016114000000002</v>
      </c>
      <c r="P189" s="40">
        <f t="shared" si="20"/>
        <v>-310130.016114</v>
      </c>
    </row>
    <row r="190" spans="1:16" hidden="1" x14ac:dyDescent="0.25">
      <c r="A190" s="51">
        <v>46233</v>
      </c>
      <c r="B190" s="9" t="s">
        <v>34</v>
      </c>
      <c r="C190" s="51">
        <v>46259</v>
      </c>
      <c r="D190" s="9" t="s">
        <v>30</v>
      </c>
      <c r="E190" s="9" t="s">
        <v>29</v>
      </c>
      <c r="F190" s="13">
        <v>60000</v>
      </c>
      <c r="G190" s="39">
        <v>180</v>
      </c>
      <c r="H190" s="45">
        <v>113.78</v>
      </c>
      <c r="I190" s="45">
        <v>70.930000000000007</v>
      </c>
      <c r="J190" s="40">
        <f t="shared" si="14"/>
        <v>-42.849999999999994</v>
      </c>
      <c r="K190" s="40">
        <f t="shared" si="15"/>
        <v>-7712.9999999999991</v>
      </c>
      <c r="L190" s="40">
        <f t="shared" si="16"/>
        <v>12767.400000000001</v>
      </c>
      <c r="M190" s="40">
        <f t="shared" si="17"/>
        <v>20480.400000000001</v>
      </c>
      <c r="N190" s="40">
        <f t="shared" si="18"/>
        <v>33247.800000000003</v>
      </c>
      <c r="O190" s="40">
        <f t="shared" si="19"/>
        <v>4.4552052000000009</v>
      </c>
      <c r="P190" s="40">
        <f t="shared" si="20"/>
        <v>-7717.455205199999</v>
      </c>
    </row>
    <row r="191" spans="1:16" x14ac:dyDescent="0.25">
      <c r="A191" s="51">
        <v>46233</v>
      </c>
      <c r="B191" s="9" t="s">
        <v>33</v>
      </c>
      <c r="C191" s="51">
        <v>46259</v>
      </c>
      <c r="D191" s="9" t="s">
        <v>30</v>
      </c>
      <c r="E191" s="9" t="s">
        <v>29</v>
      </c>
      <c r="F191" s="13">
        <v>15500</v>
      </c>
      <c r="G191" s="39">
        <v>14280</v>
      </c>
      <c r="H191" s="45">
        <v>14.94</v>
      </c>
      <c r="I191" s="15">
        <v>5.75</v>
      </c>
      <c r="J191" s="40">
        <f t="shared" si="14"/>
        <v>-9.19</v>
      </c>
      <c r="K191" s="40">
        <f t="shared" si="15"/>
        <v>-131233.19999999998</v>
      </c>
      <c r="L191" s="40">
        <f t="shared" si="16"/>
        <v>82110</v>
      </c>
      <c r="M191" s="40">
        <f t="shared" si="17"/>
        <v>213343.19999999998</v>
      </c>
      <c r="N191" s="40">
        <f t="shared" si="18"/>
        <v>295453.19999999995</v>
      </c>
      <c r="O191" s="40">
        <f t="shared" si="19"/>
        <v>39.590728799999994</v>
      </c>
      <c r="P191" s="40">
        <f t="shared" si="20"/>
        <v>-131272.79072879997</v>
      </c>
    </row>
    <row r="192" spans="1:16" hidden="1" x14ac:dyDescent="0.25">
      <c r="A192" s="51">
        <v>46233</v>
      </c>
      <c r="B192" s="9" t="s">
        <v>33</v>
      </c>
      <c r="C192" s="51">
        <v>46259</v>
      </c>
      <c r="D192" s="9" t="s">
        <v>30</v>
      </c>
      <c r="E192" s="9" t="s">
        <v>29</v>
      </c>
      <c r="F192" s="13">
        <v>15500</v>
      </c>
      <c r="G192" s="39">
        <v>1200</v>
      </c>
      <c r="H192" s="45">
        <v>17.420000000000002</v>
      </c>
      <c r="I192" s="45">
        <v>14.94</v>
      </c>
      <c r="J192" s="40">
        <f t="shared" si="14"/>
        <v>-2.4800000000000022</v>
      </c>
      <c r="K192" s="40">
        <f t="shared" si="15"/>
        <v>-2976.0000000000027</v>
      </c>
      <c r="L192" s="40">
        <f t="shared" si="16"/>
        <v>17928</v>
      </c>
      <c r="M192" s="40">
        <f t="shared" si="17"/>
        <v>20904.000000000004</v>
      </c>
      <c r="N192" s="40">
        <f t="shared" si="18"/>
        <v>38832</v>
      </c>
      <c r="O192" s="40">
        <f t="shared" si="19"/>
        <v>5.2034880000000001</v>
      </c>
      <c r="P192" s="40">
        <f t="shared" si="20"/>
        <v>-2981.2034880000028</v>
      </c>
    </row>
    <row r="193" spans="1:16" hidden="1" x14ac:dyDescent="0.25">
      <c r="A193" s="51">
        <v>46234</v>
      </c>
      <c r="B193" s="9" t="s">
        <v>34</v>
      </c>
      <c r="C193" s="51">
        <v>46259</v>
      </c>
      <c r="D193" s="9" t="s">
        <v>30</v>
      </c>
      <c r="E193" s="9" t="s">
        <v>29</v>
      </c>
      <c r="F193" s="13">
        <v>60000</v>
      </c>
      <c r="G193" s="39">
        <v>1110</v>
      </c>
      <c r="H193" s="45">
        <v>113.78</v>
      </c>
      <c r="I193" s="45">
        <v>69.64</v>
      </c>
      <c r="J193" s="40">
        <f t="shared" si="14"/>
        <v>-44.14</v>
      </c>
      <c r="K193" s="40">
        <f t="shared" si="15"/>
        <v>-48995.4</v>
      </c>
      <c r="L193" s="40">
        <f t="shared" si="16"/>
        <v>77300.399999999994</v>
      </c>
      <c r="M193" s="40">
        <f t="shared" si="17"/>
        <v>126295.8</v>
      </c>
      <c r="N193" s="40">
        <f t="shared" si="18"/>
        <v>203596.2</v>
      </c>
      <c r="O193" s="40">
        <f t="shared" si="19"/>
        <v>27.281890800000003</v>
      </c>
      <c r="P193" s="40">
        <f t="shared" si="20"/>
        <v>-49022.681890799999</v>
      </c>
    </row>
    <row r="194" spans="1:16" hidden="1" x14ac:dyDescent="0.25">
      <c r="A194" s="51">
        <v>46234</v>
      </c>
      <c r="B194" s="9" t="s">
        <v>33</v>
      </c>
      <c r="C194" s="51">
        <v>46259</v>
      </c>
      <c r="D194" s="9" t="s">
        <v>30</v>
      </c>
      <c r="E194" s="9" t="s">
        <v>29</v>
      </c>
      <c r="F194" s="13">
        <v>15500</v>
      </c>
      <c r="G194" s="39">
        <v>9720</v>
      </c>
      <c r="H194" s="45">
        <v>17.420000000000002</v>
      </c>
      <c r="I194" s="45">
        <v>16.68</v>
      </c>
      <c r="J194" s="40">
        <f t="shared" ref="J194:J228" si="21">IF(D194="Short",H194-I194,I194-H194)</f>
        <v>-0.74000000000000199</v>
      </c>
      <c r="K194" s="40">
        <f t="shared" ref="K194:K228" si="22">J194*G194</f>
        <v>-7192.8000000000193</v>
      </c>
      <c r="L194" s="40">
        <f t="shared" ref="L194:L228" si="23">IF(D194="Short",G194*H194,G194*I194)</f>
        <v>162129.60000000001</v>
      </c>
      <c r="M194" s="40">
        <f t="shared" ref="M194:M228" si="24">IF(D194="Short",G194*I194,H194*G194)</f>
        <v>169322.40000000002</v>
      </c>
      <c r="N194" s="40">
        <f t="shared" ref="N194:N228" si="25">L194+M194</f>
        <v>331452</v>
      </c>
      <c r="O194" s="40">
        <f t="shared" ref="O194:O228" si="26">N194*0.000134</f>
        <v>44.414568000000003</v>
      </c>
      <c r="P194" s="40">
        <f t="shared" ref="P194:P228" si="27">K194-O194</f>
        <v>-7237.2145680000194</v>
      </c>
    </row>
    <row r="195" spans="1:16" x14ac:dyDescent="0.25">
      <c r="A195" s="51">
        <v>46237</v>
      </c>
      <c r="B195" s="9" t="s">
        <v>34</v>
      </c>
      <c r="C195" s="51">
        <v>46259</v>
      </c>
      <c r="D195" s="9" t="s">
        <v>30</v>
      </c>
      <c r="E195" s="9" t="s">
        <v>29</v>
      </c>
      <c r="F195" s="13">
        <v>60000</v>
      </c>
      <c r="G195" s="39">
        <v>1500</v>
      </c>
      <c r="H195" s="45">
        <v>80.209999999999994</v>
      </c>
      <c r="I195" s="15">
        <v>18.7</v>
      </c>
      <c r="J195" s="40">
        <f t="shared" si="21"/>
        <v>-61.509999999999991</v>
      </c>
      <c r="K195" s="40">
        <f t="shared" si="22"/>
        <v>-92264.999999999985</v>
      </c>
      <c r="L195" s="40">
        <f t="shared" si="23"/>
        <v>28050</v>
      </c>
      <c r="M195" s="40">
        <f t="shared" si="24"/>
        <v>120314.99999999999</v>
      </c>
      <c r="N195" s="40">
        <f t="shared" si="25"/>
        <v>148365</v>
      </c>
      <c r="O195" s="40">
        <f t="shared" si="26"/>
        <v>19.88091</v>
      </c>
      <c r="P195" s="40">
        <f t="shared" si="27"/>
        <v>-92284.880909999993</v>
      </c>
    </row>
    <row r="196" spans="1:16" hidden="1" x14ac:dyDescent="0.25">
      <c r="A196" s="51">
        <v>46237</v>
      </c>
      <c r="B196" s="9" t="s">
        <v>34</v>
      </c>
      <c r="C196" s="51">
        <v>46259</v>
      </c>
      <c r="D196" s="9" t="s">
        <v>30</v>
      </c>
      <c r="E196" s="9" t="s">
        <v>29</v>
      </c>
      <c r="F196" s="13">
        <v>60000</v>
      </c>
      <c r="G196" s="39">
        <v>390</v>
      </c>
      <c r="H196" s="45">
        <v>113.78</v>
      </c>
      <c r="I196" s="45">
        <v>79.61</v>
      </c>
      <c r="J196" s="40">
        <f t="shared" si="21"/>
        <v>-34.17</v>
      </c>
      <c r="K196" s="40">
        <f t="shared" si="22"/>
        <v>-13326.300000000001</v>
      </c>
      <c r="L196" s="40">
        <f t="shared" si="23"/>
        <v>31047.9</v>
      </c>
      <c r="M196" s="40">
        <f t="shared" si="24"/>
        <v>44374.2</v>
      </c>
      <c r="N196" s="40">
        <f t="shared" si="25"/>
        <v>75422.100000000006</v>
      </c>
      <c r="O196" s="40">
        <f t="shared" si="26"/>
        <v>10.1065614</v>
      </c>
      <c r="P196" s="40">
        <f t="shared" si="27"/>
        <v>-13336.406561400001</v>
      </c>
    </row>
    <row r="197" spans="1:16" x14ac:dyDescent="0.25">
      <c r="A197" s="51">
        <v>46237</v>
      </c>
      <c r="B197" s="9" t="s">
        <v>33</v>
      </c>
      <c r="C197" s="51">
        <v>46259</v>
      </c>
      <c r="D197" s="9" t="s">
        <v>30</v>
      </c>
      <c r="E197" s="9" t="s">
        <v>29</v>
      </c>
      <c r="F197" s="13">
        <v>15500</v>
      </c>
      <c r="G197" s="39">
        <v>49200</v>
      </c>
      <c r="H197" s="45">
        <v>18.79</v>
      </c>
      <c r="I197" s="15">
        <v>5.75</v>
      </c>
      <c r="J197" s="40">
        <f t="shared" si="21"/>
        <v>-13.04</v>
      </c>
      <c r="K197" s="40">
        <f t="shared" si="22"/>
        <v>-641568</v>
      </c>
      <c r="L197" s="40">
        <f t="shared" si="23"/>
        <v>282900</v>
      </c>
      <c r="M197" s="40">
        <f t="shared" si="24"/>
        <v>924468</v>
      </c>
      <c r="N197" s="40">
        <f t="shared" si="25"/>
        <v>1207368</v>
      </c>
      <c r="O197" s="40">
        <f t="shared" si="26"/>
        <v>161.78731200000001</v>
      </c>
      <c r="P197" s="40">
        <f t="shared" si="27"/>
        <v>-641729.78731199994</v>
      </c>
    </row>
    <row r="198" spans="1:16" hidden="1" x14ac:dyDescent="0.25">
      <c r="A198" s="51">
        <v>46238</v>
      </c>
      <c r="B198" s="9" t="s">
        <v>34</v>
      </c>
      <c r="C198" s="51">
        <v>46259</v>
      </c>
      <c r="D198" s="9" t="s">
        <v>30</v>
      </c>
      <c r="E198" s="9" t="s">
        <v>29</v>
      </c>
      <c r="F198" s="13">
        <v>59500</v>
      </c>
      <c r="G198" s="39">
        <v>870</v>
      </c>
      <c r="H198" s="45">
        <v>158.63999999999999</v>
      </c>
      <c r="I198" s="45">
        <v>53.83</v>
      </c>
      <c r="J198" s="40">
        <f t="shared" si="21"/>
        <v>-104.80999999999999</v>
      </c>
      <c r="K198" s="40">
        <f t="shared" si="22"/>
        <v>-91184.699999999983</v>
      </c>
      <c r="L198" s="40">
        <f t="shared" si="23"/>
        <v>46832.1</v>
      </c>
      <c r="M198" s="40">
        <f t="shared" si="24"/>
        <v>138016.79999999999</v>
      </c>
      <c r="N198" s="40">
        <f t="shared" si="25"/>
        <v>184848.9</v>
      </c>
      <c r="O198" s="40">
        <f t="shared" si="26"/>
        <v>24.7697526</v>
      </c>
      <c r="P198" s="40">
        <f t="shared" si="27"/>
        <v>-91209.46975259998</v>
      </c>
    </row>
    <row r="199" spans="1:16" hidden="1" x14ac:dyDescent="0.25">
      <c r="A199" s="51">
        <v>46238</v>
      </c>
      <c r="B199" s="9" t="s">
        <v>34</v>
      </c>
      <c r="C199" s="51">
        <v>46259</v>
      </c>
      <c r="D199" s="9" t="s">
        <v>30</v>
      </c>
      <c r="E199" s="9" t="s">
        <v>29</v>
      </c>
      <c r="F199" s="13">
        <v>59500</v>
      </c>
      <c r="G199" s="39">
        <v>180</v>
      </c>
      <c r="H199" s="45">
        <v>158.63999999999999</v>
      </c>
      <c r="I199" s="45">
        <v>157.56</v>
      </c>
      <c r="J199" s="40">
        <f t="shared" si="21"/>
        <v>-1.0799999999999841</v>
      </c>
      <c r="K199" s="40">
        <f t="shared" si="22"/>
        <v>-194.39999999999714</v>
      </c>
      <c r="L199" s="40">
        <f t="shared" si="23"/>
        <v>28360.799999999999</v>
      </c>
      <c r="M199" s="40">
        <f t="shared" si="24"/>
        <v>28555.199999999997</v>
      </c>
      <c r="N199" s="40">
        <f t="shared" si="25"/>
        <v>56916</v>
      </c>
      <c r="O199" s="40">
        <f t="shared" si="26"/>
        <v>7.6267440000000004</v>
      </c>
      <c r="P199" s="40">
        <f t="shared" si="27"/>
        <v>-202.02674399999714</v>
      </c>
    </row>
    <row r="200" spans="1:16" x14ac:dyDescent="0.25">
      <c r="A200" s="51">
        <v>46238</v>
      </c>
      <c r="B200" s="9" t="s">
        <v>33</v>
      </c>
      <c r="C200" s="51">
        <v>46259</v>
      </c>
      <c r="D200" s="9" t="s">
        <v>30</v>
      </c>
      <c r="E200" s="9" t="s">
        <v>29</v>
      </c>
      <c r="F200" s="13">
        <v>15500</v>
      </c>
      <c r="G200" s="39">
        <v>30000</v>
      </c>
      <c r="H200" s="45">
        <v>18.73</v>
      </c>
      <c r="I200" s="15">
        <v>5.75</v>
      </c>
      <c r="J200" s="40">
        <f t="shared" si="21"/>
        <v>-12.98</v>
      </c>
      <c r="K200" s="40">
        <f t="shared" si="22"/>
        <v>-389400</v>
      </c>
      <c r="L200" s="40">
        <f t="shared" si="23"/>
        <v>172500</v>
      </c>
      <c r="M200" s="40">
        <f t="shared" si="24"/>
        <v>561900</v>
      </c>
      <c r="N200" s="40">
        <f t="shared" si="25"/>
        <v>734400</v>
      </c>
      <c r="O200" s="40">
        <f t="shared" si="26"/>
        <v>98.409599999999998</v>
      </c>
      <c r="P200" s="40">
        <f t="shared" si="27"/>
        <v>-389498.40960000001</v>
      </c>
    </row>
    <row r="201" spans="1:16" hidden="1" x14ac:dyDescent="0.25">
      <c r="A201" s="51">
        <v>46238</v>
      </c>
      <c r="B201" s="9" t="s">
        <v>33</v>
      </c>
      <c r="C201" s="51">
        <v>46259</v>
      </c>
      <c r="D201" s="9" t="s">
        <v>30</v>
      </c>
      <c r="E201" s="9" t="s">
        <v>29</v>
      </c>
      <c r="F201" s="13">
        <v>15500</v>
      </c>
      <c r="G201" s="39">
        <v>3240</v>
      </c>
      <c r="H201" s="45">
        <v>17.420000000000002</v>
      </c>
      <c r="I201" s="45">
        <v>15.7</v>
      </c>
      <c r="J201" s="40">
        <f t="shared" si="21"/>
        <v>-1.7200000000000024</v>
      </c>
      <c r="K201" s="40">
        <f t="shared" si="22"/>
        <v>-5572.8000000000075</v>
      </c>
      <c r="L201" s="40">
        <f t="shared" si="23"/>
        <v>50868</v>
      </c>
      <c r="M201" s="40">
        <f t="shared" si="24"/>
        <v>56440.800000000003</v>
      </c>
      <c r="N201" s="40">
        <f t="shared" si="25"/>
        <v>107308.8</v>
      </c>
      <c r="O201" s="40">
        <f t="shared" si="26"/>
        <v>14.379379200000001</v>
      </c>
      <c r="P201" s="40">
        <f t="shared" si="27"/>
        <v>-5587.1793792000071</v>
      </c>
    </row>
    <row r="202" spans="1:16" hidden="1" x14ac:dyDescent="0.25">
      <c r="A202" s="51">
        <v>46239</v>
      </c>
      <c r="B202" s="9" t="s">
        <v>34</v>
      </c>
      <c r="C202" s="51">
        <v>46259</v>
      </c>
      <c r="D202" s="9" t="s">
        <v>30</v>
      </c>
      <c r="E202" s="9" t="s">
        <v>29</v>
      </c>
      <c r="F202" s="13">
        <v>59500</v>
      </c>
      <c r="G202" s="39">
        <v>90</v>
      </c>
      <c r="H202" s="45">
        <v>176</v>
      </c>
      <c r="I202" s="45">
        <v>53.83</v>
      </c>
      <c r="J202" s="40">
        <f t="shared" si="21"/>
        <v>-122.17</v>
      </c>
      <c r="K202" s="40">
        <f t="shared" si="22"/>
        <v>-10995.3</v>
      </c>
      <c r="L202" s="40">
        <f t="shared" si="23"/>
        <v>4844.7</v>
      </c>
      <c r="M202" s="40">
        <f t="shared" si="24"/>
        <v>15840</v>
      </c>
      <c r="N202" s="40">
        <f t="shared" si="25"/>
        <v>20684.7</v>
      </c>
      <c r="O202" s="40">
        <f t="shared" si="26"/>
        <v>2.7717498000000003</v>
      </c>
      <c r="P202" s="40">
        <f t="shared" si="27"/>
        <v>-10998.071749799999</v>
      </c>
    </row>
    <row r="203" spans="1:16" hidden="1" x14ac:dyDescent="0.25">
      <c r="A203" s="51">
        <v>46239</v>
      </c>
      <c r="B203" s="9" t="s">
        <v>33</v>
      </c>
      <c r="C203" s="51">
        <v>46259</v>
      </c>
      <c r="D203" s="9" t="s">
        <v>30</v>
      </c>
      <c r="E203" s="9" t="s">
        <v>29</v>
      </c>
      <c r="F203" s="13">
        <v>15500</v>
      </c>
      <c r="G203" s="39">
        <v>4200</v>
      </c>
      <c r="H203" s="45">
        <v>17.420000000000002</v>
      </c>
      <c r="I203" s="45">
        <v>31.59</v>
      </c>
      <c r="J203" s="40">
        <f t="shared" si="21"/>
        <v>14.169999999999998</v>
      </c>
      <c r="K203" s="40">
        <f t="shared" si="22"/>
        <v>59513.999999999993</v>
      </c>
      <c r="L203" s="40">
        <f t="shared" si="23"/>
        <v>132678</v>
      </c>
      <c r="M203" s="40">
        <f t="shared" si="24"/>
        <v>73164</v>
      </c>
      <c r="N203" s="40">
        <f t="shared" si="25"/>
        <v>205842</v>
      </c>
      <c r="O203" s="40">
        <f t="shared" si="26"/>
        <v>27.582827999999999</v>
      </c>
      <c r="P203" s="40">
        <f t="shared" si="27"/>
        <v>59486.417171999994</v>
      </c>
    </row>
    <row r="204" spans="1:16" x14ac:dyDescent="0.25">
      <c r="A204" s="51">
        <v>46239</v>
      </c>
      <c r="B204" s="9" t="s">
        <v>33</v>
      </c>
      <c r="C204" s="51">
        <v>46259</v>
      </c>
      <c r="D204" s="9" t="s">
        <v>30</v>
      </c>
      <c r="E204" s="9" t="s">
        <v>29</v>
      </c>
      <c r="F204" s="13">
        <v>15500</v>
      </c>
      <c r="G204" s="39">
        <v>15840</v>
      </c>
      <c r="H204" s="45">
        <v>34.380000000000003</v>
      </c>
      <c r="I204" s="15">
        <v>5.75</v>
      </c>
      <c r="J204" s="40">
        <f t="shared" si="21"/>
        <v>-28.630000000000003</v>
      </c>
      <c r="K204" s="40">
        <f t="shared" si="22"/>
        <v>-453499.2</v>
      </c>
      <c r="L204" s="40">
        <f t="shared" si="23"/>
        <v>91080</v>
      </c>
      <c r="M204" s="40">
        <f t="shared" si="24"/>
        <v>544579.20000000007</v>
      </c>
      <c r="N204" s="40">
        <f t="shared" si="25"/>
        <v>635659.20000000007</v>
      </c>
      <c r="O204" s="40">
        <f t="shared" si="26"/>
        <v>85.178332800000007</v>
      </c>
      <c r="P204" s="40">
        <f t="shared" si="27"/>
        <v>-453584.3783328</v>
      </c>
    </row>
    <row r="205" spans="1:16" hidden="1" x14ac:dyDescent="0.25">
      <c r="A205" s="51">
        <v>46240</v>
      </c>
      <c r="B205" s="9" t="s">
        <v>33</v>
      </c>
      <c r="C205" s="51">
        <v>46259</v>
      </c>
      <c r="D205" s="9" t="s">
        <v>28</v>
      </c>
      <c r="E205" s="9" t="s">
        <v>29</v>
      </c>
      <c r="F205" s="13">
        <v>14400</v>
      </c>
      <c r="G205" s="39">
        <v>120</v>
      </c>
      <c r="H205" s="45">
        <v>398.32</v>
      </c>
      <c r="I205" s="45">
        <v>570</v>
      </c>
      <c r="J205" s="40">
        <f t="shared" si="21"/>
        <v>-171.68</v>
      </c>
      <c r="K205" s="40">
        <f t="shared" si="22"/>
        <v>-20601.600000000002</v>
      </c>
      <c r="L205" s="40">
        <f t="shared" si="23"/>
        <v>47798.400000000001</v>
      </c>
      <c r="M205" s="40">
        <f t="shared" si="24"/>
        <v>68400</v>
      </c>
      <c r="N205" s="40">
        <f t="shared" si="25"/>
        <v>116198.39999999999</v>
      </c>
      <c r="O205" s="40">
        <f t="shared" si="26"/>
        <v>15.570585599999999</v>
      </c>
      <c r="P205" s="40">
        <f t="shared" si="27"/>
        <v>-20617.170585600001</v>
      </c>
    </row>
    <row r="206" spans="1:16" x14ac:dyDescent="0.25">
      <c r="A206" s="51">
        <v>46240</v>
      </c>
      <c r="B206" s="9" t="s">
        <v>33</v>
      </c>
      <c r="C206" s="51">
        <v>46259</v>
      </c>
      <c r="D206" s="9" t="s">
        <v>28</v>
      </c>
      <c r="E206" s="9" t="s">
        <v>29</v>
      </c>
      <c r="F206" s="13">
        <v>14400</v>
      </c>
      <c r="G206" s="39">
        <v>120</v>
      </c>
      <c r="H206" s="45">
        <v>565</v>
      </c>
      <c r="I206" s="15">
        <v>600.70000000000005</v>
      </c>
      <c r="J206" s="40">
        <f t="shared" si="21"/>
        <v>-35.700000000000045</v>
      </c>
      <c r="K206" s="40">
        <f t="shared" si="22"/>
        <v>-4284.0000000000055</v>
      </c>
      <c r="L206" s="40">
        <f t="shared" si="23"/>
        <v>67800</v>
      </c>
      <c r="M206" s="40">
        <f t="shared" si="24"/>
        <v>72084</v>
      </c>
      <c r="N206" s="40">
        <f t="shared" si="25"/>
        <v>139884</v>
      </c>
      <c r="O206" s="40">
        <f t="shared" si="26"/>
        <v>18.744456</v>
      </c>
      <c r="P206" s="40">
        <f t="shared" si="27"/>
        <v>-4302.7444560000058</v>
      </c>
    </row>
    <row r="207" spans="1:16" hidden="1" x14ac:dyDescent="0.25">
      <c r="A207" s="51">
        <v>46240</v>
      </c>
      <c r="B207" s="9" t="s">
        <v>34</v>
      </c>
      <c r="C207" s="51">
        <v>46259</v>
      </c>
      <c r="D207" s="9" t="s">
        <v>30</v>
      </c>
      <c r="E207" s="9" t="s">
        <v>29</v>
      </c>
      <c r="F207" s="13">
        <v>59500</v>
      </c>
      <c r="G207" s="39">
        <v>240</v>
      </c>
      <c r="H207" s="45">
        <v>158.63999999999999</v>
      </c>
      <c r="I207" s="45">
        <v>172.54</v>
      </c>
      <c r="J207" s="40">
        <f t="shared" si="21"/>
        <v>13.900000000000006</v>
      </c>
      <c r="K207" s="40">
        <f t="shared" si="22"/>
        <v>3336.0000000000014</v>
      </c>
      <c r="L207" s="40">
        <f t="shared" si="23"/>
        <v>41409.599999999999</v>
      </c>
      <c r="M207" s="40">
        <f t="shared" si="24"/>
        <v>38073.599999999999</v>
      </c>
      <c r="N207" s="40">
        <f t="shared" si="25"/>
        <v>79483.199999999997</v>
      </c>
      <c r="O207" s="40">
        <f t="shared" si="26"/>
        <v>10.650748800000001</v>
      </c>
      <c r="P207" s="40">
        <f t="shared" si="27"/>
        <v>3325.3492512000012</v>
      </c>
    </row>
    <row r="208" spans="1:16" x14ac:dyDescent="0.25">
      <c r="A208" s="51">
        <v>46240</v>
      </c>
      <c r="B208" s="9" t="s">
        <v>34</v>
      </c>
      <c r="C208" s="51">
        <v>46259</v>
      </c>
      <c r="D208" s="9" t="s">
        <v>30</v>
      </c>
      <c r="E208" s="9" t="s">
        <v>29</v>
      </c>
      <c r="F208" s="13">
        <v>59500</v>
      </c>
      <c r="G208" s="39">
        <v>5010</v>
      </c>
      <c r="H208" s="45">
        <v>162.51</v>
      </c>
      <c r="I208" s="15">
        <v>33.799999999999997</v>
      </c>
      <c r="J208" s="40">
        <f t="shared" si="21"/>
        <v>-128.70999999999998</v>
      </c>
      <c r="K208" s="40">
        <f t="shared" si="22"/>
        <v>-644837.09999999986</v>
      </c>
      <c r="L208" s="40">
        <f t="shared" si="23"/>
        <v>169338</v>
      </c>
      <c r="M208" s="40">
        <f t="shared" si="24"/>
        <v>814175.1</v>
      </c>
      <c r="N208" s="40">
        <f t="shared" si="25"/>
        <v>983513.1</v>
      </c>
      <c r="O208" s="40">
        <f t="shared" si="26"/>
        <v>131.79075539999999</v>
      </c>
      <c r="P208" s="40">
        <f t="shared" si="27"/>
        <v>-644968.89075539983</v>
      </c>
    </row>
    <row r="209" spans="1:16" hidden="1" x14ac:dyDescent="0.25">
      <c r="A209" s="51">
        <v>46241</v>
      </c>
      <c r="B209" s="9" t="s">
        <v>34</v>
      </c>
      <c r="C209" s="51">
        <v>46259</v>
      </c>
      <c r="D209" s="9" t="s">
        <v>30</v>
      </c>
      <c r="E209" s="9" t="s">
        <v>29</v>
      </c>
      <c r="F209" s="13">
        <v>59500</v>
      </c>
      <c r="G209" s="39">
        <v>1140</v>
      </c>
      <c r="H209" s="45">
        <v>158.63999999999999</v>
      </c>
      <c r="I209" s="45">
        <v>152.34</v>
      </c>
      <c r="J209" s="40">
        <f t="shared" si="21"/>
        <v>-6.2999999999999829</v>
      </c>
      <c r="K209" s="40">
        <f t="shared" si="22"/>
        <v>-7181.9999999999809</v>
      </c>
      <c r="L209" s="40">
        <f t="shared" si="23"/>
        <v>173667.6</v>
      </c>
      <c r="M209" s="40">
        <f t="shared" si="24"/>
        <v>180849.59999999998</v>
      </c>
      <c r="N209" s="40">
        <f t="shared" si="25"/>
        <v>354517.19999999995</v>
      </c>
      <c r="O209" s="40">
        <f t="shared" si="26"/>
        <v>47.505304799999998</v>
      </c>
      <c r="P209" s="40">
        <f t="shared" si="27"/>
        <v>-7229.5053047999809</v>
      </c>
    </row>
    <row r="210" spans="1:16" hidden="1" x14ac:dyDescent="0.25">
      <c r="A210" s="51">
        <v>46241</v>
      </c>
      <c r="B210" s="9" t="s">
        <v>33</v>
      </c>
      <c r="C210" s="51">
        <v>46259</v>
      </c>
      <c r="D210" s="9" t="s">
        <v>30</v>
      </c>
      <c r="E210" s="9" t="s">
        <v>29</v>
      </c>
      <c r="F210" s="13">
        <v>15500</v>
      </c>
      <c r="G210" s="39">
        <v>7200</v>
      </c>
      <c r="H210" s="45">
        <v>17.420000000000002</v>
      </c>
      <c r="I210" s="45">
        <v>24.05</v>
      </c>
      <c r="J210" s="40">
        <f t="shared" si="21"/>
        <v>6.629999999999999</v>
      </c>
      <c r="K210" s="40">
        <f t="shared" si="22"/>
        <v>47735.999999999993</v>
      </c>
      <c r="L210" s="40">
        <f t="shared" si="23"/>
        <v>173160</v>
      </c>
      <c r="M210" s="40">
        <f t="shared" si="24"/>
        <v>125424.00000000001</v>
      </c>
      <c r="N210" s="40">
        <f t="shared" si="25"/>
        <v>298584</v>
      </c>
      <c r="O210" s="40">
        <f t="shared" si="26"/>
        <v>40.010255999999998</v>
      </c>
      <c r="P210" s="40">
        <f t="shared" si="27"/>
        <v>47695.989743999991</v>
      </c>
    </row>
    <row r="211" spans="1:16" x14ac:dyDescent="0.25">
      <c r="A211" s="51">
        <v>46244</v>
      </c>
      <c r="B211" s="9" t="s">
        <v>34</v>
      </c>
      <c r="C211" s="51">
        <v>46259</v>
      </c>
      <c r="D211" s="9" t="s">
        <v>30</v>
      </c>
      <c r="E211" s="9" t="s">
        <v>29</v>
      </c>
      <c r="F211" s="13">
        <v>59500</v>
      </c>
      <c r="G211" s="39">
        <v>13500</v>
      </c>
      <c r="H211" s="45">
        <v>108.72</v>
      </c>
      <c r="I211" s="15">
        <v>33.799999999999997</v>
      </c>
      <c r="J211" s="40">
        <f t="shared" si="21"/>
        <v>-74.92</v>
      </c>
      <c r="K211" s="40">
        <f t="shared" si="22"/>
        <v>-1011420</v>
      </c>
      <c r="L211" s="40">
        <f t="shared" si="23"/>
        <v>456299.99999999994</v>
      </c>
      <c r="M211" s="40">
        <f t="shared" si="24"/>
        <v>1467720</v>
      </c>
      <c r="N211" s="40">
        <f t="shared" si="25"/>
        <v>1924020</v>
      </c>
      <c r="O211" s="40">
        <f t="shared" si="26"/>
        <v>257.81868000000003</v>
      </c>
      <c r="P211" s="40">
        <f t="shared" si="27"/>
        <v>-1011677.81868</v>
      </c>
    </row>
    <row r="212" spans="1:16" hidden="1" x14ac:dyDescent="0.25">
      <c r="A212" s="51">
        <v>46244</v>
      </c>
      <c r="B212" s="9" t="s">
        <v>34</v>
      </c>
      <c r="C212" s="51">
        <v>46259</v>
      </c>
      <c r="D212" s="9" t="s">
        <v>30</v>
      </c>
      <c r="E212" s="9" t="s">
        <v>29</v>
      </c>
      <c r="F212" s="13">
        <v>59500</v>
      </c>
      <c r="G212" s="39">
        <v>4590</v>
      </c>
      <c r="H212" s="45">
        <v>158.63999999999999</v>
      </c>
      <c r="I212" s="45">
        <v>107.76</v>
      </c>
      <c r="J212" s="40">
        <f t="shared" si="21"/>
        <v>-50.879999999999981</v>
      </c>
      <c r="K212" s="40">
        <f t="shared" si="22"/>
        <v>-233539.19999999992</v>
      </c>
      <c r="L212" s="40">
        <f t="shared" si="23"/>
        <v>494618.4</v>
      </c>
      <c r="M212" s="40">
        <f t="shared" si="24"/>
        <v>728157.6</v>
      </c>
      <c r="N212" s="40">
        <f t="shared" si="25"/>
        <v>1222776</v>
      </c>
      <c r="O212" s="40">
        <f t="shared" si="26"/>
        <v>163.85198400000002</v>
      </c>
      <c r="P212" s="40">
        <f t="shared" si="27"/>
        <v>-233703.05198399993</v>
      </c>
    </row>
    <row r="213" spans="1:16" x14ac:dyDescent="0.25">
      <c r="A213" s="51">
        <v>46244</v>
      </c>
      <c r="B213" s="9" t="s">
        <v>33</v>
      </c>
      <c r="C213" s="51">
        <v>46259</v>
      </c>
      <c r="D213" s="9" t="s">
        <v>30</v>
      </c>
      <c r="E213" s="9" t="s">
        <v>29</v>
      </c>
      <c r="F213" s="13">
        <v>15500</v>
      </c>
      <c r="G213" s="39">
        <v>10800</v>
      </c>
      <c r="H213" s="45">
        <v>19.920000000000002</v>
      </c>
      <c r="I213" s="15">
        <v>5.75</v>
      </c>
      <c r="J213" s="40">
        <f t="shared" si="21"/>
        <v>-14.170000000000002</v>
      </c>
      <c r="K213" s="40">
        <f t="shared" si="22"/>
        <v>-153036.00000000003</v>
      </c>
      <c r="L213" s="40">
        <f t="shared" si="23"/>
        <v>62100</v>
      </c>
      <c r="M213" s="40">
        <f t="shared" si="24"/>
        <v>215136.00000000003</v>
      </c>
      <c r="N213" s="40">
        <f t="shared" si="25"/>
        <v>277236</v>
      </c>
      <c r="O213" s="40">
        <f t="shared" si="26"/>
        <v>37.149624000000003</v>
      </c>
      <c r="P213" s="40">
        <f t="shared" si="27"/>
        <v>-153073.14962400004</v>
      </c>
    </row>
    <row r="214" spans="1:16" x14ac:dyDescent="0.25">
      <c r="A214" s="51">
        <v>46245</v>
      </c>
      <c r="B214" s="9" t="s">
        <v>34</v>
      </c>
      <c r="C214" s="51">
        <v>46259</v>
      </c>
      <c r="D214" s="9" t="s">
        <v>30</v>
      </c>
      <c r="E214" s="9" t="s">
        <v>29</v>
      </c>
      <c r="F214" s="13">
        <v>59500</v>
      </c>
      <c r="G214" s="39">
        <v>90</v>
      </c>
      <c r="H214" s="45">
        <v>59.8</v>
      </c>
      <c r="I214" s="15">
        <v>33.799999999999997</v>
      </c>
      <c r="J214" s="40">
        <f t="shared" si="21"/>
        <v>-26</v>
      </c>
      <c r="K214" s="40">
        <f t="shared" si="22"/>
        <v>-2340</v>
      </c>
      <c r="L214" s="40">
        <f t="shared" si="23"/>
        <v>3041.9999999999995</v>
      </c>
      <c r="M214" s="40">
        <f t="shared" si="24"/>
        <v>5382</v>
      </c>
      <c r="N214" s="40">
        <f t="shared" si="25"/>
        <v>8424</v>
      </c>
      <c r="O214" s="40">
        <f t="shared" si="26"/>
        <v>1.128816</v>
      </c>
      <c r="P214" s="40">
        <f t="shared" si="27"/>
        <v>-2341.1288159999999</v>
      </c>
    </row>
    <row r="215" spans="1:16" hidden="1" x14ac:dyDescent="0.25">
      <c r="A215" s="51">
        <v>46245</v>
      </c>
      <c r="B215" s="9" t="s">
        <v>34</v>
      </c>
      <c r="C215" s="51">
        <v>46259</v>
      </c>
      <c r="D215" s="9" t="s">
        <v>30</v>
      </c>
      <c r="E215" s="9" t="s">
        <v>29</v>
      </c>
      <c r="F215" s="13">
        <v>59500</v>
      </c>
      <c r="G215" s="39">
        <v>240</v>
      </c>
      <c r="H215" s="45">
        <v>158.63999999999999</v>
      </c>
      <c r="I215" s="45">
        <v>57.58</v>
      </c>
      <c r="J215" s="40">
        <f t="shared" si="21"/>
        <v>-101.05999999999999</v>
      </c>
      <c r="K215" s="40">
        <f t="shared" si="22"/>
        <v>-24254.399999999998</v>
      </c>
      <c r="L215" s="40">
        <f t="shared" si="23"/>
        <v>13819.199999999999</v>
      </c>
      <c r="M215" s="40">
        <f t="shared" si="24"/>
        <v>38073.599999999999</v>
      </c>
      <c r="N215" s="40">
        <f t="shared" si="25"/>
        <v>51892.799999999996</v>
      </c>
      <c r="O215" s="40">
        <f t="shared" si="26"/>
        <v>6.9536351999999999</v>
      </c>
      <c r="P215" s="40">
        <f t="shared" si="27"/>
        <v>-24261.353635199997</v>
      </c>
    </row>
    <row r="216" spans="1:16" x14ac:dyDescent="0.25">
      <c r="A216" s="51">
        <v>46245</v>
      </c>
      <c r="B216" s="9" t="s">
        <v>34</v>
      </c>
      <c r="C216" s="51">
        <v>46259</v>
      </c>
      <c r="D216" s="9" t="s">
        <v>30</v>
      </c>
      <c r="E216" s="9" t="s">
        <v>29</v>
      </c>
      <c r="F216" s="13">
        <v>60000</v>
      </c>
      <c r="G216" s="39">
        <v>7350</v>
      </c>
      <c r="H216" s="45">
        <v>34.479999999999997</v>
      </c>
      <c r="I216" s="15">
        <v>18.7</v>
      </c>
      <c r="J216" s="40">
        <f t="shared" si="21"/>
        <v>-15.779999999999998</v>
      </c>
      <c r="K216" s="40">
        <f t="shared" si="22"/>
        <v>-115982.99999999999</v>
      </c>
      <c r="L216" s="40">
        <f t="shared" si="23"/>
        <v>137445</v>
      </c>
      <c r="M216" s="40">
        <f t="shared" si="24"/>
        <v>253427.99999999997</v>
      </c>
      <c r="N216" s="40">
        <f t="shared" si="25"/>
        <v>390873</v>
      </c>
      <c r="O216" s="40">
        <f t="shared" si="26"/>
        <v>52.376982000000005</v>
      </c>
      <c r="P216" s="40">
        <f t="shared" si="27"/>
        <v>-116035.37698199999</v>
      </c>
    </row>
    <row r="217" spans="1:16" hidden="1" x14ac:dyDescent="0.25">
      <c r="A217" s="51">
        <v>46246</v>
      </c>
      <c r="B217" s="9" t="s">
        <v>34</v>
      </c>
      <c r="C217" s="51">
        <v>46259</v>
      </c>
      <c r="D217" s="9" t="s">
        <v>30</v>
      </c>
      <c r="E217" s="9" t="s">
        <v>29</v>
      </c>
      <c r="F217" s="13">
        <v>59500</v>
      </c>
      <c r="G217" s="39">
        <v>840</v>
      </c>
      <c r="H217" s="45">
        <v>162.51</v>
      </c>
      <c r="I217" s="45">
        <v>53.83</v>
      </c>
      <c r="J217" s="40">
        <f t="shared" si="21"/>
        <v>-108.67999999999999</v>
      </c>
      <c r="K217" s="40">
        <f t="shared" si="22"/>
        <v>-91291.199999999997</v>
      </c>
      <c r="L217" s="40">
        <f t="shared" si="23"/>
        <v>45217.2</v>
      </c>
      <c r="M217" s="40">
        <f t="shared" si="24"/>
        <v>136508.4</v>
      </c>
      <c r="N217" s="40">
        <f t="shared" si="25"/>
        <v>181725.59999999998</v>
      </c>
      <c r="O217" s="40">
        <f t="shared" si="26"/>
        <v>24.351230399999999</v>
      </c>
      <c r="P217" s="40">
        <f t="shared" si="27"/>
        <v>-91315.5512304</v>
      </c>
    </row>
    <row r="218" spans="1:16" hidden="1" x14ac:dyDescent="0.25">
      <c r="A218" s="51">
        <v>46246</v>
      </c>
      <c r="B218" s="9" t="s">
        <v>33</v>
      </c>
      <c r="C218" s="51">
        <v>46259</v>
      </c>
      <c r="D218" s="9" t="s">
        <v>30</v>
      </c>
      <c r="E218" s="9" t="s">
        <v>29</v>
      </c>
      <c r="F218" s="13">
        <v>15500</v>
      </c>
      <c r="G218" s="39">
        <v>6000</v>
      </c>
      <c r="H218" s="45">
        <v>14.94</v>
      </c>
      <c r="I218" s="45">
        <v>14.2</v>
      </c>
      <c r="J218" s="40">
        <f t="shared" si="21"/>
        <v>-0.74000000000000021</v>
      </c>
      <c r="K218" s="40">
        <f t="shared" si="22"/>
        <v>-4440.0000000000009</v>
      </c>
      <c r="L218" s="40">
        <f t="shared" si="23"/>
        <v>85200</v>
      </c>
      <c r="M218" s="40">
        <f t="shared" si="24"/>
        <v>89640</v>
      </c>
      <c r="N218" s="40">
        <f t="shared" si="25"/>
        <v>174840</v>
      </c>
      <c r="O218" s="40">
        <f t="shared" si="26"/>
        <v>23.428560000000001</v>
      </c>
      <c r="P218" s="40">
        <f t="shared" si="27"/>
        <v>-4463.4285600000012</v>
      </c>
    </row>
    <row r="219" spans="1:16" x14ac:dyDescent="0.25">
      <c r="A219" s="51">
        <v>46247</v>
      </c>
      <c r="B219" s="9" t="s">
        <v>34</v>
      </c>
      <c r="C219" s="51">
        <v>46259</v>
      </c>
      <c r="D219" s="9" t="s">
        <v>30</v>
      </c>
      <c r="E219" s="9" t="s">
        <v>29</v>
      </c>
      <c r="F219" s="13">
        <v>60000</v>
      </c>
      <c r="G219" s="39">
        <v>4590</v>
      </c>
      <c r="H219" s="45">
        <v>30.47</v>
      </c>
      <c r="I219" s="15">
        <v>18.7</v>
      </c>
      <c r="J219" s="40">
        <f t="shared" si="21"/>
        <v>-11.77</v>
      </c>
      <c r="K219" s="40">
        <f t="shared" si="22"/>
        <v>-54024.299999999996</v>
      </c>
      <c r="L219" s="40">
        <f t="shared" si="23"/>
        <v>85833</v>
      </c>
      <c r="M219" s="40">
        <f t="shared" si="24"/>
        <v>139857.29999999999</v>
      </c>
      <c r="N219" s="40">
        <f t="shared" si="25"/>
        <v>225690.3</v>
      </c>
      <c r="O219" s="40">
        <f t="shared" si="26"/>
        <v>30.242500199999999</v>
      </c>
      <c r="P219" s="40">
        <f t="shared" si="27"/>
        <v>-54054.542500199997</v>
      </c>
    </row>
    <row r="220" spans="1:16" x14ac:dyDescent="0.25">
      <c r="A220" s="51">
        <v>46248</v>
      </c>
      <c r="B220" s="9" t="s">
        <v>34</v>
      </c>
      <c r="C220" s="51">
        <v>46259</v>
      </c>
      <c r="D220" s="9" t="s">
        <v>30</v>
      </c>
      <c r="E220" s="9" t="s">
        <v>29</v>
      </c>
      <c r="F220" s="13">
        <v>60000</v>
      </c>
      <c r="G220" s="39">
        <v>20400</v>
      </c>
      <c r="H220" s="45">
        <v>22.33</v>
      </c>
      <c r="I220" s="15">
        <v>18.7</v>
      </c>
      <c r="J220" s="40">
        <f t="shared" si="21"/>
        <v>-3.629999999999999</v>
      </c>
      <c r="K220" s="40">
        <f t="shared" si="22"/>
        <v>-74051.999999999985</v>
      </c>
      <c r="L220" s="40">
        <f t="shared" si="23"/>
        <v>381480</v>
      </c>
      <c r="M220" s="40">
        <f t="shared" si="24"/>
        <v>455531.99999999994</v>
      </c>
      <c r="N220" s="40">
        <f t="shared" si="25"/>
        <v>837012</v>
      </c>
      <c r="O220" s="40">
        <f t="shared" si="26"/>
        <v>112.15960800000001</v>
      </c>
      <c r="P220" s="40">
        <f t="shared" si="27"/>
        <v>-74164.159607999987</v>
      </c>
    </row>
    <row r="221" spans="1:16" hidden="1" x14ac:dyDescent="0.25">
      <c r="A221" s="51">
        <v>46251</v>
      </c>
      <c r="B221" s="9" t="s">
        <v>33</v>
      </c>
      <c r="C221" s="51">
        <v>46259</v>
      </c>
      <c r="D221" s="9" t="s">
        <v>30</v>
      </c>
      <c r="E221" s="9" t="s">
        <v>35</v>
      </c>
      <c r="F221" s="13">
        <v>-0.01</v>
      </c>
      <c r="G221" s="39">
        <v>120</v>
      </c>
      <c r="H221" s="45">
        <v>15022</v>
      </c>
      <c r="I221" s="45">
        <v>14965</v>
      </c>
      <c r="J221" s="40">
        <f t="shared" si="21"/>
        <v>-57</v>
      </c>
      <c r="K221" s="40">
        <f t="shared" si="22"/>
        <v>-6840</v>
      </c>
      <c r="L221" s="40">
        <f t="shared" si="23"/>
        <v>1795800</v>
      </c>
      <c r="M221" s="40">
        <f t="shared" si="24"/>
        <v>1802640</v>
      </c>
      <c r="N221" s="40">
        <f t="shared" si="25"/>
        <v>3598440</v>
      </c>
      <c r="O221" s="40">
        <f t="shared" si="26"/>
        <v>482.19096000000002</v>
      </c>
      <c r="P221" s="40">
        <f t="shared" si="27"/>
        <v>-7322.1909599999999</v>
      </c>
    </row>
    <row r="222" spans="1:16" hidden="1" x14ac:dyDescent="0.25">
      <c r="A222" s="51">
        <v>46251</v>
      </c>
      <c r="B222" s="9" t="s">
        <v>34</v>
      </c>
      <c r="C222" s="51">
        <v>46259</v>
      </c>
      <c r="D222" s="9" t="s">
        <v>28</v>
      </c>
      <c r="E222" s="9" t="s">
        <v>29</v>
      </c>
      <c r="F222" s="13">
        <v>56000</v>
      </c>
      <c r="G222" s="39">
        <v>600</v>
      </c>
      <c r="H222" s="45">
        <v>1625.37</v>
      </c>
      <c r="I222" s="45">
        <v>1472.05</v>
      </c>
      <c r="J222" s="40">
        <f t="shared" si="21"/>
        <v>153.31999999999994</v>
      </c>
      <c r="K222" s="40">
        <f t="shared" si="22"/>
        <v>91991.999999999956</v>
      </c>
      <c r="L222" s="40">
        <f t="shared" si="23"/>
        <v>975221.99999999988</v>
      </c>
      <c r="M222" s="40">
        <f t="shared" si="24"/>
        <v>883230</v>
      </c>
      <c r="N222" s="40">
        <f t="shared" si="25"/>
        <v>1858452</v>
      </c>
      <c r="O222" s="40">
        <f t="shared" si="26"/>
        <v>249.032568</v>
      </c>
      <c r="P222" s="40">
        <f t="shared" si="27"/>
        <v>91742.967431999961</v>
      </c>
    </row>
    <row r="223" spans="1:16" x14ac:dyDescent="0.25">
      <c r="A223" s="51">
        <v>46251</v>
      </c>
      <c r="B223" s="9" t="s">
        <v>33</v>
      </c>
      <c r="C223" s="51">
        <v>46259</v>
      </c>
      <c r="D223" s="9" t="s">
        <v>28</v>
      </c>
      <c r="E223" s="9" t="s">
        <v>29</v>
      </c>
      <c r="F223" s="13">
        <v>14500</v>
      </c>
      <c r="G223" s="39">
        <v>2400</v>
      </c>
      <c r="H223" s="45">
        <v>459.49</v>
      </c>
      <c r="I223" s="15">
        <v>509.65</v>
      </c>
      <c r="J223" s="40">
        <f t="shared" si="21"/>
        <v>-50.159999999999968</v>
      </c>
      <c r="K223" s="40">
        <f t="shared" si="22"/>
        <v>-120383.99999999993</v>
      </c>
      <c r="L223" s="40">
        <f t="shared" si="23"/>
        <v>1102776</v>
      </c>
      <c r="M223" s="40">
        <f t="shared" si="24"/>
        <v>1223160</v>
      </c>
      <c r="N223" s="40">
        <f t="shared" si="25"/>
        <v>2325936</v>
      </c>
      <c r="O223" s="40">
        <f t="shared" si="26"/>
        <v>311.67542400000002</v>
      </c>
      <c r="P223" s="40">
        <f t="shared" si="27"/>
        <v>-120695.67542399993</v>
      </c>
    </row>
    <row r="224" spans="1:16" x14ac:dyDescent="0.25">
      <c r="A224" s="51">
        <v>46251</v>
      </c>
      <c r="B224" s="9" t="s">
        <v>34</v>
      </c>
      <c r="C224" s="51">
        <v>46259</v>
      </c>
      <c r="D224" s="9" t="s">
        <v>30</v>
      </c>
      <c r="E224" s="9" t="s">
        <v>29</v>
      </c>
      <c r="F224" s="13">
        <v>59500</v>
      </c>
      <c r="G224" s="39">
        <v>30</v>
      </c>
      <c r="H224" s="45">
        <v>22</v>
      </c>
      <c r="I224" s="15">
        <v>33.799999999999997</v>
      </c>
      <c r="J224" s="40">
        <f t="shared" si="21"/>
        <v>11.799999999999997</v>
      </c>
      <c r="K224" s="40">
        <f t="shared" si="22"/>
        <v>353.99999999999989</v>
      </c>
      <c r="L224" s="40">
        <f t="shared" si="23"/>
        <v>1013.9999999999999</v>
      </c>
      <c r="M224" s="40">
        <f t="shared" si="24"/>
        <v>660</v>
      </c>
      <c r="N224" s="40">
        <f t="shared" si="25"/>
        <v>1674</v>
      </c>
      <c r="O224" s="40">
        <f t="shared" si="26"/>
        <v>0.22431600000000002</v>
      </c>
      <c r="P224" s="40">
        <f t="shared" si="27"/>
        <v>353.7756839999999</v>
      </c>
    </row>
    <row r="225" spans="1:19" hidden="1" x14ac:dyDescent="0.25">
      <c r="A225" s="51">
        <v>46251</v>
      </c>
      <c r="B225" s="9" t="s">
        <v>34</v>
      </c>
      <c r="C225" s="51">
        <v>46259</v>
      </c>
      <c r="D225" s="9" t="s">
        <v>30</v>
      </c>
      <c r="E225" s="9" t="s">
        <v>29</v>
      </c>
      <c r="F225" s="13">
        <v>60000</v>
      </c>
      <c r="G225" s="39">
        <v>390</v>
      </c>
      <c r="H225" s="45">
        <v>113.78</v>
      </c>
      <c r="I225" s="45">
        <v>19.02</v>
      </c>
      <c r="J225" s="40">
        <f t="shared" si="21"/>
        <v>-94.76</v>
      </c>
      <c r="K225" s="40">
        <f t="shared" si="22"/>
        <v>-36956.400000000001</v>
      </c>
      <c r="L225" s="40">
        <f t="shared" si="23"/>
        <v>7417.8</v>
      </c>
      <c r="M225" s="40">
        <f t="shared" si="24"/>
        <v>44374.2</v>
      </c>
      <c r="N225" s="40">
        <f t="shared" si="25"/>
        <v>51792</v>
      </c>
      <c r="O225" s="40">
        <f t="shared" si="26"/>
        <v>6.9401280000000005</v>
      </c>
      <c r="P225" s="40">
        <f t="shared" si="27"/>
        <v>-36963.340128000003</v>
      </c>
    </row>
    <row r="226" spans="1:19" x14ac:dyDescent="0.25">
      <c r="A226" s="51">
        <v>46251</v>
      </c>
      <c r="B226" s="9" t="s">
        <v>34</v>
      </c>
      <c r="C226" s="51">
        <v>46259</v>
      </c>
      <c r="D226" s="9" t="s">
        <v>30</v>
      </c>
      <c r="E226" s="9" t="s">
        <v>29</v>
      </c>
      <c r="F226" s="13">
        <v>60000</v>
      </c>
      <c r="G226" s="39">
        <v>20400</v>
      </c>
      <c r="H226" s="45">
        <v>13.58</v>
      </c>
      <c r="I226" s="15">
        <v>18.7</v>
      </c>
      <c r="J226" s="40">
        <f t="shared" si="21"/>
        <v>5.1199999999999992</v>
      </c>
      <c r="K226" s="40">
        <f t="shared" si="22"/>
        <v>104447.99999999999</v>
      </c>
      <c r="L226" s="40">
        <f t="shared" si="23"/>
        <v>381480</v>
      </c>
      <c r="M226" s="40">
        <f t="shared" si="24"/>
        <v>277032</v>
      </c>
      <c r="N226" s="40">
        <f t="shared" si="25"/>
        <v>658512</v>
      </c>
      <c r="O226" s="40">
        <f t="shared" si="26"/>
        <v>88.240608000000009</v>
      </c>
      <c r="P226" s="40">
        <f t="shared" si="27"/>
        <v>104359.75939199999</v>
      </c>
    </row>
    <row r="227" spans="1:19" x14ac:dyDescent="0.25">
      <c r="A227" s="51">
        <v>46251</v>
      </c>
      <c r="B227" s="9" t="s">
        <v>33</v>
      </c>
      <c r="C227" s="51">
        <v>46259</v>
      </c>
      <c r="D227" s="9" t="s">
        <v>30</v>
      </c>
      <c r="E227" s="9" t="s">
        <v>29</v>
      </c>
      <c r="F227" s="13">
        <v>15500</v>
      </c>
      <c r="G227" s="39">
        <v>43440</v>
      </c>
      <c r="H227" s="45">
        <v>6.19</v>
      </c>
      <c r="I227" s="15">
        <v>5.75</v>
      </c>
      <c r="J227" s="40">
        <f t="shared" si="21"/>
        <v>-0.44000000000000039</v>
      </c>
      <c r="K227" s="40">
        <f t="shared" si="22"/>
        <v>-19113.600000000017</v>
      </c>
      <c r="L227" s="40">
        <f t="shared" si="23"/>
        <v>249780</v>
      </c>
      <c r="M227" s="40">
        <f t="shared" si="24"/>
        <v>268893.60000000003</v>
      </c>
      <c r="N227" s="40">
        <f t="shared" si="25"/>
        <v>518673.60000000003</v>
      </c>
      <c r="O227" s="40">
        <f t="shared" si="26"/>
        <v>69.502262400000006</v>
      </c>
      <c r="P227" s="40">
        <f t="shared" si="27"/>
        <v>-19183.102262400018</v>
      </c>
    </row>
    <row r="228" spans="1:19" hidden="1" x14ac:dyDescent="0.25">
      <c r="A228" s="51">
        <v>46251</v>
      </c>
      <c r="B228" s="9" t="s">
        <v>33</v>
      </c>
      <c r="C228" s="51">
        <v>46259</v>
      </c>
      <c r="D228" s="9" t="s">
        <v>30</v>
      </c>
      <c r="E228" s="9" t="s">
        <v>29</v>
      </c>
      <c r="F228" s="13">
        <v>15500</v>
      </c>
      <c r="G228" s="39">
        <v>1200</v>
      </c>
      <c r="H228" s="45">
        <v>14.94</v>
      </c>
      <c r="I228" s="45">
        <v>5.89</v>
      </c>
      <c r="J228" s="40">
        <f t="shared" si="21"/>
        <v>-9.0500000000000007</v>
      </c>
      <c r="K228" s="40">
        <f t="shared" si="22"/>
        <v>-10860</v>
      </c>
      <c r="L228" s="40">
        <f t="shared" si="23"/>
        <v>7068</v>
      </c>
      <c r="M228" s="40">
        <f t="shared" si="24"/>
        <v>17928</v>
      </c>
      <c r="N228" s="40">
        <f t="shared" si="25"/>
        <v>24996</v>
      </c>
      <c r="O228" s="40">
        <f t="shared" si="26"/>
        <v>3.3494640000000002</v>
      </c>
      <c r="P228" s="40">
        <f t="shared" si="27"/>
        <v>-10863.349464000001</v>
      </c>
    </row>
    <row r="229" spans="1:19" x14ac:dyDescent="0.25">
      <c r="A229" s="51">
        <v>46251</v>
      </c>
      <c r="B229" s="9" t="s">
        <v>33</v>
      </c>
      <c r="C229" s="12">
        <v>46259</v>
      </c>
      <c r="D229" s="9" t="s">
        <v>30</v>
      </c>
      <c r="E229" s="9" t="s">
        <v>39</v>
      </c>
      <c r="F229" s="13"/>
      <c r="G229" s="39">
        <v>120</v>
      </c>
      <c r="H229" s="45">
        <v>15022</v>
      </c>
      <c r="I229" s="45">
        <v>14965</v>
      </c>
      <c r="J229" s="40">
        <f>IF(D229="Short",H229-I229,I229-H229)</f>
        <v>-57</v>
      </c>
      <c r="K229" s="40">
        <f>J229*G229</f>
        <v>-6840</v>
      </c>
      <c r="L229" s="40">
        <f>IF(D229="Short",G229*H229,G229*I229)</f>
        <v>1795800</v>
      </c>
      <c r="M229" s="40">
        <f>IF(D229="Short",G229*I229,H229*G229)</f>
        <v>1802640</v>
      </c>
      <c r="N229" s="40">
        <f>L229+M229</f>
        <v>3598440</v>
      </c>
      <c r="O229" s="40">
        <f>N229*0.000134</f>
        <v>482.19096000000002</v>
      </c>
      <c r="P229" s="40">
        <f>K229-O229</f>
        <v>-7322.1909599999999</v>
      </c>
      <c r="Q229" s="14"/>
      <c r="R229" s="14"/>
      <c r="S229" s="14"/>
    </row>
  </sheetData>
  <autoFilter ref="A1:S228">
    <filterColumn colId="8">
      <colorFilter dxfId="0"/>
    </filterColumn>
  </autoFilter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681"/>
  <sheetViews>
    <sheetView zoomScaleNormal="100" workbookViewId="0">
      <pane ySplit="1" topLeftCell="A668" activePane="bottomLeft" state="frozen"/>
      <selection pane="bottomLeft" activeCell="I683" sqref="I683"/>
    </sheetView>
  </sheetViews>
  <sheetFormatPr defaultRowHeight="15" x14ac:dyDescent="0.25"/>
  <cols>
    <col min="1" max="1" width="10.42578125" style="16" bestFit="1" customWidth="1"/>
    <col min="2" max="2" width="12.85546875" style="16" bestFit="1" customWidth="1"/>
    <col min="3" max="3" width="11.42578125" style="16" bestFit="1" customWidth="1"/>
    <col min="4" max="4" width="7.5703125" style="16" bestFit="1" customWidth="1"/>
    <col min="5" max="5" width="8.7109375" style="16" bestFit="1" customWidth="1"/>
    <col min="6" max="6" width="7.5703125" style="16" bestFit="1" customWidth="1"/>
    <col min="7" max="7" width="8" style="16" customWidth="1"/>
    <col min="8" max="8" width="10" style="16" bestFit="1" customWidth="1"/>
    <col min="9" max="9" width="11.5703125" style="7" bestFit="1" customWidth="1"/>
    <col min="10" max="10" width="12.28515625" style="32" bestFit="1" customWidth="1"/>
    <col min="11" max="11" width="16.140625" style="32" bestFit="1" customWidth="1"/>
    <col min="12" max="13" width="15.42578125" style="32" bestFit="1" customWidth="1"/>
    <col min="14" max="14" width="16.28515625" style="32" bestFit="1" customWidth="1"/>
    <col min="15" max="15" width="10.5703125" style="32" bestFit="1" customWidth="1"/>
    <col min="16" max="16" width="15.5703125" style="32" bestFit="1" customWidth="1"/>
  </cols>
  <sheetData>
    <row r="1" spans="1:16" ht="31.5" customHeight="1" x14ac:dyDescent="0.25">
      <c r="A1" s="50" t="s">
        <v>12</v>
      </c>
      <c r="B1" s="50" t="s">
        <v>13</v>
      </c>
      <c r="C1" s="50" t="s">
        <v>14</v>
      </c>
      <c r="D1" s="50" t="s">
        <v>15</v>
      </c>
      <c r="E1" s="50" t="s">
        <v>16</v>
      </c>
      <c r="F1" s="50" t="s">
        <v>17</v>
      </c>
      <c r="G1" s="50" t="s">
        <v>36</v>
      </c>
      <c r="H1" s="50" t="s">
        <v>19</v>
      </c>
      <c r="I1" s="6" t="s">
        <v>20</v>
      </c>
      <c r="J1" s="38" t="s">
        <v>21</v>
      </c>
      <c r="K1" s="38" t="s">
        <v>37</v>
      </c>
      <c r="L1" s="38" t="s">
        <v>23</v>
      </c>
      <c r="M1" s="38" t="s">
        <v>24</v>
      </c>
      <c r="N1" s="38" t="s">
        <v>25</v>
      </c>
      <c r="O1" s="38" t="s">
        <v>38</v>
      </c>
      <c r="P1" s="38" t="s">
        <v>3</v>
      </c>
    </row>
    <row r="2" spans="1:16" x14ac:dyDescent="0.25">
      <c r="A2" s="52">
        <v>46154</v>
      </c>
      <c r="B2" s="9" t="s">
        <v>31</v>
      </c>
      <c r="C2" s="8">
        <v>46161</v>
      </c>
      <c r="D2" s="9" t="s">
        <v>28</v>
      </c>
      <c r="E2" s="9" t="s">
        <v>29</v>
      </c>
      <c r="F2" s="41">
        <v>23350</v>
      </c>
      <c r="G2" s="42">
        <v>1885</v>
      </c>
      <c r="H2" s="10">
        <v>275.20999999999998</v>
      </c>
      <c r="I2" s="10">
        <v>321.72000000000003</v>
      </c>
      <c r="J2" s="43">
        <f>IF(D2="Short",H2-I2,I2-H2)</f>
        <v>-46.510000000000048</v>
      </c>
      <c r="K2" s="43">
        <f>J2*G2</f>
        <v>-87671.350000000093</v>
      </c>
      <c r="L2" s="43">
        <f>IF(D2="Short",G2*H2,G2*I2)</f>
        <v>518770.85</v>
      </c>
      <c r="M2" s="43">
        <f>IF(D2="Short",G2*I2,H2*G2)</f>
        <v>606442.20000000007</v>
      </c>
      <c r="N2" s="43">
        <f>L2+M2</f>
        <v>1125213.05</v>
      </c>
      <c r="O2" s="43">
        <f>N2*0.0009975</f>
        <v>1122.4000173749998</v>
      </c>
      <c r="P2" s="43">
        <f t="shared" ref="P2:P65" si="0">K2-O2</f>
        <v>-88793.750017375089</v>
      </c>
    </row>
    <row r="3" spans="1:16" x14ac:dyDescent="0.25">
      <c r="A3" s="52">
        <v>46154</v>
      </c>
      <c r="B3" s="9" t="s">
        <v>31</v>
      </c>
      <c r="C3" s="8">
        <v>46161</v>
      </c>
      <c r="D3" s="9" t="s">
        <v>28</v>
      </c>
      <c r="E3" s="9" t="s">
        <v>29</v>
      </c>
      <c r="F3" s="41">
        <v>23400</v>
      </c>
      <c r="G3" s="42">
        <v>1690</v>
      </c>
      <c r="H3" s="10">
        <v>250.56</v>
      </c>
      <c r="I3" s="11">
        <v>368.67</v>
      </c>
      <c r="J3" s="43">
        <f>IF(D3="Short",H3-I3,I3-H3)</f>
        <v>-118.11000000000001</v>
      </c>
      <c r="K3" s="43">
        <f>J3*G3</f>
        <v>-199605.90000000002</v>
      </c>
      <c r="L3" s="43">
        <f>IF(D3="Short",G3*H3,G3*I3)</f>
        <v>423446.4</v>
      </c>
      <c r="M3" s="43">
        <f>IF(D3="Short",G3*I3,H3*G3)</f>
        <v>623052.30000000005</v>
      </c>
      <c r="N3" s="43">
        <f>L3+M3</f>
        <v>1046498.7000000001</v>
      </c>
      <c r="O3" s="43">
        <f>N3*0.000134</f>
        <v>140.23082580000002</v>
      </c>
      <c r="P3" s="43">
        <f t="shared" si="0"/>
        <v>-199746.13082580004</v>
      </c>
    </row>
    <row r="4" spans="1:16" x14ac:dyDescent="0.25">
      <c r="A4" s="52">
        <v>46154</v>
      </c>
      <c r="B4" s="9" t="s">
        <v>31</v>
      </c>
      <c r="C4" s="8">
        <v>46161</v>
      </c>
      <c r="D4" s="9" t="s">
        <v>28</v>
      </c>
      <c r="E4" s="9" t="s">
        <v>29</v>
      </c>
      <c r="F4" s="44">
        <v>23450</v>
      </c>
      <c r="G4" s="42">
        <v>2080</v>
      </c>
      <c r="H4" s="10">
        <v>228.06</v>
      </c>
      <c r="I4" s="10">
        <v>273.66000000000003</v>
      </c>
      <c r="J4" s="43">
        <f>IF(D4="Short",H4-I4,I4-H4)</f>
        <v>-45.600000000000023</v>
      </c>
      <c r="K4" s="43">
        <f>J4*G4</f>
        <v>-94848.000000000044</v>
      </c>
      <c r="L4" s="43">
        <f>IF(D4="Short",G4*H4,G4*I4)</f>
        <v>474364.8</v>
      </c>
      <c r="M4" s="43">
        <f>IF(D4="Short",G4*I4,H4*G4)</f>
        <v>569212.80000000005</v>
      </c>
      <c r="N4" s="43">
        <f>L4+M4</f>
        <v>1043577.6000000001</v>
      </c>
      <c r="O4" s="43">
        <f>N4*0.000134</f>
        <v>139.83939840000002</v>
      </c>
      <c r="P4" s="43">
        <f t="shared" si="0"/>
        <v>-94987.839398400043</v>
      </c>
    </row>
    <row r="5" spans="1:16" x14ac:dyDescent="0.25">
      <c r="A5" s="52">
        <v>46154</v>
      </c>
      <c r="B5" s="9" t="s">
        <v>31</v>
      </c>
      <c r="C5" s="8">
        <v>46161</v>
      </c>
      <c r="D5" s="9" t="s">
        <v>30</v>
      </c>
      <c r="E5" s="9" t="s">
        <v>29</v>
      </c>
      <c r="F5" s="41">
        <v>24200</v>
      </c>
      <c r="G5" s="42">
        <v>14495</v>
      </c>
      <c r="H5" s="10">
        <v>31.51</v>
      </c>
      <c r="I5" s="10">
        <v>32.04</v>
      </c>
      <c r="J5" s="43">
        <f>IF(D5="Short",H5-I5,I5-H5)</f>
        <v>0.52999999999999758</v>
      </c>
      <c r="K5" s="43">
        <f>J5*G5</f>
        <v>7682.3499999999649</v>
      </c>
      <c r="L5" s="43">
        <f>IF(D5="Short",G5*H5,G5*I5)</f>
        <v>464419.8</v>
      </c>
      <c r="M5" s="43">
        <f>IF(D5="Short",G5*I5,H5*G5)</f>
        <v>456737.45</v>
      </c>
      <c r="N5" s="43">
        <f>L5+M5</f>
        <v>921157.25</v>
      </c>
      <c r="O5" s="43">
        <f>N5*0.000134</f>
        <v>123.43507150000001</v>
      </c>
      <c r="P5" s="43">
        <f t="shared" si="0"/>
        <v>7558.9149284999648</v>
      </c>
    </row>
    <row r="6" spans="1:16" x14ac:dyDescent="0.25">
      <c r="A6" s="52">
        <v>46154</v>
      </c>
      <c r="B6" s="9" t="s">
        <v>27</v>
      </c>
      <c r="C6" s="8">
        <v>46156</v>
      </c>
      <c r="D6" s="9" t="s">
        <v>28</v>
      </c>
      <c r="E6" s="9" t="s">
        <v>29</v>
      </c>
      <c r="F6" s="41">
        <v>76300</v>
      </c>
      <c r="G6" s="42">
        <v>560</v>
      </c>
      <c r="H6" s="10">
        <v>65.91</v>
      </c>
      <c r="I6" s="10">
        <v>57.16</v>
      </c>
      <c r="J6" s="43">
        <f>IF(D6="Short",H6-I6,I6-H6)</f>
        <v>8.75</v>
      </c>
      <c r="K6" s="43">
        <f>J6*G6</f>
        <v>4900</v>
      </c>
      <c r="L6" s="43">
        <f>IF(D6="Short",G6*H6,G6*I6)</f>
        <v>36909.599999999999</v>
      </c>
      <c r="M6" s="43">
        <f>IF(D6="Short",G6*I6,H6*G6)</f>
        <v>32009.599999999999</v>
      </c>
      <c r="N6" s="43">
        <f>L6+M6</f>
        <v>68919.199999999997</v>
      </c>
      <c r="O6" s="43">
        <f>N6*0.000134</f>
        <v>9.2351727999999991</v>
      </c>
      <c r="P6" s="43">
        <f t="shared" si="0"/>
        <v>4890.7648271999997</v>
      </c>
    </row>
    <row r="7" spans="1:16" x14ac:dyDescent="0.25">
      <c r="A7" s="52">
        <v>46154</v>
      </c>
      <c r="B7" s="9" t="s">
        <v>27</v>
      </c>
      <c r="C7" s="8">
        <v>46156</v>
      </c>
      <c r="D7" s="9" t="s">
        <v>28</v>
      </c>
      <c r="E7" s="9" t="s">
        <v>29</v>
      </c>
      <c r="F7" s="41">
        <v>76500</v>
      </c>
      <c r="G7" s="42">
        <v>380</v>
      </c>
      <c r="H7" s="10">
        <v>53.72</v>
      </c>
      <c r="I7" s="11">
        <v>12.73</v>
      </c>
      <c r="J7" s="43">
        <f>IF(D7="Short",H7-I7,I7-H7)</f>
        <v>40.989999999999995</v>
      </c>
      <c r="K7" s="43">
        <f>J7*G7</f>
        <v>15576.199999999999</v>
      </c>
      <c r="L7" s="43">
        <f>IF(D7="Short",G7*H7,G7*I7)</f>
        <v>20413.599999999999</v>
      </c>
      <c r="M7" s="43">
        <f>IF(D7="Short",G7*I7,H7*G7)</f>
        <v>4837.4000000000005</v>
      </c>
      <c r="N7" s="43">
        <f>L7+M7</f>
        <v>25251</v>
      </c>
      <c r="O7" s="43">
        <f>N7*0.000134</f>
        <v>3.3836340000000003</v>
      </c>
      <c r="P7" s="43">
        <f t="shared" si="0"/>
        <v>15572.816365999999</v>
      </c>
    </row>
    <row r="8" spans="1:16" x14ac:dyDescent="0.25">
      <c r="A8" s="52">
        <v>46154</v>
      </c>
      <c r="B8" s="9" t="s">
        <v>27</v>
      </c>
      <c r="C8" s="8">
        <v>46156</v>
      </c>
      <c r="D8" s="9" t="s">
        <v>28</v>
      </c>
      <c r="E8" s="9" t="s">
        <v>29</v>
      </c>
      <c r="F8" s="41">
        <v>77200</v>
      </c>
      <c r="G8" s="42">
        <v>120</v>
      </c>
      <c r="H8" s="10">
        <v>26.27</v>
      </c>
      <c r="I8" s="10">
        <v>2.15</v>
      </c>
      <c r="J8" s="43">
        <f>IF(D8="Short",H8-I8,I8-H8)</f>
        <v>24.12</v>
      </c>
      <c r="K8" s="43">
        <f>J8*G8</f>
        <v>2894.4</v>
      </c>
      <c r="L8" s="43">
        <f>IF(D8="Short",G8*H8,G8*I8)</f>
        <v>3152.4</v>
      </c>
      <c r="M8" s="43">
        <f>IF(D8="Short",G8*I8,H8*G8)</f>
        <v>258</v>
      </c>
      <c r="N8" s="43">
        <f>L8+M8</f>
        <v>3410.4</v>
      </c>
      <c r="O8" s="43">
        <f>N8*0.000134</f>
        <v>0.45699360000000006</v>
      </c>
      <c r="P8" s="43">
        <f t="shared" si="0"/>
        <v>2893.9430064000003</v>
      </c>
    </row>
    <row r="9" spans="1:16" x14ac:dyDescent="0.25">
      <c r="A9" s="52">
        <v>46154</v>
      </c>
      <c r="B9" s="9" t="s">
        <v>27</v>
      </c>
      <c r="C9" s="8">
        <v>46156</v>
      </c>
      <c r="D9" s="9" t="s">
        <v>28</v>
      </c>
      <c r="E9" s="9" t="s">
        <v>29</v>
      </c>
      <c r="F9" s="41">
        <v>77300</v>
      </c>
      <c r="G9" s="42">
        <v>120</v>
      </c>
      <c r="H9" s="10">
        <v>23.8</v>
      </c>
      <c r="I9" s="10">
        <v>2.15</v>
      </c>
      <c r="J9" s="43">
        <f>IF(D9="Short",H9-I9,I9-H9)</f>
        <v>21.650000000000002</v>
      </c>
      <c r="K9" s="43">
        <f>J9*G9</f>
        <v>2598.0000000000005</v>
      </c>
      <c r="L9" s="43">
        <f>IF(D9="Short",G9*H9,G9*I9)</f>
        <v>2856</v>
      </c>
      <c r="M9" s="43">
        <f>IF(D9="Short",G9*I9,H9*G9)</f>
        <v>258</v>
      </c>
      <c r="N9" s="43">
        <f>L9+M9</f>
        <v>3114</v>
      </c>
      <c r="O9" s="43">
        <f>N9*0.000134</f>
        <v>0.41727600000000004</v>
      </c>
      <c r="P9" s="43">
        <f t="shared" si="0"/>
        <v>2597.5827240000003</v>
      </c>
    </row>
    <row r="10" spans="1:16" x14ac:dyDescent="0.25">
      <c r="A10" s="52">
        <v>46154</v>
      </c>
      <c r="B10" s="9" t="s">
        <v>27</v>
      </c>
      <c r="C10" s="8">
        <v>46156</v>
      </c>
      <c r="D10" s="9" t="s">
        <v>28</v>
      </c>
      <c r="E10" s="9" t="s">
        <v>29</v>
      </c>
      <c r="F10" s="41">
        <v>77400</v>
      </c>
      <c r="G10" s="42">
        <v>120</v>
      </c>
      <c r="H10" s="10">
        <v>22</v>
      </c>
      <c r="I10" s="10">
        <v>2</v>
      </c>
      <c r="J10" s="43">
        <f>IF(D10="Short",H10-I10,I10-H10)</f>
        <v>20</v>
      </c>
      <c r="K10" s="43">
        <f>J10*G10</f>
        <v>2400</v>
      </c>
      <c r="L10" s="43">
        <f>IF(D10="Short",G10*H10,G10*I10)</f>
        <v>2640</v>
      </c>
      <c r="M10" s="43">
        <f>IF(D10="Short",G10*I10,H10*G10)</f>
        <v>240</v>
      </c>
      <c r="N10" s="43">
        <f>L10+M10</f>
        <v>2880</v>
      </c>
      <c r="O10" s="43">
        <f>N10*0.000134</f>
        <v>0.38592000000000004</v>
      </c>
      <c r="P10" s="43">
        <f t="shared" si="0"/>
        <v>2399.6140799999998</v>
      </c>
    </row>
    <row r="11" spans="1:16" x14ac:dyDescent="0.25">
      <c r="A11" s="52">
        <v>46154</v>
      </c>
      <c r="B11" s="9" t="s">
        <v>27</v>
      </c>
      <c r="C11" s="8">
        <v>46156</v>
      </c>
      <c r="D11" s="9" t="s">
        <v>28</v>
      </c>
      <c r="E11" s="9" t="s">
        <v>29</v>
      </c>
      <c r="F11" s="41">
        <v>77500</v>
      </c>
      <c r="G11" s="42">
        <v>520</v>
      </c>
      <c r="H11" s="10">
        <v>20.25</v>
      </c>
      <c r="I11" s="10">
        <v>1.93</v>
      </c>
      <c r="J11" s="43">
        <f>IF(D11="Short",H11-I11,I11-H11)</f>
        <v>18.32</v>
      </c>
      <c r="K11" s="43">
        <f>J11*G11</f>
        <v>9526.4</v>
      </c>
      <c r="L11" s="43">
        <f>IF(D11="Short",G11*H11,G11*I11)</f>
        <v>10530</v>
      </c>
      <c r="M11" s="43">
        <f>IF(D11="Short",G11*I11,H11*G11)</f>
        <v>1003.6</v>
      </c>
      <c r="N11" s="43">
        <f>L11+M11</f>
        <v>11533.6</v>
      </c>
      <c r="O11" s="43">
        <f>N11*0.000134</f>
        <v>1.5455024000000002</v>
      </c>
      <c r="P11" s="43">
        <f t="shared" si="0"/>
        <v>9524.8544975999994</v>
      </c>
    </row>
    <row r="12" spans="1:16" x14ac:dyDescent="0.25">
      <c r="A12" s="52">
        <v>46154</v>
      </c>
      <c r="B12" s="9" t="s">
        <v>27</v>
      </c>
      <c r="C12" s="8">
        <v>46156</v>
      </c>
      <c r="D12" s="9" t="s">
        <v>28</v>
      </c>
      <c r="E12" s="9" t="s">
        <v>29</v>
      </c>
      <c r="F12" s="41">
        <v>77900</v>
      </c>
      <c r="G12" s="42">
        <v>120</v>
      </c>
      <c r="H12" s="10">
        <v>15.25</v>
      </c>
      <c r="I12" s="10">
        <v>1.65</v>
      </c>
      <c r="J12" s="43">
        <f>IF(D12="Short",H12-I12,I12-H12)</f>
        <v>13.6</v>
      </c>
      <c r="K12" s="43">
        <f>J12*G12</f>
        <v>1632</v>
      </c>
      <c r="L12" s="43">
        <f>IF(D12="Short",G12*H12,G12*I12)</f>
        <v>1830</v>
      </c>
      <c r="M12" s="43">
        <f>IF(D12="Short",G12*I12,H12*G12)</f>
        <v>198</v>
      </c>
      <c r="N12" s="43">
        <f>L12+M12</f>
        <v>2028</v>
      </c>
      <c r="O12" s="43">
        <f>N12*0.000134</f>
        <v>0.27175199999999999</v>
      </c>
      <c r="P12" s="43">
        <f t="shared" si="0"/>
        <v>1631.7282479999999</v>
      </c>
    </row>
    <row r="13" spans="1:16" x14ac:dyDescent="0.25">
      <c r="A13" s="52">
        <v>46154</v>
      </c>
      <c r="B13" s="9" t="s">
        <v>31</v>
      </c>
      <c r="C13" s="8">
        <v>46161</v>
      </c>
      <c r="D13" s="9" t="s">
        <v>30</v>
      </c>
      <c r="E13" s="9" t="s">
        <v>32</v>
      </c>
      <c r="F13" s="41">
        <v>23400</v>
      </c>
      <c r="G13" s="42">
        <v>520</v>
      </c>
      <c r="H13" s="10">
        <v>220.75</v>
      </c>
      <c r="I13" s="10">
        <v>206.65</v>
      </c>
      <c r="J13" s="43">
        <f>IF(D13="Short",H13-I13,I13-H13)</f>
        <v>-14.099999999999994</v>
      </c>
      <c r="K13" s="43">
        <f>J13*G13</f>
        <v>-7331.9999999999973</v>
      </c>
      <c r="L13" s="43">
        <f>IF(D13="Short",G13*H13,G13*I13)</f>
        <v>107458</v>
      </c>
      <c r="M13" s="43">
        <f>IF(D13="Short",G13*I13,H13*G13)</f>
        <v>114790</v>
      </c>
      <c r="N13" s="43">
        <f>L13+M13</f>
        <v>222248</v>
      </c>
      <c r="O13" s="43">
        <f>N13*0.000134</f>
        <v>29.781231999999999</v>
      </c>
      <c r="P13" s="43">
        <f t="shared" si="0"/>
        <v>-7361.7812319999975</v>
      </c>
    </row>
    <row r="14" spans="1:16" x14ac:dyDescent="0.25">
      <c r="A14" s="52">
        <v>46154</v>
      </c>
      <c r="B14" s="9" t="s">
        <v>31</v>
      </c>
      <c r="C14" s="8">
        <v>46161</v>
      </c>
      <c r="D14" s="9" t="s">
        <v>30</v>
      </c>
      <c r="E14" s="9" t="s">
        <v>32</v>
      </c>
      <c r="F14" s="41">
        <v>23500</v>
      </c>
      <c r="G14" s="42">
        <v>390</v>
      </c>
      <c r="H14" s="10">
        <v>279.72000000000003</v>
      </c>
      <c r="I14" s="10">
        <v>231.69</v>
      </c>
      <c r="J14" s="43">
        <f>IF(D14="Short",H14-I14,I14-H14)</f>
        <v>-48.03000000000003</v>
      </c>
      <c r="K14" s="43">
        <f>J14*G14</f>
        <v>-18731.700000000012</v>
      </c>
      <c r="L14" s="43">
        <f>IF(D14="Short",G14*H14,G14*I14)</f>
        <v>90359.1</v>
      </c>
      <c r="M14" s="43">
        <f>IF(D14="Short",G14*I14,H14*G14)</f>
        <v>109090.80000000002</v>
      </c>
      <c r="N14" s="43">
        <f>L14+M14</f>
        <v>199449.90000000002</v>
      </c>
      <c r="O14" s="43">
        <f>N14*0.000134</f>
        <v>26.726286600000005</v>
      </c>
      <c r="P14" s="43">
        <f t="shared" si="0"/>
        <v>-18758.42628660001</v>
      </c>
    </row>
    <row r="15" spans="1:16" x14ac:dyDescent="0.25">
      <c r="A15" s="52">
        <v>46154</v>
      </c>
      <c r="B15" s="9" t="s">
        <v>31</v>
      </c>
      <c r="C15" s="8">
        <v>46161</v>
      </c>
      <c r="D15" s="9" t="s">
        <v>30</v>
      </c>
      <c r="E15" s="9" t="s">
        <v>32</v>
      </c>
      <c r="F15" s="41">
        <v>23550</v>
      </c>
      <c r="G15" s="42">
        <v>195</v>
      </c>
      <c r="H15" s="10">
        <v>310.33</v>
      </c>
      <c r="I15" s="10">
        <v>213.8</v>
      </c>
      <c r="J15" s="43">
        <f>IF(D15="Short",H15-I15,I15-H15)</f>
        <v>-96.529999999999973</v>
      </c>
      <c r="K15" s="43">
        <f>J15*G15</f>
        <v>-18823.349999999995</v>
      </c>
      <c r="L15" s="43">
        <f>IF(D15="Short",G15*H15,G15*I15)</f>
        <v>41691</v>
      </c>
      <c r="M15" s="43">
        <f>IF(D15="Short",G15*I15,H15*G15)</f>
        <v>60514.35</v>
      </c>
      <c r="N15" s="43">
        <f>L15+M15</f>
        <v>102205.35</v>
      </c>
      <c r="O15" s="43">
        <f>N15*0.000134</f>
        <v>13.695516900000001</v>
      </c>
      <c r="P15" s="43">
        <f t="shared" si="0"/>
        <v>-18837.045516899994</v>
      </c>
    </row>
    <row r="16" spans="1:16" x14ac:dyDescent="0.25">
      <c r="A16" s="52">
        <v>46154</v>
      </c>
      <c r="B16" s="9" t="s">
        <v>31</v>
      </c>
      <c r="C16" s="8">
        <v>46161</v>
      </c>
      <c r="D16" s="9" t="s">
        <v>30</v>
      </c>
      <c r="E16" s="9" t="s">
        <v>32</v>
      </c>
      <c r="F16" s="41">
        <v>23600</v>
      </c>
      <c r="G16" s="42">
        <v>650</v>
      </c>
      <c r="H16" s="10">
        <v>326.43</v>
      </c>
      <c r="I16" s="10">
        <v>312.74</v>
      </c>
      <c r="J16" s="43">
        <f>IF(D16="Short",H16-I16,I16-H16)</f>
        <v>-13.689999999999998</v>
      </c>
      <c r="K16" s="43">
        <f>J16*G16</f>
        <v>-8898.4999999999982</v>
      </c>
      <c r="L16" s="43">
        <f>IF(D16="Short",G16*H16,G16*I16)</f>
        <v>203281</v>
      </c>
      <c r="M16" s="43">
        <f>IF(D16="Short",G16*I16,H16*G16)</f>
        <v>212179.5</v>
      </c>
      <c r="N16" s="43">
        <f>L16+M16</f>
        <v>415460.5</v>
      </c>
      <c r="O16" s="43">
        <f>N16*0.000134</f>
        <v>55.671707000000005</v>
      </c>
      <c r="P16" s="43">
        <f t="shared" si="0"/>
        <v>-8954.1717069999977</v>
      </c>
    </row>
    <row r="17" spans="1:19" x14ac:dyDescent="0.25">
      <c r="A17" s="52">
        <v>46154</v>
      </c>
      <c r="B17" s="9" t="s">
        <v>27</v>
      </c>
      <c r="C17" s="8">
        <v>46156</v>
      </c>
      <c r="D17" s="9" t="s">
        <v>30</v>
      </c>
      <c r="E17" s="9" t="s">
        <v>32</v>
      </c>
      <c r="F17" s="41">
        <v>74800</v>
      </c>
      <c r="G17" s="42">
        <v>120</v>
      </c>
      <c r="H17" s="10">
        <v>528.54999999999995</v>
      </c>
      <c r="I17" s="10">
        <v>377.45</v>
      </c>
      <c r="J17" s="43">
        <f>IF(D17="Short",H17-I17,I17-H17)</f>
        <v>-151.09999999999997</v>
      </c>
      <c r="K17" s="43">
        <f>J17*G17</f>
        <v>-18131.999999999996</v>
      </c>
      <c r="L17" s="43">
        <f>IF(D17="Short",G17*H17,G17*I17)</f>
        <v>45294</v>
      </c>
      <c r="M17" s="43">
        <f>IF(D17="Short",G17*I17,H17*G17)</f>
        <v>63425.999999999993</v>
      </c>
      <c r="N17" s="43">
        <f>L17+M17</f>
        <v>108720</v>
      </c>
      <c r="O17" s="43">
        <f>N17*0.000134</f>
        <v>14.568480000000001</v>
      </c>
      <c r="P17" s="43">
        <f t="shared" si="0"/>
        <v>-18146.568479999998</v>
      </c>
    </row>
    <row r="18" spans="1:19" x14ac:dyDescent="0.25">
      <c r="A18" s="52">
        <v>46154</v>
      </c>
      <c r="B18" s="9" t="s">
        <v>27</v>
      </c>
      <c r="C18" s="8">
        <v>46156</v>
      </c>
      <c r="D18" s="9" t="s">
        <v>30</v>
      </c>
      <c r="E18" s="9" t="s">
        <v>32</v>
      </c>
      <c r="F18" s="41">
        <v>74900</v>
      </c>
      <c r="G18" s="42">
        <v>100</v>
      </c>
      <c r="H18" s="10">
        <v>580.5</v>
      </c>
      <c r="I18" s="10">
        <v>408.89</v>
      </c>
      <c r="J18" s="43">
        <f>IF(D18="Short",H18-I18,I18-H18)</f>
        <v>-171.61</v>
      </c>
      <c r="K18" s="43">
        <f>J18*G18</f>
        <v>-17161</v>
      </c>
      <c r="L18" s="43">
        <f>IF(D18="Short",G18*H18,G18*I18)</f>
        <v>40889</v>
      </c>
      <c r="M18" s="43">
        <f>IF(D18="Short",G18*I18,H18*G18)</f>
        <v>58050</v>
      </c>
      <c r="N18" s="43">
        <f>L18+M18</f>
        <v>98939</v>
      </c>
      <c r="O18" s="43">
        <f>N18*0.000134</f>
        <v>13.257826</v>
      </c>
      <c r="P18" s="43">
        <f t="shared" si="0"/>
        <v>-17174.257826000001</v>
      </c>
    </row>
    <row r="19" spans="1:19" x14ac:dyDescent="0.25">
      <c r="A19" s="52">
        <v>46154</v>
      </c>
      <c r="B19" s="9" t="s">
        <v>27</v>
      </c>
      <c r="C19" s="8">
        <v>46156</v>
      </c>
      <c r="D19" s="9" t="s">
        <v>30</v>
      </c>
      <c r="E19" s="9" t="s">
        <v>32</v>
      </c>
      <c r="F19" s="41">
        <v>75000</v>
      </c>
      <c r="G19" s="42">
        <v>420</v>
      </c>
      <c r="H19" s="10">
        <v>638.16999999999996</v>
      </c>
      <c r="I19" s="10">
        <v>598.82000000000005</v>
      </c>
      <c r="J19" s="43">
        <f>IF(D19="Short",H19-I19,I19-H19)</f>
        <v>-39.349999999999909</v>
      </c>
      <c r="K19" s="43">
        <f>J19*G19</f>
        <v>-16526.999999999964</v>
      </c>
      <c r="L19" s="43">
        <f>IF(D19="Short",G19*H19,G19*I19)</f>
        <v>251504.40000000002</v>
      </c>
      <c r="M19" s="43">
        <f>IF(D19="Short",G19*I19,H19*G19)</f>
        <v>268031.39999999997</v>
      </c>
      <c r="N19" s="43">
        <f>L19+M19</f>
        <v>519535.8</v>
      </c>
      <c r="O19" s="43">
        <f>N19*0.000134</f>
        <v>69.617797199999998</v>
      </c>
      <c r="P19" s="43">
        <f t="shared" si="0"/>
        <v>-16596.617797199964</v>
      </c>
    </row>
    <row r="20" spans="1:19" x14ac:dyDescent="0.25">
      <c r="A20" s="52">
        <v>46154</v>
      </c>
      <c r="B20" s="9" t="s">
        <v>27</v>
      </c>
      <c r="C20" s="8">
        <v>46156</v>
      </c>
      <c r="D20" s="9" t="s">
        <v>30</v>
      </c>
      <c r="E20" s="9" t="s">
        <v>32</v>
      </c>
      <c r="F20" s="41">
        <v>75200</v>
      </c>
      <c r="G20" s="42">
        <v>440</v>
      </c>
      <c r="H20" s="10">
        <v>778.07</v>
      </c>
      <c r="I20" s="10">
        <v>728</v>
      </c>
      <c r="J20" s="43">
        <f>IF(D20="Short",H20-I20,I20-H20)</f>
        <v>-50.07000000000005</v>
      </c>
      <c r="K20" s="43">
        <f>J20*G20</f>
        <v>-22030.800000000021</v>
      </c>
      <c r="L20" s="43">
        <f>IF(D20="Short",G20*H20,G20*I20)</f>
        <v>320320</v>
      </c>
      <c r="M20" s="43">
        <f>IF(D20="Short",G20*I20,H20*G20)</f>
        <v>342350.80000000005</v>
      </c>
      <c r="N20" s="43">
        <f>L20+M20</f>
        <v>662670.80000000005</v>
      </c>
      <c r="O20" s="43">
        <f>N20*0.000134</f>
        <v>88.797887200000005</v>
      </c>
      <c r="P20" s="43">
        <f t="shared" si="0"/>
        <v>-22119.59788720002</v>
      </c>
    </row>
    <row r="21" spans="1:19" x14ac:dyDescent="0.25">
      <c r="A21" s="52">
        <v>46154</v>
      </c>
      <c r="B21" s="9" t="s">
        <v>27</v>
      </c>
      <c r="C21" s="8">
        <v>46156</v>
      </c>
      <c r="D21" s="9" t="s">
        <v>30</v>
      </c>
      <c r="E21" s="9" t="s">
        <v>32</v>
      </c>
      <c r="F21" s="41">
        <v>75300</v>
      </c>
      <c r="G21" s="42">
        <v>220</v>
      </c>
      <c r="H21" s="10">
        <v>837.78</v>
      </c>
      <c r="I21" s="10">
        <v>795.11</v>
      </c>
      <c r="J21" s="43">
        <f>IF(D21="Short",H21-I21,I21-H21)</f>
        <v>-42.669999999999959</v>
      </c>
      <c r="K21" s="43">
        <f>J21*G21</f>
        <v>-9387.3999999999905</v>
      </c>
      <c r="L21" s="43">
        <f>IF(D21="Short",G21*H21,G21*I21)</f>
        <v>174924.2</v>
      </c>
      <c r="M21" s="43">
        <f>IF(D21="Short",G21*I21,H21*G21)</f>
        <v>184311.6</v>
      </c>
      <c r="N21" s="43">
        <f>L21+M21</f>
        <v>359235.80000000005</v>
      </c>
      <c r="O21" s="43">
        <f>N21*0.000134</f>
        <v>48.137597200000009</v>
      </c>
      <c r="P21" s="43">
        <f t="shared" si="0"/>
        <v>-9435.5375971999911</v>
      </c>
    </row>
    <row r="22" spans="1:19" x14ac:dyDescent="0.25">
      <c r="A22" s="51">
        <v>46155</v>
      </c>
      <c r="B22" s="9" t="s">
        <v>27</v>
      </c>
      <c r="C22" s="12">
        <v>46156</v>
      </c>
      <c r="D22" s="9" t="s">
        <v>28</v>
      </c>
      <c r="E22" s="9" t="s">
        <v>29</v>
      </c>
      <c r="F22" s="13">
        <v>76500</v>
      </c>
      <c r="G22" s="39">
        <v>40</v>
      </c>
      <c r="H22" s="45">
        <v>13.4</v>
      </c>
      <c r="I22" s="45">
        <v>12.73</v>
      </c>
      <c r="J22" s="40">
        <f>IF(D22="Short",H22-I22,I22-H22)</f>
        <v>0.66999999999999993</v>
      </c>
      <c r="K22" s="40">
        <f>J22*G22</f>
        <v>26.799999999999997</v>
      </c>
      <c r="L22" s="40">
        <f>IF(D22="Short",G22*H22,G22*I22)</f>
        <v>536</v>
      </c>
      <c r="M22" s="40">
        <f>IF(D22="Short",G22*I22,H22*G22)</f>
        <v>509.20000000000005</v>
      </c>
      <c r="N22" s="40">
        <f>L22+M22</f>
        <v>1045.2</v>
      </c>
      <c r="O22" s="40">
        <f>N22*0.000134</f>
        <v>0.14005680000000001</v>
      </c>
      <c r="P22" s="40">
        <f t="shared" si="0"/>
        <v>26.659943199999997</v>
      </c>
      <c r="Q22" s="14"/>
      <c r="R22" s="14"/>
      <c r="S22" s="14"/>
    </row>
    <row r="23" spans="1:19" x14ac:dyDescent="0.25">
      <c r="A23" s="51">
        <v>46155</v>
      </c>
      <c r="B23" s="9" t="s">
        <v>31</v>
      </c>
      <c r="C23" s="12">
        <v>46161</v>
      </c>
      <c r="D23" s="9" t="s">
        <v>30</v>
      </c>
      <c r="E23" s="9" t="s">
        <v>29</v>
      </c>
      <c r="F23" s="13">
        <v>23500</v>
      </c>
      <c r="G23" s="39">
        <v>650</v>
      </c>
      <c r="H23" s="45">
        <v>245.31</v>
      </c>
      <c r="I23" s="45">
        <v>245.06</v>
      </c>
      <c r="J23" s="40">
        <f>IF(D23="Short",H23-I23,I23-H23)</f>
        <v>-0.25</v>
      </c>
      <c r="K23" s="40">
        <f>J23*G23</f>
        <v>-162.5</v>
      </c>
      <c r="L23" s="40">
        <f>IF(D23="Short",G23*H23,G23*I23)</f>
        <v>159289</v>
      </c>
      <c r="M23" s="40">
        <f>IF(D23="Short",G23*I23,H23*G23)</f>
        <v>159451.5</v>
      </c>
      <c r="N23" s="40">
        <f>L23+M23</f>
        <v>318740.5</v>
      </c>
      <c r="O23" s="40">
        <f>N23*0.000134</f>
        <v>42.711227000000001</v>
      </c>
      <c r="P23" s="40">
        <f t="shared" si="0"/>
        <v>-205.21122700000001</v>
      </c>
      <c r="Q23" s="14"/>
      <c r="R23" s="14"/>
      <c r="S23" s="14"/>
    </row>
    <row r="24" spans="1:19" x14ac:dyDescent="0.25">
      <c r="A24" s="51">
        <v>46155</v>
      </c>
      <c r="B24" s="9" t="s">
        <v>27</v>
      </c>
      <c r="C24" s="12">
        <v>46156</v>
      </c>
      <c r="D24" s="9" t="s">
        <v>30</v>
      </c>
      <c r="E24" s="9" t="s">
        <v>32</v>
      </c>
      <c r="F24" s="13">
        <v>74600</v>
      </c>
      <c r="G24" s="39">
        <v>240</v>
      </c>
      <c r="H24" s="45">
        <v>336.79</v>
      </c>
      <c r="I24" s="45">
        <v>62.3</v>
      </c>
      <c r="J24" s="40">
        <f>IF(D24="Short",H24-I24,I24-H24)</f>
        <v>-274.49</v>
      </c>
      <c r="K24" s="40">
        <f>J24*G24</f>
        <v>-65877.600000000006</v>
      </c>
      <c r="L24" s="40">
        <f>IF(D24="Short",G24*H24,G24*I24)</f>
        <v>14952</v>
      </c>
      <c r="M24" s="40">
        <f>IF(D24="Short",G24*I24,H24*G24)</f>
        <v>80829.600000000006</v>
      </c>
      <c r="N24" s="40">
        <f>L24+M24</f>
        <v>95781.6</v>
      </c>
      <c r="O24" s="40">
        <f>N24*0.000134</f>
        <v>12.834734400000002</v>
      </c>
      <c r="P24" s="40">
        <f t="shared" si="0"/>
        <v>-65890.434734400013</v>
      </c>
      <c r="Q24" s="14"/>
      <c r="R24" s="14"/>
      <c r="S24" s="14"/>
    </row>
    <row r="25" spans="1:19" x14ac:dyDescent="0.25">
      <c r="A25" s="51">
        <v>46155</v>
      </c>
      <c r="B25" s="9" t="s">
        <v>31</v>
      </c>
      <c r="C25" s="12">
        <v>46161</v>
      </c>
      <c r="D25" s="9" t="s">
        <v>30</v>
      </c>
      <c r="E25" s="9" t="s">
        <v>32</v>
      </c>
      <c r="F25" s="13">
        <v>23400</v>
      </c>
      <c r="G25" s="39">
        <v>390</v>
      </c>
      <c r="H25" s="45">
        <v>203.5</v>
      </c>
      <c r="I25" s="45">
        <v>120.4</v>
      </c>
      <c r="J25" s="40">
        <f>IF(D25="Short",H25-I25,I25-H25)</f>
        <v>-83.1</v>
      </c>
      <c r="K25" s="40">
        <f>J25*G25</f>
        <v>-32408.999999999996</v>
      </c>
      <c r="L25" s="40">
        <f>IF(D25="Short",G25*H25,G25*I25)</f>
        <v>46956</v>
      </c>
      <c r="M25" s="40">
        <f>IF(D25="Short",G25*I25,H25*G25)</f>
        <v>79365</v>
      </c>
      <c r="N25" s="40">
        <f>L25+M25</f>
        <v>126321</v>
      </c>
      <c r="O25" s="40">
        <f>N25*0.000134</f>
        <v>16.927014</v>
      </c>
      <c r="P25" s="40">
        <f t="shared" si="0"/>
        <v>-32425.927013999997</v>
      </c>
      <c r="Q25" s="14"/>
      <c r="R25" s="14"/>
      <c r="S25" s="14"/>
    </row>
    <row r="26" spans="1:19" x14ac:dyDescent="0.25">
      <c r="A26" s="51">
        <v>46155</v>
      </c>
      <c r="B26" s="9" t="s">
        <v>27</v>
      </c>
      <c r="C26" s="12">
        <v>46156</v>
      </c>
      <c r="D26" s="9" t="s">
        <v>30</v>
      </c>
      <c r="E26" s="9" t="s">
        <v>32</v>
      </c>
      <c r="F26" s="13">
        <v>74800</v>
      </c>
      <c r="G26" s="39">
        <v>600</v>
      </c>
      <c r="H26" s="45">
        <v>372.14</v>
      </c>
      <c r="I26" s="45">
        <v>377.45</v>
      </c>
      <c r="J26" s="40">
        <f>IF(D26="Short",H26-I26,I26-H26)</f>
        <v>5.3100000000000023</v>
      </c>
      <c r="K26" s="40">
        <f>J26*G26</f>
        <v>3186.0000000000014</v>
      </c>
      <c r="L26" s="40">
        <f>IF(D26="Short",G26*H26,G26*I26)</f>
        <v>226470</v>
      </c>
      <c r="M26" s="40">
        <f>IF(D26="Short",G26*I26,H26*G26)</f>
        <v>223284</v>
      </c>
      <c r="N26" s="40">
        <f>L26+M26</f>
        <v>449754</v>
      </c>
      <c r="O26" s="40">
        <f>N26*0.000134</f>
        <v>60.267036000000004</v>
      </c>
      <c r="P26" s="40">
        <f t="shared" si="0"/>
        <v>3125.7329640000012</v>
      </c>
      <c r="Q26" s="14"/>
      <c r="R26" s="14"/>
      <c r="S26" s="14"/>
    </row>
    <row r="27" spans="1:19" x14ac:dyDescent="0.25">
      <c r="A27" s="51">
        <v>46155</v>
      </c>
      <c r="B27" s="9" t="s">
        <v>27</v>
      </c>
      <c r="C27" s="12">
        <v>46156</v>
      </c>
      <c r="D27" s="9" t="s">
        <v>28</v>
      </c>
      <c r="E27" s="9" t="s">
        <v>29</v>
      </c>
      <c r="F27" s="13">
        <v>74600</v>
      </c>
      <c r="G27" s="39">
        <v>300</v>
      </c>
      <c r="H27" s="45">
        <v>374.79</v>
      </c>
      <c r="I27" s="45">
        <v>516.16999999999996</v>
      </c>
      <c r="J27" s="40">
        <f>IF(D27="Short",H27-I27,I27-H27)</f>
        <v>-141.37999999999994</v>
      </c>
      <c r="K27" s="40">
        <f>J27*G27</f>
        <v>-42413.999999999978</v>
      </c>
      <c r="L27" s="40">
        <f>IF(D27="Short",G27*H27,G27*I27)</f>
        <v>112437</v>
      </c>
      <c r="M27" s="40">
        <f>IF(D27="Short",G27*I27,H27*G27)</f>
        <v>154851</v>
      </c>
      <c r="N27" s="40">
        <f>L27+M27</f>
        <v>267288</v>
      </c>
      <c r="O27" s="40">
        <f>N27*0.000134</f>
        <v>35.816592</v>
      </c>
      <c r="P27" s="40">
        <f t="shared" si="0"/>
        <v>-42449.816591999981</v>
      </c>
      <c r="Q27" s="14"/>
      <c r="R27" s="14"/>
      <c r="S27" s="14"/>
    </row>
    <row r="28" spans="1:19" x14ac:dyDescent="0.25">
      <c r="A28" s="51">
        <v>46155</v>
      </c>
      <c r="B28" s="9" t="s">
        <v>31</v>
      </c>
      <c r="C28" s="12">
        <v>46161</v>
      </c>
      <c r="D28" s="9" t="s">
        <v>30</v>
      </c>
      <c r="E28" s="9" t="s">
        <v>32</v>
      </c>
      <c r="F28" s="13">
        <v>23450</v>
      </c>
      <c r="G28" s="39">
        <v>1820</v>
      </c>
      <c r="H28" s="45">
        <v>215.09</v>
      </c>
      <c r="I28" s="45">
        <v>207.31</v>
      </c>
      <c r="J28" s="40">
        <f>IF(D28="Short",H28-I28,I28-H28)</f>
        <v>-7.7800000000000011</v>
      </c>
      <c r="K28" s="40">
        <f>J28*G28</f>
        <v>-14159.600000000002</v>
      </c>
      <c r="L28" s="40">
        <f>IF(D28="Short",G28*H28,G28*I28)</f>
        <v>377304.2</v>
      </c>
      <c r="M28" s="40">
        <f>IF(D28="Short",G28*I28,H28*G28)</f>
        <v>391463.8</v>
      </c>
      <c r="N28" s="40">
        <f>L28+M28</f>
        <v>768768</v>
      </c>
      <c r="O28" s="40">
        <f>N28*0.000134</f>
        <v>103.01491200000001</v>
      </c>
      <c r="P28" s="40">
        <f t="shared" si="0"/>
        <v>-14262.614912000003</v>
      </c>
      <c r="Q28" s="14"/>
      <c r="R28" s="14"/>
      <c r="S28" s="14"/>
    </row>
    <row r="29" spans="1:19" x14ac:dyDescent="0.25">
      <c r="A29" s="51">
        <v>46155</v>
      </c>
      <c r="B29" s="9" t="s">
        <v>31</v>
      </c>
      <c r="C29" s="12">
        <v>46161</v>
      </c>
      <c r="D29" s="9" t="s">
        <v>28</v>
      </c>
      <c r="E29" s="9" t="s">
        <v>29</v>
      </c>
      <c r="F29" s="13">
        <v>23400</v>
      </c>
      <c r="G29" s="39">
        <v>455</v>
      </c>
      <c r="H29" s="45">
        <v>242.99</v>
      </c>
      <c r="I29" s="45">
        <v>439.65</v>
      </c>
      <c r="J29" s="40">
        <f>IF(D29="Short",H29-I29,I29-H29)</f>
        <v>-196.65999999999997</v>
      </c>
      <c r="K29" s="40">
        <f>J29*G29</f>
        <v>-89480.299999999988</v>
      </c>
      <c r="L29" s="40">
        <f>IF(D29="Short",G29*H29,G29*I29)</f>
        <v>110560.45</v>
      </c>
      <c r="M29" s="40">
        <f>IF(D29="Short",G29*I29,H29*G29)</f>
        <v>200040.75</v>
      </c>
      <c r="N29" s="40">
        <f>L29+M29</f>
        <v>310601.2</v>
      </c>
      <c r="O29" s="40">
        <f>N29*0.000134</f>
        <v>41.6205608</v>
      </c>
      <c r="P29" s="40">
        <f t="shared" si="0"/>
        <v>-89521.92056079999</v>
      </c>
      <c r="Q29" s="14"/>
      <c r="R29" s="14"/>
      <c r="S29" s="14"/>
    </row>
    <row r="30" spans="1:19" x14ac:dyDescent="0.25">
      <c r="A30" s="51">
        <v>46155</v>
      </c>
      <c r="B30" s="9" t="s">
        <v>27</v>
      </c>
      <c r="C30" s="12">
        <v>46156</v>
      </c>
      <c r="D30" s="9" t="s">
        <v>28</v>
      </c>
      <c r="E30" s="9" t="s">
        <v>29</v>
      </c>
      <c r="F30" s="13">
        <v>77900</v>
      </c>
      <c r="G30" s="39">
        <v>280</v>
      </c>
      <c r="H30" s="45">
        <v>15.25</v>
      </c>
      <c r="I30" s="45">
        <v>7.03</v>
      </c>
      <c r="J30" s="40">
        <f>IF(D30="Short",H30-I30,I30-H30)</f>
        <v>8.2199999999999989</v>
      </c>
      <c r="K30" s="40">
        <f>J30*G30</f>
        <v>2301.5999999999995</v>
      </c>
      <c r="L30" s="40">
        <f>IF(D30="Short",G30*H30,G30*I30)</f>
        <v>4270</v>
      </c>
      <c r="M30" s="40">
        <f>IF(D30="Short",G30*I30,H30*G30)</f>
        <v>1968.4</v>
      </c>
      <c r="N30" s="40">
        <f>L30+M30</f>
        <v>6238.4</v>
      </c>
      <c r="O30" s="40">
        <f>N30*0.000134</f>
        <v>0.83594559999999996</v>
      </c>
      <c r="P30" s="40">
        <f t="shared" si="0"/>
        <v>2300.7640543999996</v>
      </c>
      <c r="Q30" s="14"/>
      <c r="R30" s="14"/>
      <c r="S30" s="14"/>
    </row>
    <row r="31" spans="1:19" x14ac:dyDescent="0.25">
      <c r="A31" s="51">
        <v>46155</v>
      </c>
      <c r="B31" s="9" t="s">
        <v>27</v>
      </c>
      <c r="C31" s="12">
        <v>46156</v>
      </c>
      <c r="D31" s="9" t="s">
        <v>28</v>
      </c>
      <c r="E31" s="9" t="s">
        <v>29</v>
      </c>
      <c r="F31" s="13">
        <v>74800</v>
      </c>
      <c r="G31" s="39">
        <v>300</v>
      </c>
      <c r="H31" s="45">
        <v>401.67</v>
      </c>
      <c r="I31" s="45">
        <v>341.78</v>
      </c>
      <c r="J31" s="40">
        <f>IF(D31="Short",H31-I31,I31-H31)</f>
        <v>59.890000000000043</v>
      </c>
      <c r="K31" s="40">
        <f>J31*G31</f>
        <v>17967.000000000015</v>
      </c>
      <c r="L31" s="40">
        <f>IF(D31="Short",G31*H31,G31*I31)</f>
        <v>120501</v>
      </c>
      <c r="M31" s="40">
        <f>IF(D31="Short",G31*I31,H31*G31)</f>
        <v>102533.99999999999</v>
      </c>
      <c r="N31" s="40">
        <f>L31+M31</f>
        <v>223035</v>
      </c>
      <c r="O31" s="40">
        <f>N31*0.000134</f>
        <v>29.886690000000002</v>
      </c>
      <c r="P31" s="40">
        <f t="shared" si="0"/>
        <v>17937.113310000015</v>
      </c>
      <c r="Q31" s="14"/>
      <c r="R31" s="14"/>
      <c r="S31" s="14"/>
    </row>
    <row r="32" spans="1:19" x14ac:dyDescent="0.25">
      <c r="A32" s="51">
        <v>46155</v>
      </c>
      <c r="B32" s="9" t="s">
        <v>27</v>
      </c>
      <c r="C32" s="12">
        <v>46156</v>
      </c>
      <c r="D32" s="9" t="s">
        <v>28</v>
      </c>
      <c r="E32" s="9" t="s">
        <v>29</v>
      </c>
      <c r="F32" s="13">
        <v>75200</v>
      </c>
      <c r="G32" s="39">
        <v>300</v>
      </c>
      <c r="H32" s="45">
        <v>210.84</v>
      </c>
      <c r="I32" s="45">
        <v>413.77</v>
      </c>
      <c r="J32" s="40">
        <f>IF(D32="Short",H32-I32,I32-H32)</f>
        <v>-202.92999999999998</v>
      </c>
      <c r="K32" s="40">
        <f>J32*G32</f>
        <v>-60878.999999999993</v>
      </c>
      <c r="L32" s="40">
        <f>IF(D32="Short",G32*H32,G32*I32)</f>
        <v>63252</v>
      </c>
      <c r="M32" s="40">
        <f>IF(D32="Short",G32*I32,H32*G32)</f>
        <v>124131</v>
      </c>
      <c r="N32" s="40">
        <f>L32+M32</f>
        <v>187383</v>
      </c>
      <c r="O32" s="40">
        <f>N32*0.000134</f>
        <v>25.109322000000002</v>
      </c>
      <c r="P32" s="40">
        <f t="shared" si="0"/>
        <v>-60904.109321999989</v>
      </c>
      <c r="Q32" s="14"/>
      <c r="R32" s="14"/>
      <c r="S32" s="14"/>
    </row>
    <row r="33" spans="1:19" x14ac:dyDescent="0.25">
      <c r="A33" s="51">
        <v>46155</v>
      </c>
      <c r="B33" s="9" t="s">
        <v>27</v>
      </c>
      <c r="C33" s="12">
        <v>46156</v>
      </c>
      <c r="D33" s="9" t="s">
        <v>28</v>
      </c>
      <c r="E33" s="9" t="s">
        <v>29</v>
      </c>
      <c r="F33" s="13">
        <v>75100</v>
      </c>
      <c r="G33" s="39">
        <v>160</v>
      </c>
      <c r="H33" s="45">
        <v>236.43</v>
      </c>
      <c r="I33" s="45">
        <v>463.11</v>
      </c>
      <c r="J33" s="40">
        <f>IF(D33="Short",H33-I33,I33-H33)</f>
        <v>-226.68</v>
      </c>
      <c r="K33" s="40">
        <f>J33*G33</f>
        <v>-36268.800000000003</v>
      </c>
      <c r="L33" s="40">
        <f>IF(D33="Short",G33*H33,G33*I33)</f>
        <v>37828.800000000003</v>
      </c>
      <c r="M33" s="40">
        <f>IF(D33="Short",G33*I33,H33*G33)</f>
        <v>74097.600000000006</v>
      </c>
      <c r="N33" s="40">
        <f>L33+M33</f>
        <v>111926.40000000001</v>
      </c>
      <c r="O33" s="40">
        <f>N33*0.000134</f>
        <v>14.998137600000002</v>
      </c>
      <c r="P33" s="40">
        <f t="shared" si="0"/>
        <v>-36283.798137600003</v>
      </c>
      <c r="Q33" s="14"/>
      <c r="R33" s="14"/>
      <c r="S33" s="14"/>
    </row>
    <row r="34" spans="1:19" x14ac:dyDescent="0.25">
      <c r="A34" s="51">
        <v>46155</v>
      </c>
      <c r="B34" s="9" t="s">
        <v>31</v>
      </c>
      <c r="C34" s="12">
        <v>46161</v>
      </c>
      <c r="D34" s="9" t="s">
        <v>28</v>
      </c>
      <c r="E34" s="9" t="s">
        <v>29</v>
      </c>
      <c r="F34" s="13">
        <v>23450</v>
      </c>
      <c r="G34" s="39">
        <v>910</v>
      </c>
      <c r="H34" s="45">
        <v>238.19</v>
      </c>
      <c r="I34" s="45">
        <v>273.66000000000003</v>
      </c>
      <c r="J34" s="40">
        <f>IF(D34="Short",H34-I34,I34-H34)</f>
        <v>-35.470000000000027</v>
      </c>
      <c r="K34" s="40">
        <f>J34*G34</f>
        <v>-32277.700000000026</v>
      </c>
      <c r="L34" s="40">
        <f>IF(D34="Short",G34*H34,G34*I34)</f>
        <v>216752.9</v>
      </c>
      <c r="M34" s="40">
        <f>IF(D34="Short",G34*I34,H34*G34)</f>
        <v>249030.60000000003</v>
      </c>
      <c r="N34" s="40">
        <f>L34+M34</f>
        <v>465783.5</v>
      </c>
      <c r="O34" s="40">
        <f>N34*0.000134</f>
        <v>62.414989000000006</v>
      </c>
      <c r="P34" s="40">
        <f t="shared" si="0"/>
        <v>-32340.114989000027</v>
      </c>
      <c r="Q34" s="14"/>
      <c r="R34" s="14"/>
      <c r="S34" s="14"/>
    </row>
    <row r="35" spans="1:19" x14ac:dyDescent="0.25">
      <c r="A35" s="51">
        <v>46155</v>
      </c>
      <c r="B35" s="9" t="s">
        <v>31</v>
      </c>
      <c r="C35" s="12">
        <v>46161</v>
      </c>
      <c r="D35" s="9" t="s">
        <v>30</v>
      </c>
      <c r="E35" s="9" t="s">
        <v>29</v>
      </c>
      <c r="F35" s="13">
        <v>23550</v>
      </c>
      <c r="G35" s="39">
        <v>1040</v>
      </c>
      <c r="H35" s="45">
        <v>253.26</v>
      </c>
      <c r="I35" s="45">
        <v>220.6</v>
      </c>
      <c r="J35" s="40">
        <f>IF(D35="Short",H35-I35,I35-H35)</f>
        <v>-32.659999999999997</v>
      </c>
      <c r="K35" s="40">
        <f>J35*G35</f>
        <v>-33966.399999999994</v>
      </c>
      <c r="L35" s="40">
        <f>IF(D35="Short",G35*H35,G35*I35)</f>
        <v>229424</v>
      </c>
      <c r="M35" s="40">
        <f>IF(D35="Short",G35*I35,H35*G35)</f>
        <v>263390.39999999997</v>
      </c>
      <c r="N35" s="40">
        <f>L35+M35</f>
        <v>492814.39999999997</v>
      </c>
      <c r="O35" s="40">
        <f>N35*0.000134</f>
        <v>66.0371296</v>
      </c>
      <c r="P35" s="40">
        <f t="shared" si="0"/>
        <v>-34032.437129599995</v>
      </c>
      <c r="Q35" s="14"/>
      <c r="R35" s="14"/>
      <c r="S35" s="14"/>
    </row>
    <row r="36" spans="1:19" x14ac:dyDescent="0.25">
      <c r="A36" s="51">
        <v>46155</v>
      </c>
      <c r="B36" s="9" t="s">
        <v>27</v>
      </c>
      <c r="C36" s="12">
        <v>46156</v>
      </c>
      <c r="D36" s="9" t="s">
        <v>30</v>
      </c>
      <c r="E36" s="9" t="s">
        <v>29</v>
      </c>
      <c r="F36" s="13">
        <v>75000</v>
      </c>
      <c r="G36" s="39">
        <v>460</v>
      </c>
      <c r="H36" s="45">
        <v>451.26</v>
      </c>
      <c r="I36" s="45">
        <v>190</v>
      </c>
      <c r="J36" s="40">
        <f>IF(D36="Short",H36-I36,I36-H36)</f>
        <v>-261.26</v>
      </c>
      <c r="K36" s="40">
        <f>J36*G36</f>
        <v>-120179.59999999999</v>
      </c>
      <c r="L36" s="40">
        <f>IF(D36="Short",G36*H36,G36*I36)</f>
        <v>87400</v>
      </c>
      <c r="M36" s="40">
        <f>IF(D36="Short",G36*I36,H36*G36)</f>
        <v>207579.6</v>
      </c>
      <c r="N36" s="40">
        <f>L36+M36</f>
        <v>294979.59999999998</v>
      </c>
      <c r="O36" s="40">
        <f>N36*0.000134</f>
        <v>39.527266399999995</v>
      </c>
      <c r="P36" s="40">
        <f t="shared" si="0"/>
        <v>-120219.12726639998</v>
      </c>
      <c r="Q36" s="14"/>
      <c r="R36" s="14"/>
      <c r="S36" s="14"/>
    </row>
    <row r="37" spans="1:19" x14ac:dyDescent="0.25">
      <c r="A37" s="51">
        <v>46155</v>
      </c>
      <c r="B37" s="9" t="s">
        <v>31</v>
      </c>
      <c r="C37" s="12">
        <v>46161</v>
      </c>
      <c r="D37" s="9" t="s">
        <v>28</v>
      </c>
      <c r="E37" s="9" t="s">
        <v>29</v>
      </c>
      <c r="F37" s="13">
        <v>23400</v>
      </c>
      <c r="G37" s="39">
        <v>1820</v>
      </c>
      <c r="H37" s="45">
        <v>250.56</v>
      </c>
      <c r="I37" s="45">
        <v>318.94</v>
      </c>
      <c r="J37" s="40">
        <f>IF(D37="Short",H37-I37,I37-H37)</f>
        <v>-68.38</v>
      </c>
      <c r="K37" s="40">
        <f>J37*G37</f>
        <v>-124451.59999999999</v>
      </c>
      <c r="L37" s="40">
        <f>IF(D37="Short",G37*H37,G37*I37)</f>
        <v>456019.20000000001</v>
      </c>
      <c r="M37" s="40">
        <f>IF(D37="Short",G37*I37,H37*G37)</f>
        <v>580470.80000000005</v>
      </c>
      <c r="N37" s="40">
        <f>L37+M37</f>
        <v>1036490</v>
      </c>
      <c r="O37" s="40">
        <f>N37*0.000134</f>
        <v>138.88965999999999</v>
      </c>
      <c r="P37" s="40">
        <f t="shared" si="0"/>
        <v>-124590.48965999999</v>
      </c>
      <c r="Q37" s="14"/>
      <c r="R37" s="14"/>
      <c r="S37" s="14"/>
    </row>
    <row r="38" spans="1:19" x14ac:dyDescent="0.25">
      <c r="A38" s="51">
        <v>46155</v>
      </c>
      <c r="B38" s="9" t="s">
        <v>31</v>
      </c>
      <c r="C38" s="12">
        <v>46161</v>
      </c>
      <c r="D38" s="9" t="s">
        <v>28</v>
      </c>
      <c r="E38" s="9" t="s">
        <v>32</v>
      </c>
      <c r="F38" s="13">
        <v>23550</v>
      </c>
      <c r="G38" s="39">
        <v>910</v>
      </c>
      <c r="H38" s="45">
        <v>213.8</v>
      </c>
      <c r="I38" s="45">
        <v>250.18</v>
      </c>
      <c r="J38" s="40">
        <f>IF(D38="Short",H38-I38,I38-H38)</f>
        <v>-36.379999999999995</v>
      </c>
      <c r="K38" s="40">
        <f>J38*G38</f>
        <v>-33105.799999999996</v>
      </c>
      <c r="L38" s="40">
        <f>IF(D38="Short",G38*H38,G38*I38)</f>
        <v>194558</v>
      </c>
      <c r="M38" s="40">
        <f>IF(D38="Short",G38*I38,H38*G38)</f>
        <v>227663.80000000002</v>
      </c>
      <c r="N38" s="40">
        <f>L38+M38</f>
        <v>422221.80000000005</v>
      </c>
      <c r="O38" s="40">
        <f>N38*0.000134</f>
        <v>56.577721200000006</v>
      </c>
      <c r="P38" s="40">
        <f t="shared" si="0"/>
        <v>-33162.377721199999</v>
      </c>
      <c r="Q38" s="14"/>
      <c r="R38" s="14"/>
      <c r="S38" s="14"/>
    </row>
    <row r="39" spans="1:19" x14ac:dyDescent="0.25">
      <c r="A39" s="51">
        <v>46155</v>
      </c>
      <c r="B39" s="9" t="s">
        <v>27</v>
      </c>
      <c r="C39" s="12">
        <v>46156</v>
      </c>
      <c r="D39" s="9" t="s">
        <v>30</v>
      </c>
      <c r="E39" s="9" t="s">
        <v>29</v>
      </c>
      <c r="F39" s="13">
        <v>75100</v>
      </c>
      <c r="G39" s="39">
        <v>60</v>
      </c>
      <c r="H39" s="45">
        <v>463.11</v>
      </c>
      <c r="I39" s="45">
        <v>158.94999999999999</v>
      </c>
      <c r="J39" s="40">
        <f>IF(D39="Short",H39-I39,I39-H39)</f>
        <v>-304.16000000000003</v>
      </c>
      <c r="K39" s="40">
        <f>J39*G39</f>
        <v>-18249.600000000002</v>
      </c>
      <c r="L39" s="40">
        <f>IF(D39="Short",G39*H39,G39*I39)</f>
        <v>9537</v>
      </c>
      <c r="M39" s="40">
        <f>IF(D39="Short",G39*I39,H39*G39)</f>
        <v>27786.600000000002</v>
      </c>
      <c r="N39" s="40">
        <f>L39+M39</f>
        <v>37323.600000000006</v>
      </c>
      <c r="O39" s="40">
        <f>N39*0.000134</f>
        <v>5.0013624000000005</v>
      </c>
      <c r="P39" s="40">
        <f t="shared" si="0"/>
        <v>-18254.601362400001</v>
      </c>
      <c r="Q39" s="14"/>
      <c r="R39" s="14"/>
      <c r="S39" s="14"/>
    </row>
    <row r="40" spans="1:19" x14ac:dyDescent="0.25">
      <c r="A40" s="51">
        <v>46155</v>
      </c>
      <c r="B40" s="9" t="s">
        <v>27</v>
      </c>
      <c r="C40" s="12">
        <v>46156</v>
      </c>
      <c r="D40" s="9" t="s">
        <v>28</v>
      </c>
      <c r="E40" s="9" t="s">
        <v>32</v>
      </c>
      <c r="F40" s="13">
        <v>74900</v>
      </c>
      <c r="G40" s="39">
        <v>300</v>
      </c>
      <c r="H40" s="45">
        <v>408.89</v>
      </c>
      <c r="I40" s="45">
        <v>220.49</v>
      </c>
      <c r="J40" s="40">
        <f>IF(D40="Short",H40-I40,I40-H40)</f>
        <v>188.39999999999998</v>
      </c>
      <c r="K40" s="40">
        <f>J40*G40</f>
        <v>56519.999999999993</v>
      </c>
      <c r="L40" s="40">
        <f>IF(D40="Short",G40*H40,G40*I40)</f>
        <v>122667</v>
      </c>
      <c r="M40" s="40">
        <f>IF(D40="Short",G40*I40,H40*G40)</f>
        <v>66147</v>
      </c>
      <c r="N40" s="40">
        <f>L40+M40</f>
        <v>188814</v>
      </c>
      <c r="O40" s="40">
        <f>N40*0.000134</f>
        <v>25.301076000000002</v>
      </c>
      <c r="P40" s="40">
        <f t="shared" si="0"/>
        <v>56494.698923999989</v>
      </c>
      <c r="Q40" s="14"/>
      <c r="R40" s="14"/>
      <c r="S40" s="14"/>
    </row>
    <row r="41" spans="1:19" x14ac:dyDescent="0.25">
      <c r="A41" s="51">
        <v>46155</v>
      </c>
      <c r="B41" s="9" t="s">
        <v>27</v>
      </c>
      <c r="C41" s="12">
        <v>46156</v>
      </c>
      <c r="D41" s="9" t="s">
        <v>28</v>
      </c>
      <c r="E41" s="9" t="s">
        <v>32</v>
      </c>
      <c r="F41" s="13">
        <v>74400</v>
      </c>
      <c r="G41" s="39">
        <v>60</v>
      </c>
      <c r="H41" s="45">
        <v>186.5</v>
      </c>
      <c r="I41" s="45">
        <v>405</v>
      </c>
      <c r="J41" s="40">
        <f>IF(D41="Short",H41-I41,I41-H41)</f>
        <v>-218.5</v>
      </c>
      <c r="K41" s="40">
        <f>J41*G41</f>
        <v>-13110</v>
      </c>
      <c r="L41" s="40">
        <f>IF(D41="Short",G41*H41,G41*I41)</f>
        <v>11190</v>
      </c>
      <c r="M41" s="40">
        <f>IF(D41="Short",G41*I41,H41*G41)</f>
        <v>24300</v>
      </c>
      <c r="N41" s="40">
        <f>L41+M41</f>
        <v>35490</v>
      </c>
      <c r="O41" s="40">
        <f>N41*0.000134</f>
        <v>4.7556599999999998</v>
      </c>
      <c r="P41" s="40">
        <f t="shared" si="0"/>
        <v>-13114.755660000001</v>
      </c>
      <c r="Q41" s="14"/>
      <c r="R41" s="14"/>
      <c r="S41" s="14"/>
    </row>
    <row r="42" spans="1:19" x14ac:dyDescent="0.25">
      <c r="A42" s="51">
        <v>46155</v>
      </c>
      <c r="B42" s="9" t="s">
        <v>31</v>
      </c>
      <c r="C42" s="12">
        <v>46161</v>
      </c>
      <c r="D42" s="9" t="s">
        <v>28</v>
      </c>
      <c r="E42" s="9" t="s">
        <v>32</v>
      </c>
      <c r="F42" s="13">
        <v>23500</v>
      </c>
      <c r="G42" s="39">
        <v>910</v>
      </c>
      <c r="H42" s="45">
        <v>231.69</v>
      </c>
      <c r="I42" s="45">
        <v>151.35</v>
      </c>
      <c r="J42" s="40">
        <f>IF(D42="Short",H42-I42,I42-H42)</f>
        <v>80.34</v>
      </c>
      <c r="K42" s="40">
        <f>J42*G42</f>
        <v>73109.400000000009</v>
      </c>
      <c r="L42" s="40">
        <f>IF(D42="Short",G42*H42,G42*I42)</f>
        <v>210837.9</v>
      </c>
      <c r="M42" s="40">
        <f>IF(D42="Short",G42*I42,H42*G42)</f>
        <v>137728.5</v>
      </c>
      <c r="N42" s="40">
        <f>L42+M42</f>
        <v>348566.4</v>
      </c>
      <c r="O42" s="40">
        <f>N42*0.000134</f>
        <v>46.707897600000003</v>
      </c>
      <c r="P42" s="40">
        <f t="shared" si="0"/>
        <v>73062.692102400004</v>
      </c>
      <c r="Q42" s="14"/>
      <c r="R42" s="14"/>
      <c r="S42" s="14"/>
    </row>
    <row r="43" spans="1:19" x14ac:dyDescent="0.25">
      <c r="A43" s="51">
        <v>46155</v>
      </c>
      <c r="B43" s="9" t="s">
        <v>27</v>
      </c>
      <c r="C43" s="12">
        <v>46156</v>
      </c>
      <c r="D43" s="9" t="s">
        <v>30</v>
      </c>
      <c r="E43" s="9" t="s">
        <v>32</v>
      </c>
      <c r="F43" s="13">
        <v>74200</v>
      </c>
      <c r="G43" s="39">
        <v>60</v>
      </c>
      <c r="H43" s="45">
        <v>368.2</v>
      </c>
      <c r="I43" s="45">
        <v>44.1</v>
      </c>
      <c r="J43" s="40">
        <f>IF(D43="Short",H43-I43,I43-H43)</f>
        <v>-324.09999999999997</v>
      </c>
      <c r="K43" s="40">
        <f>J43*G43</f>
        <v>-19445.999999999996</v>
      </c>
      <c r="L43" s="40">
        <f>IF(D43="Short",G43*H43,G43*I43)</f>
        <v>2646</v>
      </c>
      <c r="M43" s="40">
        <f>IF(D43="Short",G43*I43,H43*G43)</f>
        <v>22092</v>
      </c>
      <c r="N43" s="40">
        <f>L43+M43</f>
        <v>24738</v>
      </c>
      <c r="O43" s="40">
        <f>N43*0.000134</f>
        <v>3.3148919999999999</v>
      </c>
      <c r="P43" s="40">
        <f t="shared" si="0"/>
        <v>-19449.314891999995</v>
      </c>
      <c r="Q43" s="14"/>
      <c r="R43" s="14"/>
      <c r="S43" s="14"/>
    </row>
    <row r="44" spans="1:19" x14ac:dyDescent="0.25">
      <c r="A44" s="51">
        <v>46155</v>
      </c>
      <c r="B44" s="9" t="s">
        <v>31</v>
      </c>
      <c r="C44" s="12">
        <v>46161</v>
      </c>
      <c r="D44" s="9" t="s">
        <v>30</v>
      </c>
      <c r="E44" s="9" t="s">
        <v>32</v>
      </c>
      <c r="F44" s="13">
        <v>23300</v>
      </c>
      <c r="G44" s="39">
        <v>130</v>
      </c>
      <c r="H44" s="45">
        <v>213.97</v>
      </c>
      <c r="I44" s="45">
        <v>91.7</v>
      </c>
      <c r="J44" s="40">
        <f>IF(D44="Short",H44-I44,I44-H44)</f>
        <v>-122.27</v>
      </c>
      <c r="K44" s="40">
        <f>J44*G44</f>
        <v>-15895.1</v>
      </c>
      <c r="L44" s="40">
        <f>IF(D44="Short",G44*H44,G44*I44)</f>
        <v>11921</v>
      </c>
      <c r="M44" s="40">
        <f>IF(D44="Short",G44*I44,H44*G44)</f>
        <v>27816.1</v>
      </c>
      <c r="N44" s="40">
        <f>L44+M44</f>
        <v>39737.1</v>
      </c>
      <c r="O44" s="40">
        <f>N44*0.000134</f>
        <v>5.3247714000000004</v>
      </c>
      <c r="P44" s="40">
        <f t="shared" si="0"/>
        <v>-15900.424771400001</v>
      </c>
      <c r="Q44" s="14"/>
      <c r="R44" s="14"/>
      <c r="S44" s="14"/>
    </row>
    <row r="45" spans="1:19" x14ac:dyDescent="0.25">
      <c r="A45" s="51">
        <v>46155</v>
      </c>
      <c r="B45" s="9" t="s">
        <v>27</v>
      </c>
      <c r="C45" s="12">
        <v>46156</v>
      </c>
      <c r="D45" s="9" t="s">
        <v>30</v>
      </c>
      <c r="E45" s="9" t="s">
        <v>32</v>
      </c>
      <c r="F45" s="13">
        <v>75200</v>
      </c>
      <c r="G45" s="39">
        <v>40</v>
      </c>
      <c r="H45" s="45">
        <v>720.65</v>
      </c>
      <c r="I45" s="45">
        <v>728</v>
      </c>
      <c r="J45" s="40">
        <f>IF(D45="Short",H45-I45,I45-H45)</f>
        <v>7.3500000000000227</v>
      </c>
      <c r="K45" s="40">
        <f>J45*G45</f>
        <v>294.00000000000091</v>
      </c>
      <c r="L45" s="40">
        <f>IF(D45="Short",G45*H45,G45*I45)</f>
        <v>29120</v>
      </c>
      <c r="M45" s="40">
        <f>IF(D45="Short",G45*I45,H45*G45)</f>
        <v>28826</v>
      </c>
      <c r="N45" s="40">
        <f>L45+M45</f>
        <v>57946</v>
      </c>
      <c r="O45" s="40">
        <f>N45*0.000134</f>
        <v>7.7647640000000004</v>
      </c>
      <c r="P45" s="40">
        <f t="shared" si="0"/>
        <v>286.2352360000009</v>
      </c>
      <c r="Q45" s="14"/>
      <c r="R45" s="14"/>
      <c r="S45" s="14"/>
    </row>
    <row r="46" spans="1:19" x14ac:dyDescent="0.25">
      <c r="A46" s="51">
        <v>46155</v>
      </c>
      <c r="B46" s="9" t="s">
        <v>27</v>
      </c>
      <c r="C46" s="12">
        <v>46156</v>
      </c>
      <c r="D46" s="9" t="s">
        <v>30</v>
      </c>
      <c r="E46" s="9" t="s">
        <v>32</v>
      </c>
      <c r="F46" s="13">
        <v>75000</v>
      </c>
      <c r="G46" s="39">
        <v>20</v>
      </c>
      <c r="H46" s="45">
        <v>603.35</v>
      </c>
      <c r="I46" s="45">
        <v>598.82000000000005</v>
      </c>
      <c r="J46" s="40">
        <f>IF(D46="Short",H46-I46,I46-H46)</f>
        <v>-4.5299999999999727</v>
      </c>
      <c r="K46" s="40">
        <f>J46*G46</f>
        <v>-90.599999999999454</v>
      </c>
      <c r="L46" s="40">
        <f>IF(D46="Short",G46*H46,G46*I46)</f>
        <v>11976.400000000001</v>
      </c>
      <c r="M46" s="40">
        <f>IF(D46="Short",G46*I46,H46*G46)</f>
        <v>12067</v>
      </c>
      <c r="N46" s="40">
        <f>L46+M46</f>
        <v>24043.4</v>
      </c>
      <c r="O46" s="40">
        <f>N46*0.000134</f>
        <v>3.2218156000000002</v>
      </c>
      <c r="P46" s="40">
        <f t="shared" si="0"/>
        <v>-93.821815599999454</v>
      </c>
      <c r="Q46" s="14"/>
      <c r="R46" s="14"/>
      <c r="S46" s="14"/>
    </row>
    <row r="47" spans="1:19" x14ac:dyDescent="0.25">
      <c r="A47" s="51">
        <v>46155</v>
      </c>
      <c r="B47" s="9" t="s">
        <v>27</v>
      </c>
      <c r="C47" s="12">
        <v>46156</v>
      </c>
      <c r="D47" s="9" t="s">
        <v>30</v>
      </c>
      <c r="E47" s="9" t="s">
        <v>32</v>
      </c>
      <c r="F47" s="13">
        <v>75300</v>
      </c>
      <c r="G47" s="39">
        <v>20</v>
      </c>
      <c r="H47" s="45">
        <v>832.5</v>
      </c>
      <c r="I47" s="45">
        <v>795.11</v>
      </c>
      <c r="J47" s="40">
        <f>IF(D47="Short",H47-I47,I47-H47)</f>
        <v>-37.389999999999986</v>
      </c>
      <c r="K47" s="40">
        <f>J47*G47</f>
        <v>-747.79999999999973</v>
      </c>
      <c r="L47" s="40">
        <f>IF(D47="Short",G47*H47,G47*I47)</f>
        <v>15902.2</v>
      </c>
      <c r="M47" s="40">
        <f>IF(D47="Short",G47*I47,H47*G47)</f>
        <v>16650</v>
      </c>
      <c r="N47" s="40">
        <f>L47+M47</f>
        <v>32552.2</v>
      </c>
      <c r="O47" s="40">
        <f>N47*0.000134</f>
        <v>4.3619948000000006</v>
      </c>
      <c r="P47" s="40">
        <f t="shared" si="0"/>
        <v>-752.16199479999977</v>
      </c>
      <c r="Q47" s="14"/>
      <c r="R47" s="14"/>
      <c r="S47" s="14"/>
    </row>
    <row r="48" spans="1:19" x14ac:dyDescent="0.25">
      <c r="A48" s="51">
        <v>46155</v>
      </c>
      <c r="B48" s="9" t="s">
        <v>27</v>
      </c>
      <c r="C48" s="12">
        <v>46156</v>
      </c>
      <c r="D48" s="9" t="s">
        <v>28</v>
      </c>
      <c r="E48" s="9" t="s">
        <v>32</v>
      </c>
      <c r="F48" s="13">
        <v>74900</v>
      </c>
      <c r="G48" s="39">
        <v>20</v>
      </c>
      <c r="H48" s="45">
        <v>408.89</v>
      </c>
      <c r="I48" s="45">
        <v>564.15</v>
      </c>
      <c r="J48" s="40">
        <f>IF(D48="Short",H48-I48,I48-H48)</f>
        <v>-155.26</v>
      </c>
      <c r="K48" s="40">
        <f>J48*G48</f>
        <v>-3105.2</v>
      </c>
      <c r="L48" s="40">
        <f>IF(D48="Short",G48*H48,G48*I48)</f>
        <v>8177.7999999999993</v>
      </c>
      <c r="M48" s="40">
        <f>IF(D48="Short",G48*I48,H48*G48)</f>
        <v>11283</v>
      </c>
      <c r="N48" s="40">
        <f>L48+M48</f>
        <v>19460.8</v>
      </c>
      <c r="O48" s="40">
        <f>N48*0.000134</f>
        <v>2.6077471999999999</v>
      </c>
      <c r="P48" s="40">
        <f t="shared" si="0"/>
        <v>-3107.8077472</v>
      </c>
      <c r="Q48" s="14"/>
      <c r="R48" s="14"/>
      <c r="S48" s="14"/>
    </row>
    <row r="49" spans="1:19" x14ac:dyDescent="0.25">
      <c r="A49" s="51">
        <v>46155</v>
      </c>
      <c r="B49" s="9" t="s">
        <v>31</v>
      </c>
      <c r="C49" s="12">
        <v>46161</v>
      </c>
      <c r="D49" s="9" t="s">
        <v>28</v>
      </c>
      <c r="E49" s="9" t="s">
        <v>32</v>
      </c>
      <c r="F49" s="13">
        <v>23500</v>
      </c>
      <c r="G49" s="39">
        <v>65</v>
      </c>
      <c r="H49" s="45">
        <v>231.69</v>
      </c>
      <c r="I49" s="45">
        <v>218.45</v>
      </c>
      <c r="J49" s="40">
        <f>IF(D49="Short",H49-I49,I49-H49)</f>
        <v>13.240000000000009</v>
      </c>
      <c r="K49" s="40">
        <f>J49*G49</f>
        <v>860.60000000000059</v>
      </c>
      <c r="L49" s="40">
        <f>IF(D49="Short",G49*H49,G49*I49)</f>
        <v>15059.85</v>
      </c>
      <c r="M49" s="40">
        <f>IF(D49="Short",G49*I49,H49*G49)</f>
        <v>14199.25</v>
      </c>
      <c r="N49" s="40">
        <f>L49+M49</f>
        <v>29259.1</v>
      </c>
      <c r="O49" s="40">
        <f>N49*0.000134</f>
        <v>3.9207193999999999</v>
      </c>
      <c r="P49" s="40">
        <f t="shared" si="0"/>
        <v>856.67928060000054</v>
      </c>
      <c r="Q49" s="14"/>
      <c r="R49" s="14"/>
      <c r="S49" s="14"/>
    </row>
    <row r="50" spans="1:19" x14ac:dyDescent="0.25">
      <c r="A50" s="51">
        <v>46156</v>
      </c>
      <c r="B50" s="9" t="s">
        <v>31</v>
      </c>
      <c r="C50" s="12">
        <v>46161</v>
      </c>
      <c r="D50" s="9" t="s">
        <v>28</v>
      </c>
      <c r="E50" s="9" t="s">
        <v>29</v>
      </c>
      <c r="F50" s="13">
        <v>23400</v>
      </c>
      <c r="G50" s="39">
        <v>520</v>
      </c>
      <c r="H50" s="45">
        <v>242.99</v>
      </c>
      <c r="I50" s="45">
        <v>368.67</v>
      </c>
      <c r="J50" s="40">
        <f>IF(D50="Short",H50-I50,I50-H50)</f>
        <v>-125.68</v>
      </c>
      <c r="K50" s="40">
        <f>J50*G50</f>
        <v>-65353.600000000006</v>
      </c>
      <c r="L50" s="40">
        <f>IF(D50="Short",G50*H50,G50*I50)</f>
        <v>126354.8</v>
      </c>
      <c r="M50" s="40">
        <f>IF(D50="Short",G50*I50,H50*G50)</f>
        <v>191708.4</v>
      </c>
      <c r="N50" s="40">
        <f>L50+M50</f>
        <v>318063.2</v>
      </c>
      <c r="O50" s="40">
        <f>N50*0.000134</f>
        <v>42.620468800000005</v>
      </c>
      <c r="P50" s="40">
        <f t="shared" si="0"/>
        <v>-65396.220468800006</v>
      </c>
      <c r="Q50" s="14"/>
      <c r="R50" s="14"/>
      <c r="S50" s="14"/>
    </row>
    <row r="51" spans="1:19" x14ac:dyDescent="0.25">
      <c r="A51" s="51">
        <v>46156</v>
      </c>
      <c r="B51" s="9" t="s">
        <v>31</v>
      </c>
      <c r="C51" s="12">
        <v>46161</v>
      </c>
      <c r="D51" s="9" t="s">
        <v>30</v>
      </c>
      <c r="E51" s="9" t="s">
        <v>29</v>
      </c>
      <c r="F51" s="13">
        <v>23450</v>
      </c>
      <c r="G51" s="39">
        <v>715</v>
      </c>
      <c r="H51" s="45">
        <v>273.66000000000003</v>
      </c>
      <c r="I51" s="45">
        <v>199.28</v>
      </c>
      <c r="J51" s="40">
        <f>IF(D51="Short",H51-I51,I51-H51)</f>
        <v>-74.380000000000024</v>
      </c>
      <c r="K51" s="40">
        <f>J51*G51</f>
        <v>-53181.700000000019</v>
      </c>
      <c r="L51" s="40">
        <f>IF(D51="Short",G51*H51,G51*I51)</f>
        <v>142485.20000000001</v>
      </c>
      <c r="M51" s="40">
        <f>IF(D51="Short",G51*I51,H51*G51)</f>
        <v>195666.90000000002</v>
      </c>
      <c r="N51" s="40">
        <f>L51+M51</f>
        <v>338152.10000000003</v>
      </c>
      <c r="O51" s="40">
        <f>N51*0.000134</f>
        <v>45.312381400000007</v>
      </c>
      <c r="P51" s="40">
        <f t="shared" si="0"/>
        <v>-53227.012381400018</v>
      </c>
      <c r="Q51" s="14"/>
      <c r="R51" s="14"/>
      <c r="S51" s="14"/>
    </row>
    <row r="52" spans="1:19" x14ac:dyDescent="0.25">
      <c r="A52" s="51">
        <v>46156</v>
      </c>
      <c r="B52" s="9" t="s">
        <v>31</v>
      </c>
      <c r="C52" s="12">
        <v>46161</v>
      </c>
      <c r="D52" s="9" t="s">
        <v>28</v>
      </c>
      <c r="E52" s="9" t="s">
        <v>29</v>
      </c>
      <c r="F52" s="13">
        <v>23450</v>
      </c>
      <c r="G52" s="39">
        <v>1625</v>
      </c>
      <c r="H52" s="45">
        <v>199.28</v>
      </c>
      <c r="I52" s="45">
        <v>225.01</v>
      </c>
      <c r="J52" s="40">
        <f>IF(D52="Short",H52-I52,I52-H52)</f>
        <v>-25.72999999999999</v>
      </c>
      <c r="K52" s="40">
        <f>J52*G52</f>
        <v>-41811.249999999985</v>
      </c>
      <c r="L52" s="40">
        <f>IF(D52="Short",G52*H52,G52*I52)</f>
        <v>323830</v>
      </c>
      <c r="M52" s="40">
        <f>IF(D52="Short",G52*I52,H52*G52)</f>
        <v>365641.25</v>
      </c>
      <c r="N52" s="40">
        <f>L52+M52</f>
        <v>689471.25</v>
      </c>
      <c r="O52" s="40">
        <f>N52*0.000134</f>
        <v>92.389147500000007</v>
      </c>
      <c r="P52" s="40">
        <f t="shared" si="0"/>
        <v>-41903.639147499984</v>
      </c>
      <c r="Q52" s="14"/>
      <c r="R52" s="14"/>
      <c r="S52" s="14"/>
    </row>
    <row r="53" spans="1:19" x14ac:dyDescent="0.25">
      <c r="A53" s="51">
        <v>46156</v>
      </c>
      <c r="B53" s="9" t="s">
        <v>31</v>
      </c>
      <c r="C53" s="12">
        <v>46161</v>
      </c>
      <c r="D53" s="9" t="s">
        <v>30</v>
      </c>
      <c r="E53" s="9" t="s">
        <v>29</v>
      </c>
      <c r="F53" s="13">
        <v>23650</v>
      </c>
      <c r="G53" s="39">
        <v>1495</v>
      </c>
      <c r="H53" s="45">
        <v>214.03</v>
      </c>
      <c r="I53" s="45">
        <v>217.84</v>
      </c>
      <c r="J53" s="40">
        <f>IF(D53="Short",H53-I53,I53-H53)</f>
        <v>3.8100000000000023</v>
      </c>
      <c r="K53" s="40">
        <f>J53*G53</f>
        <v>5695.9500000000035</v>
      </c>
      <c r="L53" s="40">
        <f>IF(D53="Short",G53*H53,G53*I53)</f>
        <v>325670.8</v>
      </c>
      <c r="M53" s="40">
        <f>IF(D53="Short",G53*I53,H53*G53)</f>
        <v>319974.84999999998</v>
      </c>
      <c r="N53" s="40">
        <f>L53+M53</f>
        <v>645645.64999999991</v>
      </c>
      <c r="O53" s="40">
        <f>N53*0.000134</f>
        <v>86.516517099999987</v>
      </c>
      <c r="P53" s="40">
        <f t="shared" si="0"/>
        <v>5609.4334829000036</v>
      </c>
      <c r="Q53" s="14"/>
      <c r="R53" s="14"/>
      <c r="S53" s="14"/>
    </row>
    <row r="54" spans="1:19" x14ac:dyDescent="0.25">
      <c r="A54" s="51">
        <v>46156</v>
      </c>
      <c r="B54" s="9" t="s">
        <v>31</v>
      </c>
      <c r="C54" s="12">
        <v>46161</v>
      </c>
      <c r="D54" s="9" t="s">
        <v>30</v>
      </c>
      <c r="E54" s="9" t="s">
        <v>29</v>
      </c>
      <c r="F54" s="13">
        <v>23750</v>
      </c>
      <c r="G54" s="39">
        <v>1560</v>
      </c>
      <c r="H54" s="45">
        <v>192.29</v>
      </c>
      <c r="I54" s="45">
        <v>156.41999999999999</v>
      </c>
      <c r="J54" s="40">
        <f>IF(D54="Short",H54-I54,I54-H54)</f>
        <v>-35.870000000000005</v>
      </c>
      <c r="K54" s="40">
        <f>J54*G54</f>
        <v>-55957.200000000004</v>
      </c>
      <c r="L54" s="40">
        <f>IF(D54="Short",G54*H54,G54*I54)</f>
        <v>244015.19999999998</v>
      </c>
      <c r="M54" s="40">
        <f>IF(D54="Short",G54*I54,H54*G54)</f>
        <v>299972.39999999997</v>
      </c>
      <c r="N54" s="40">
        <f>L54+M54</f>
        <v>543987.6</v>
      </c>
      <c r="O54" s="40">
        <f>N54*0.000134</f>
        <v>72.894338399999995</v>
      </c>
      <c r="P54" s="40">
        <f t="shared" si="0"/>
        <v>-56030.094338400006</v>
      </c>
      <c r="Q54" s="14"/>
      <c r="R54" s="14"/>
      <c r="S54" s="14"/>
    </row>
    <row r="55" spans="1:19" x14ac:dyDescent="0.25">
      <c r="A55" s="51">
        <v>46156</v>
      </c>
      <c r="B55" s="9" t="s">
        <v>31</v>
      </c>
      <c r="C55" s="12">
        <v>46161</v>
      </c>
      <c r="D55" s="9" t="s">
        <v>28</v>
      </c>
      <c r="E55" s="9" t="s">
        <v>29</v>
      </c>
      <c r="F55" s="13">
        <v>24000</v>
      </c>
      <c r="G55" s="39">
        <v>2795</v>
      </c>
      <c r="H55" s="45">
        <v>58.89</v>
      </c>
      <c r="I55" s="45">
        <v>33.799999999999997</v>
      </c>
      <c r="J55" s="40">
        <f>IF(D55="Short",H55-I55,I55-H55)</f>
        <v>25.090000000000003</v>
      </c>
      <c r="K55" s="40">
        <f>J55*G55</f>
        <v>70126.55</v>
      </c>
      <c r="L55" s="40">
        <f>IF(D55="Short",G55*H55,G55*I55)</f>
        <v>164597.54999999999</v>
      </c>
      <c r="M55" s="40">
        <f>IF(D55="Short",G55*I55,H55*G55)</f>
        <v>94470.999999999985</v>
      </c>
      <c r="N55" s="40">
        <f>L55+M55</f>
        <v>259068.55</v>
      </c>
      <c r="O55" s="40">
        <f>N55*0.000134</f>
        <v>34.715185699999999</v>
      </c>
      <c r="P55" s="40">
        <f t="shared" si="0"/>
        <v>70091.834814300004</v>
      </c>
      <c r="Q55" s="14"/>
      <c r="R55" s="14"/>
      <c r="S55" s="14"/>
    </row>
    <row r="56" spans="1:19" x14ac:dyDescent="0.25">
      <c r="A56" s="51">
        <v>46156</v>
      </c>
      <c r="B56" s="9" t="s">
        <v>31</v>
      </c>
      <c r="C56" s="12">
        <v>46161</v>
      </c>
      <c r="D56" s="9" t="s">
        <v>30</v>
      </c>
      <c r="E56" s="9" t="s">
        <v>29</v>
      </c>
      <c r="F56" s="13">
        <v>24100</v>
      </c>
      <c r="G56" s="39">
        <v>2795</v>
      </c>
      <c r="H56" s="45">
        <v>23.8</v>
      </c>
      <c r="I56" s="45">
        <v>23.27</v>
      </c>
      <c r="J56" s="40">
        <f>IF(D56="Short",H56-I56,I56-H56)</f>
        <v>-0.53000000000000114</v>
      </c>
      <c r="K56" s="40">
        <f>J56*G56</f>
        <v>-1481.3500000000031</v>
      </c>
      <c r="L56" s="40">
        <f>IF(D56="Short",G56*H56,G56*I56)</f>
        <v>65039.65</v>
      </c>
      <c r="M56" s="40">
        <f>IF(D56="Short",G56*I56,H56*G56)</f>
        <v>66521</v>
      </c>
      <c r="N56" s="40">
        <f>L56+M56</f>
        <v>131560.65</v>
      </c>
      <c r="O56" s="40">
        <f>N56*0.000134</f>
        <v>17.629127099999998</v>
      </c>
      <c r="P56" s="40">
        <f t="shared" si="0"/>
        <v>-1498.9791271000031</v>
      </c>
      <c r="Q56" s="14"/>
      <c r="R56" s="14"/>
      <c r="S56" s="14"/>
    </row>
    <row r="57" spans="1:19" x14ac:dyDescent="0.25">
      <c r="A57" s="51">
        <v>46156</v>
      </c>
      <c r="B57" s="9" t="s">
        <v>31</v>
      </c>
      <c r="C57" s="12">
        <v>46161</v>
      </c>
      <c r="D57" s="9" t="s">
        <v>28</v>
      </c>
      <c r="E57" s="9" t="s">
        <v>29</v>
      </c>
      <c r="F57" s="13">
        <v>24200</v>
      </c>
      <c r="G57" s="39">
        <v>10465</v>
      </c>
      <c r="H57" s="45">
        <v>27.58</v>
      </c>
      <c r="I57" s="45">
        <v>22.62</v>
      </c>
      <c r="J57" s="40">
        <f>IF(D57="Short",H57-I57,I57-H57)</f>
        <v>4.9599999999999973</v>
      </c>
      <c r="K57" s="40">
        <f>J57*G57</f>
        <v>51906.399999999972</v>
      </c>
      <c r="L57" s="40">
        <f>IF(D57="Short",G57*H57,G57*I57)</f>
        <v>288624.69999999995</v>
      </c>
      <c r="M57" s="40">
        <f>IF(D57="Short",G57*I57,H57*G57)</f>
        <v>236718.30000000002</v>
      </c>
      <c r="N57" s="40">
        <f>L57+M57</f>
        <v>525343</v>
      </c>
      <c r="O57" s="40">
        <f>N57*0.000134</f>
        <v>70.395961999999997</v>
      </c>
      <c r="P57" s="40">
        <f t="shared" si="0"/>
        <v>51836.00403799997</v>
      </c>
      <c r="Q57" s="14"/>
      <c r="R57" s="14"/>
      <c r="S57" s="14"/>
    </row>
    <row r="58" spans="1:19" x14ac:dyDescent="0.25">
      <c r="A58" s="51">
        <v>46156</v>
      </c>
      <c r="B58" s="9" t="s">
        <v>31</v>
      </c>
      <c r="C58" s="12">
        <v>46161</v>
      </c>
      <c r="D58" s="9" t="s">
        <v>30</v>
      </c>
      <c r="E58" s="9" t="s">
        <v>29</v>
      </c>
      <c r="F58" s="13">
        <v>24200</v>
      </c>
      <c r="G58" s="39">
        <v>910</v>
      </c>
      <c r="H58" s="45">
        <v>22.62</v>
      </c>
      <c r="I58" s="45">
        <v>24.16</v>
      </c>
      <c r="J58" s="40">
        <f>IF(D58="Short",H58-I58,I58-H58)</f>
        <v>1.5399999999999991</v>
      </c>
      <c r="K58" s="40">
        <f>J58*G58</f>
        <v>1401.3999999999992</v>
      </c>
      <c r="L58" s="40">
        <f>IF(D58="Short",G58*H58,G58*I58)</f>
        <v>21985.599999999999</v>
      </c>
      <c r="M58" s="40">
        <f>IF(D58="Short",G58*I58,H58*G58)</f>
        <v>20584.2</v>
      </c>
      <c r="N58" s="40">
        <f>L58+M58</f>
        <v>42569.8</v>
      </c>
      <c r="O58" s="40">
        <f>N58*0.000134</f>
        <v>5.7043532000000008</v>
      </c>
      <c r="P58" s="40">
        <f t="shared" si="0"/>
        <v>1395.6956467999992</v>
      </c>
      <c r="Q58" s="14"/>
      <c r="R58" s="14"/>
      <c r="S58" s="14"/>
    </row>
    <row r="59" spans="1:19" x14ac:dyDescent="0.25">
      <c r="A59" s="51">
        <v>46156</v>
      </c>
      <c r="B59" s="9" t="s">
        <v>31</v>
      </c>
      <c r="C59" s="12">
        <v>46161</v>
      </c>
      <c r="D59" s="9" t="s">
        <v>30</v>
      </c>
      <c r="E59" s="9" t="s">
        <v>32</v>
      </c>
      <c r="F59" s="13">
        <v>22700</v>
      </c>
      <c r="G59" s="39">
        <v>3770</v>
      </c>
      <c r="H59" s="45">
        <v>11.26</v>
      </c>
      <c r="I59" s="45">
        <v>6.18</v>
      </c>
      <c r="J59" s="40">
        <f>IF(D59="Short",H59-I59,I59-H59)</f>
        <v>-5.08</v>
      </c>
      <c r="K59" s="40">
        <f>J59*G59</f>
        <v>-19151.599999999999</v>
      </c>
      <c r="L59" s="40">
        <f>IF(D59="Short",G59*H59,G59*I59)</f>
        <v>23298.6</v>
      </c>
      <c r="M59" s="40">
        <f>IF(D59="Short",G59*I59,H59*G59)</f>
        <v>42450.2</v>
      </c>
      <c r="N59" s="40">
        <f>L59+M59</f>
        <v>65748.799999999988</v>
      </c>
      <c r="O59" s="40">
        <f>N59*0.000134</f>
        <v>8.8103391999999996</v>
      </c>
      <c r="P59" s="40">
        <f t="shared" si="0"/>
        <v>-19160.4103392</v>
      </c>
      <c r="Q59" s="14"/>
      <c r="R59" s="14"/>
      <c r="S59" s="14"/>
    </row>
    <row r="60" spans="1:19" x14ac:dyDescent="0.25">
      <c r="A60" s="51">
        <v>46156</v>
      </c>
      <c r="B60" s="9" t="s">
        <v>31</v>
      </c>
      <c r="C60" s="12">
        <v>46161</v>
      </c>
      <c r="D60" s="9" t="s">
        <v>30</v>
      </c>
      <c r="E60" s="9" t="s">
        <v>32</v>
      </c>
      <c r="F60" s="13">
        <v>22700</v>
      </c>
      <c r="G60" s="39">
        <v>4030</v>
      </c>
      <c r="H60" s="45">
        <v>11.26</v>
      </c>
      <c r="I60" s="45">
        <v>19.02</v>
      </c>
      <c r="J60" s="40">
        <f>IF(D60="Short",H60-I60,I60-H60)</f>
        <v>7.76</v>
      </c>
      <c r="K60" s="40">
        <f>J60*G60</f>
        <v>31272.799999999999</v>
      </c>
      <c r="L60" s="40">
        <f>IF(D60="Short",G60*H60,G60*I60)</f>
        <v>76650.599999999991</v>
      </c>
      <c r="M60" s="40">
        <f>IF(D60="Short",G60*I60,H60*G60)</f>
        <v>45377.799999999996</v>
      </c>
      <c r="N60" s="40">
        <f>L60+M60</f>
        <v>122028.4</v>
      </c>
      <c r="O60" s="40">
        <f>N60*0.000134</f>
        <v>16.351805599999999</v>
      </c>
      <c r="P60" s="40">
        <f t="shared" si="0"/>
        <v>31256.4481944</v>
      </c>
      <c r="Q60" s="14"/>
      <c r="R60" s="14"/>
      <c r="S60" s="14"/>
    </row>
    <row r="61" spans="1:19" x14ac:dyDescent="0.25">
      <c r="A61" s="51">
        <v>46156</v>
      </c>
      <c r="B61" s="9" t="s">
        <v>31</v>
      </c>
      <c r="C61" s="12">
        <v>46161</v>
      </c>
      <c r="D61" s="9" t="s">
        <v>28</v>
      </c>
      <c r="E61" s="9" t="s">
        <v>32</v>
      </c>
      <c r="F61" s="13">
        <v>23550</v>
      </c>
      <c r="G61" s="39">
        <v>3770</v>
      </c>
      <c r="H61" s="45">
        <v>169.8</v>
      </c>
      <c r="I61" s="45">
        <v>103.31</v>
      </c>
      <c r="J61" s="40">
        <f>IF(D61="Short",H61-I61,I61-H61)</f>
        <v>66.490000000000009</v>
      </c>
      <c r="K61" s="40">
        <f>J61*G61</f>
        <v>250667.30000000005</v>
      </c>
      <c r="L61" s="40">
        <f>IF(D61="Short",G61*H61,G61*I61)</f>
        <v>640146</v>
      </c>
      <c r="M61" s="40">
        <f>IF(D61="Short",G61*I61,H61*G61)</f>
        <v>389478.7</v>
      </c>
      <c r="N61" s="40">
        <f>L61+M61</f>
        <v>1029624.7</v>
      </c>
      <c r="O61" s="40">
        <f>N61*0.000134</f>
        <v>137.9697098</v>
      </c>
      <c r="P61" s="40">
        <f t="shared" si="0"/>
        <v>250529.33029020004</v>
      </c>
      <c r="Q61" s="14"/>
      <c r="R61" s="14"/>
      <c r="S61" s="14"/>
    </row>
    <row r="62" spans="1:19" x14ac:dyDescent="0.25">
      <c r="A62" s="51">
        <v>46156</v>
      </c>
      <c r="B62" s="9" t="s">
        <v>31</v>
      </c>
      <c r="C62" s="12">
        <v>46161</v>
      </c>
      <c r="D62" s="9" t="s">
        <v>28</v>
      </c>
      <c r="E62" s="9" t="s">
        <v>32</v>
      </c>
      <c r="F62" s="13">
        <v>23550</v>
      </c>
      <c r="G62" s="39">
        <v>1885</v>
      </c>
      <c r="H62" s="45">
        <v>169.8</v>
      </c>
      <c r="I62" s="45">
        <v>250.18</v>
      </c>
      <c r="J62" s="40">
        <f>IF(D62="Short",H62-I62,I62-H62)</f>
        <v>-80.38</v>
      </c>
      <c r="K62" s="40">
        <f>J62*G62</f>
        <v>-151516.29999999999</v>
      </c>
      <c r="L62" s="40">
        <f>IF(D62="Short",G62*H62,G62*I62)</f>
        <v>320073</v>
      </c>
      <c r="M62" s="40">
        <f>IF(D62="Short",G62*I62,H62*G62)</f>
        <v>471589.3</v>
      </c>
      <c r="N62" s="40">
        <f>L62+M62</f>
        <v>791662.3</v>
      </c>
      <c r="O62" s="40">
        <f>N62*0.000134</f>
        <v>106.08274820000001</v>
      </c>
      <c r="P62" s="40">
        <f t="shared" si="0"/>
        <v>-151622.38274819998</v>
      </c>
      <c r="Q62" s="14"/>
      <c r="R62" s="14"/>
      <c r="S62" s="14"/>
    </row>
    <row r="63" spans="1:19" x14ac:dyDescent="0.25">
      <c r="A63" s="51">
        <v>46156</v>
      </c>
      <c r="B63" s="9" t="s">
        <v>31</v>
      </c>
      <c r="C63" s="12">
        <v>46161</v>
      </c>
      <c r="D63" s="9" t="s">
        <v>28</v>
      </c>
      <c r="E63" s="9" t="s">
        <v>32</v>
      </c>
      <c r="F63" s="13">
        <v>23650</v>
      </c>
      <c r="G63" s="39">
        <v>390</v>
      </c>
      <c r="H63" s="45">
        <v>176.39</v>
      </c>
      <c r="I63" s="45">
        <v>182.2</v>
      </c>
      <c r="J63" s="40">
        <f>IF(D63="Short",H63-I63,I63-H63)</f>
        <v>-5.8100000000000023</v>
      </c>
      <c r="K63" s="40">
        <f>J63*G63</f>
        <v>-2265.900000000001</v>
      </c>
      <c r="L63" s="40">
        <f>IF(D63="Short",G63*H63,G63*I63)</f>
        <v>68792.099999999991</v>
      </c>
      <c r="M63" s="40">
        <f>IF(D63="Short",G63*I63,H63*G63)</f>
        <v>71058</v>
      </c>
      <c r="N63" s="40">
        <f>L63+M63</f>
        <v>139850.09999999998</v>
      </c>
      <c r="O63" s="40">
        <f>N63*0.000134</f>
        <v>18.739913399999999</v>
      </c>
      <c r="P63" s="40">
        <f t="shared" si="0"/>
        <v>-2284.6399134000012</v>
      </c>
      <c r="Q63" s="14"/>
      <c r="R63" s="14"/>
      <c r="S63" s="14"/>
    </row>
    <row r="64" spans="1:19" x14ac:dyDescent="0.25">
      <c r="A64" s="51">
        <v>46156</v>
      </c>
      <c r="B64" s="9" t="s">
        <v>31</v>
      </c>
      <c r="C64" s="12">
        <v>46161</v>
      </c>
      <c r="D64" s="9" t="s">
        <v>28</v>
      </c>
      <c r="E64" s="9" t="s">
        <v>32</v>
      </c>
      <c r="F64" s="13">
        <v>23750</v>
      </c>
      <c r="G64" s="39">
        <v>780</v>
      </c>
      <c r="H64" s="45">
        <v>181.73</v>
      </c>
      <c r="I64" s="45">
        <v>380.24</v>
      </c>
      <c r="J64" s="40">
        <f>IF(D64="Short",H64-I64,I64-H64)</f>
        <v>-198.51000000000002</v>
      </c>
      <c r="K64" s="40">
        <f>J64*G64</f>
        <v>-154837.80000000002</v>
      </c>
      <c r="L64" s="40">
        <f>IF(D64="Short",G64*H64,G64*I64)</f>
        <v>141749.4</v>
      </c>
      <c r="M64" s="40">
        <f>IF(D64="Short",G64*I64,H64*G64)</f>
        <v>296587.2</v>
      </c>
      <c r="N64" s="40">
        <f>L64+M64</f>
        <v>438336.6</v>
      </c>
      <c r="O64" s="40">
        <f>N64*0.000134</f>
        <v>58.7371044</v>
      </c>
      <c r="P64" s="40">
        <f t="shared" si="0"/>
        <v>-154896.53710440002</v>
      </c>
      <c r="Q64" s="14"/>
      <c r="R64" s="14"/>
      <c r="S64" s="14"/>
    </row>
    <row r="65" spans="1:19" x14ac:dyDescent="0.25">
      <c r="A65" s="51">
        <v>46156</v>
      </c>
      <c r="B65" s="9" t="s">
        <v>27</v>
      </c>
      <c r="C65" s="12">
        <v>46156</v>
      </c>
      <c r="D65" s="9" t="s">
        <v>30</v>
      </c>
      <c r="E65" s="9" t="s">
        <v>29</v>
      </c>
      <c r="F65" s="13">
        <v>74600</v>
      </c>
      <c r="G65" s="39">
        <v>580</v>
      </c>
      <c r="H65" s="45">
        <v>516.16999999999996</v>
      </c>
      <c r="I65" s="45">
        <v>196.83</v>
      </c>
      <c r="J65" s="40">
        <f>IF(D65="Short",H65-I65,I65-H65)</f>
        <v>-319.33999999999992</v>
      </c>
      <c r="K65" s="40">
        <f>J65*G65</f>
        <v>-185217.19999999995</v>
      </c>
      <c r="L65" s="40">
        <f>IF(D65="Short",G65*H65,G65*I65)</f>
        <v>114161.40000000001</v>
      </c>
      <c r="M65" s="40">
        <f>IF(D65="Short",G65*I65,H65*G65)</f>
        <v>299378.59999999998</v>
      </c>
      <c r="N65" s="40">
        <f>L65+M65</f>
        <v>413540</v>
      </c>
      <c r="O65" s="40">
        <f>N65*0.000134</f>
        <v>55.414360000000002</v>
      </c>
      <c r="P65" s="40">
        <f t="shared" si="0"/>
        <v>-185272.61435999995</v>
      </c>
      <c r="Q65" s="14"/>
      <c r="R65" s="14"/>
      <c r="S65" s="14"/>
    </row>
    <row r="66" spans="1:19" x14ac:dyDescent="0.25">
      <c r="A66" s="51">
        <v>46156</v>
      </c>
      <c r="B66" s="9" t="s">
        <v>27</v>
      </c>
      <c r="C66" s="12">
        <v>46156</v>
      </c>
      <c r="D66" s="9" t="s">
        <v>28</v>
      </c>
      <c r="E66" s="9" t="s">
        <v>29</v>
      </c>
      <c r="F66" s="13">
        <v>74900</v>
      </c>
      <c r="G66" s="39">
        <v>300</v>
      </c>
      <c r="H66" s="45">
        <v>293.20999999999998</v>
      </c>
      <c r="I66" s="45">
        <v>272.58999999999997</v>
      </c>
      <c r="J66" s="40">
        <f>IF(D66="Short",H66-I66,I66-H66)</f>
        <v>20.620000000000005</v>
      </c>
      <c r="K66" s="40">
        <f>J66*G66</f>
        <v>6186.0000000000018</v>
      </c>
      <c r="L66" s="40">
        <f>IF(D66="Short",G66*H66,G66*I66)</f>
        <v>87963</v>
      </c>
      <c r="M66" s="40">
        <f>IF(D66="Short",G66*I66,H66*G66)</f>
        <v>81776.999999999985</v>
      </c>
      <c r="N66" s="40">
        <f>L66+M66</f>
        <v>169740</v>
      </c>
      <c r="O66" s="40">
        <f>N66*0.000134</f>
        <v>22.745160000000002</v>
      </c>
      <c r="P66" s="40">
        <f t="shared" ref="P66:P129" si="1">K66-O66</f>
        <v>6163.2548400000014</v>
      </c>
      <c r="Q66" s="14"/>
      <c r="R66" s="14"/>
      <c r="S66" s="14"/>
    </row>
    <row r="67" spans="1:19" x14ac:dyDescent="0.25">
      <c r="A67" s="51">
        <v>46156</v>
      </c>
      <c r="B67" s="9" t="s">
        <v>27</v>
      </c>
      <c r="C67" s="12">
        <v>46156</v>
      </c>
      <c r="D67" s="9" t="s">
        <v>30</v>
      </c>
      <c r="E67" s="9" t="s">
        <v>29</v>
      </c>
      <c r="F67" s="13">
        <v>75000</v>
      </c>
      <c r="G67" s="39">
        <v>100</v>
      </c>
      <c r="H67" s="45">
        <v>206.6</v>
      </c>
      <c r="I67" s="45">
        <v>190</v>
      </c>
      <c r="J67" s="40">
        <f>IF(D67="Short",H67-I67,I67-H67)</f>
        <v>-16.599999999999994</v>
      </c>
      <c r="K67" s="40">
        <f>J67*G67</f>
        <v>-1659.9999999999995</v>
      </c>
      <c r="L67" s="40">
        <f>IF(D67="Short",G67*H67,G67*I67)</f>
        <v>19000</v>
      </c>
      <c r="M67" s="40">
        <f>IF(D67="Short",G67*I67,H67*G67)</f>
        <v>20660</v>
      </c>
      <c r="N67" s="40">
        <f>L67+M67</f>
        <v>39660</v>
      </c>
      <c r="O67" s="40">
        <f>N67*0.000134</f>
        <v>5.3144400000000003</v>
      </c>
      <c r="P67" s="40">
        <f t="shared" si="1"/>
        <v>-1665.3144399999996</v>
      </c>
      <c r="Q67" s="14"/>
      <c r="R67" s="14"/>
      <c r="S67" s="14"/>
    </row>
    <row r="68" spans="1:19" x14ac:dyDescent="0.25">
      <c r="A68" s="51">
        <v>46156</v>
      </c>
      <c r="B68" s="9" t="s">
        <v>27</v>
      </c>
      <c r="C68" s="12">
        <v>46156</v>
      </c>
      <c r="D68" s="9" t="s">
        <v>30</v>
      </c>
      <c r="E68" s="9" t="s">
        <v>29</v>
      </c>
      <c r="F68" s="13">
        <v>75300</v>
      </c>
      <c r="G68" s="39">
        <v>100</v>
      </c>
      <c r="H68" s="45">
        <v>226.35</v>
      </c>
      <c r="I68" s="45">
        <v>82.8</v>
      </c>
      <c r="J68" s="40">
        <f>IF(D68="Short",H68-I68,I68-H68)</f>
        <v>-143.55000000000001</v>
      </c>
      <c r="K68" s="40">
        <f>J68*G68</f>
        <v>-14355.000000000002</v>
      </c>
      <c r="L68" s="40">
        <f>IF(D68="Short",G68*H68,G68*I68)</f>
        <v>8280</v>
      </c>
      <c r="M68" s="40">
        <f>IF(D68="Short",G68*I68,H68*G68)</f>
        <v>22635</v>
      </c>
      <c r="N68" s="40">
        <f>L68+M68</f>
        <v>30915</v>
      </c>
      <c r="O68" s="40">
        <f>N68*0.000134</f>
        <v>4.1426100000000003</v>
      </c>
      <c r="P68" s="40">
        <f t="shared" si="1"/>
        <v>-14359.142610000003</v>
      </c>
      <c r="Q68" s="14"/>
      <c r="R68" s="14"/>
      <c r="S68" s="14"/>
    </row>
    <row r="69" spans="1:19" x14ac:dyDescent="0.25">
      <c r="A69" s="51">
        <v>46156</v>
      </c>
      <c r="B69" s="9" t="s">
        <v>27</v>
      </c>
      <c r="C69" s="12">
        <v>46156</v>
      </c>
      <c r="D69" s="9" t="s">
        <v>28</v>
      </c>
      <c r="E69" s="9" t="s">
        <v>29</v>
      </c>
      <c r="F69" s="13">
        <v>75400</v>
      </c>
      <c r="G69" s="39">
        <v>260</v>
      </c>
      <c r="H69" s="45">
        <v>49.43</v>
      </c>
      <c r="I69" s="45">
        <v>172.03</v>
      </c>
      <c r="J69" s="40">
        <f>IF(D69="Short",H69-I69,I69-H69)</f>
        <v>-122.6</v>
      </c>
      <c r="K69" s="40">
        <f>J69*G69</f>
        <v>-31876</v>
      </c>
      <c r="L69" s="40">
        <f>IF(D69="Short",G69*H69,G69*I69)</f>
        <v>12851.8</v>
      </c>
      <c r="M69" s="40">
        <f>IF(D69="Short",G69*I69,H69*G69)</f>
        <v>44727.8</v>
      </c>
      <c r="N69" s="40">
        <f>L69+M69</f>
        <v>57579.600000000006</v>
      </c>
      <c r="O69" s="40">
        <f>N69*0.000134</f>
        <v>7.7156664000000008</v>
      </c>
      <c r="P69" s="40">
        <f t="shared" si="1"/>
        <v>-31883.715666399999</v>
      </c>
      <c r="Q69" s="14"/>
      <c r="R69" s="14"/>
      <c r="S69" s="14"/>
    </row>
    <row r="70" spans="1:19" x14ac:dyDescent="0.25">
      <c r="A70" s="51">
        <v>46156</v>
      </c>
      <c r="B70" s="9" t="s">
        <v>27</v>
      </c>
      <c r="C70" s="12">
        <v>46156</v>
      </c>
      <c r="D70" s="9" t="s">
        <v>28</v>
      </c>
      <c r="E70" s="9" t="s">
        <v>29</v>
      </c>
      <c r="F70" s="13">
        <v>75500</v>
      </c>
      <c r="G70" s="39">
        <v>1460</v>
      </c>
      <c r="H70" s="45">
        <v>121.25</v>
      </c>
      <c r="I70" s="45">
        <v>37.21</v>
      </c>
      <c r="J70" s="40">
        <f>IF(D70="Short",H70-I70,I70-H70)</f>
        <v>84.039999999999992</v>
      </c>
      <c r="K70" s="40">
        <f>J70*G70</f>
        <v>122698.4</v>
      </c>
      <c r="L70" s="40">
        <f>IF(D70="Short",G70*H70,G70*I70)</f>
        <v>177025</v>
      </c>
      <c r="M70" s="40">
        <f>IF(D70="Short",G70*I70,H70*G70)</f>
        <v>54326.6</v>
      </c>
      <c r="N70" s="40">
        <f>L70+M70</f>
        <v>231351.6</v>
      </c>
      <c r="O70" s="40">
        <f>N70*0.000134</f>
        <v>31.001114400000002</v>
      </c>
      <c r="P70" s="40">
        <f t="shared" si="1"/>
        <v>122667.39888559999</v>
      </c>
      <c r="Q70" s="14"/>
      <c r="R70" s="14"/>
      <c r="S70" s="14"/>
    </row>
    <row r="71" spans="1:19" x14ac:dyDescent="0.25">
      <c r="A71" s="51">
        <v>46156</v>
      </c>
      <c r="B71" s="9" t="s">
        <v>27</v>
      </c>
      <c r="C71" s="12">
        <v>46156</v>
      </c>
      <c r="D71" s="9" t="s">
        <v>30</v>
      </c>
      <c r="E71" s="9" t="s">
        <v>29</v>
      </c>
      <c r="F71" s="13">
        <v>75600</v>
      </c>
      <c r="G71" s="39">
        <v>840</v>
      </c>
      <c r="H71" s="45">
        <v>145.91</v>
      </c>
      <c r="I71" s="45">
        <v>34.67</v>
      </c>
      <c r="J71" s="40">
        <f>IF(D71="Short",H71-I71,I71-H71)</f>
        <v>-111.24</v>
      </c>
      <c r="K71" s="40">
        <f>J71*G71</f>
        <v>-93441.599999999991</v>
      </c>
      <c r="L71" s="40">
        <f>IF(D71="Short",G71*H71,G71*I71)</f>
        <v>29122.800000000003</v>
      </c>
      <c r="M71" s="40">
        <f>IF(D71="Short",G71*I71,H71*G71)</f>
        <v>122564.4</v>
      </c>
      <c r="N71" s="40">
        <f>L71+M71</f>
        <v>151687.20000000001</v>
      </c>
      <c r="O71" s="40">
        <f>N71*0.000134</f>
        <v>20.326084800000004</v>
      </c>
      <c r="P71" s="40">
        <f t="shared" si="1"/>
        <v>-93461.926084799998</v>
      </c>
      <c r="Q71" s="14"/>
      <c r="R71" s="14"/>
      <c r="S71" s="14"/>
    </row>
    <row r="72" spans="1:19" x14ac:dyDescent="0.25">
      <c r="A72" s="51">
        <v>46156</v>
      </c>
      <c r="B72" s="9" t="s">
        <v>27</v>
      </c>
      <c r="C72" s="12">
        <v>46156</v>
      </c>
      <c r="D72" s="9" t="s">
        <v>30</v>
      </c>
      <c r="E72" s="9" t="s">
        <v>29</v>
      </c>
      <c r="F72" s="13">
        <v>75700</v>
      </c>
      <c r="G72" s="39">
        <v>300</v>
      </c>
      <c r="H72" s="45">
        <v>71.13</v>
      </c>
      <c r="I72" s="45">
        <v>0.95</v>
      </c>
      <c r="J72" s="40">
        <f>IF(D72="Short",H72-I72,I72-H72)</f>
        <v>-70.179999999999993</v>
      </c>
      <c r="K72" s="40">
        <f>J72*G72</f>
        <v>-21053.999999999996</v>
      </c>
      <c r="L72" s="40">
        <f>IF(D72="Short",G72*H72,G72*I72)</f>
        <v>285</v>
      </c>
      <c r="M72" s="40">
        <f>IF(D72="Short",G72*I72,H72*G72)</f>
        <v>21339</v>
      </c>
      <c r="N72" s="40">
        <f>L72+M72</f>
        <v>21624</v>
      </c>
      <c r="O72" s="40">
        <f>N72*0.000134</f>
        <v>2.8976160000000002</v>
      </c>
      <c r="P72" s="40">
        <f t="shared" si="1"/>
        <v>-21056.897615999995</v>
      </c>
      <c r="Q72" s="14"/>
      <c r="R72" s="14"/>
      <c r="S72" s="14"/>
    </row>
    <row r="73" spans="1:19" x14ac:dyDescent="0.25">
      <c r="A73" s="51">
        <v>46156</v>
      </c>
      <c r="B73" s="9" t="s">
        <v>27</v>
      </c>
      <c r="C73" s="12">
        <v>46156</v>
      </c>
      <c r="D73" s="9" t="s">
        <v>30</v>
      </c>
      <c r="E73" s="9" t="s">
        <v>29</v>
      </c>
      <c r="F73" s="13">
        <v>76000</v>
      </c>
      <c r="G73" s="39">
        <v>11660</v>
      </c>
      <c r="H73" s="45">
        <v>11.99</v>
      </c>
      <c r="I73" s="45">
        <v>14.52</v>
      </c>
      <c r="J73" s="40">
        <f>IF(D73="Short",H73-I73,I73-H73)</f>
        <v>2.5299999999999994</v>
      </c>
      <c r="K73" s="40">
        <f>J73*G73</f>
        <v>29499.799999999992</v>
      </c>
      <c r="L73" s="40">
        <f>IF(D73="Short",G73*H73,G73*I73)</f>
        <v>169303.19999999998</v>
      </c>
      <c r="M73" s="40">
        <f>IF(D73="Short",G73*I73,H73*G73)</f>
        <v>139803.4</v>
      </c>
      <c r="N73" s="40">
        <f>L73+M73</f>
        <v>309106.59999999998</v>
      </c>
      <c r="O73" s="40">
        <f>N73*0.000134</f>
        <v>41.4202844</v>
      </c>
      <c r="P73" s="40">
        <f t="shared" si="1"/>
        <v>29458.379715599993</v>
      </c>
      <c r="Q73" s="14"/>
      <c r="R73" s="14"/>
      <c r="S73" s="14"/>
    </row>
    <row r="74" spans="1:19" x14ac:dyDescent="0.25">
      <c r="A74" s="51">
        <v>46156</v>
      </c>
      <c r="B74" s="9" t="s">
        <v>27</v>
      </c>
      <c r="C74" s="12">
        <v>46156</v>
      </c>
      <c r="D74" s="9" t="s">
        <v>28</v>
      </c>
      <c r="E74" s="9" t="s">
        <v>29</v>
      </c>
      <c r="F74" s="13">
        <v>76100</v>
      </c>
      <c r="G74" s="39">
        <v>100</v>
      </c>
      <c r="H74" s="45">
        <v>10.9</v>
      </c>
      <c r="I74" s="45">
        <v>11.83</v>
      </c>
      <c r="J74" s="40">
        <f>IF(D74="Short",H74-I74,I74-H74)</f>
        <v>-0.92999999999999972</v>
      </c>
      <c r="K74" s="40">
        <f>J74*G74</f>
        <v>-92.999999999999972</v>
      </c>
      <c r="L74" s="40">
        <f>IF(D74="Short",G74*H74,G74*I74)</f>
        <v>1090</v>
      </c>
      <c r="M74" s="40">
        <f>IF(D74="Short",G74*I74,H74*G74)</f>
        <v>1183</v>
      </c>
      <c r="N74" s="40">
        <f>L74+M74</f>
        <v>2273</v>
      </c>
      <c r="O74" s="40">
        <f>N74*0.000134</f>
        <v>0.30458200000000002</v>
      </c>
      <c r="P74" s="40">
        <f t="shared" si="1"/>
        <v>-93.304581999999968</v>
      </c>
      <c r="Q74" s="14"/>
      <c r="R74" s="14"/>
      <c r="S74" s="14"/>
    </row>
    <row r="75" spans="1:19" x14ac:dyDescent="0.25">
      <c r="A75" s="51">
        <v>46156</v>
      </c>
      <c r="B75" s="9" t="s">
        <v>27</v>
      </c>
      <c r="C75" s="12">
        <v>46156</v>
      </c>
      <c r="D75" s="9" t="s">
        <v>28</v>
      </c>
      <c r="E75" s="9" t="s">
        <v>29</v>
      </c>
      <c r="F75" s="13">
        <v>77500</v>
      </c>
      <c r="G75" s="39">
        <v>120</v>
      </c>
      <c r="H75" s="45">
        <v>2</v>
      </c>
      <c r="I75" s="45">
        <v>1.93</v>
      </c>
      <c r="J75" s="40">
        <f>IF(D75="Short",H75-I75,I75-H75)</f>
        <v>7.0000000000000062E-2</v>
      </c>
      <c r="K75" s="40">
        <f>J75*G75</f>
        <v>8.4000000000000075</v>
      </c>
      <c r="L75" s="40">
        <f>IF(D75="Short",G75*H75,G75*I75)</f>
        <v>240</v>
      </c>
      <c r="M75" s="40">
        <f>IF(D75="Short",G75*I75,H75*G75)</f>
        <v>231.6</v>
      </c>
      <c r="N75" s="40">
        <f>L75+M75</f>
        <v>471.6</v>
      </c>
      <c r="O75" s="40">
        <f>N75*0.000134</f>
        <v>6.3194400000000012E-2</v>
      </c>
      <c r="P75" s="40">
        <f t="shared" si="1"/>
        <v>8.336805600000007</v>
      </c>
      <c r="Q75" s="14"/>
      <c r="R75" s="14"/>
      <c r="S75" s="14"/>
    </row>
    <row r="76" spans="1:19" x14ac:dyDescent="0.25">
      <c r="A76" s="51">
        <v>46156</v>
      </c>
      <c r="B76" s="9" t="s">
        <v>27</v>
      </c>
      <c r="C76" s="12">
        <v>46156</v>
      </c>
      <c r="D76" s="9" t="s">
        <v>28</v>
      </c>
      <c r="E76" s="9" t="s">
        <v>32</v>
      </c>
      <c r="F76" s="13">
        <v>74000</v>
      </c>
      <c r="G76" s="39">
        <v>880</v>
      </c>
      <c r="H76" s="45">
        <v>30.18</v>
      </c>
      <c r="I76" s="45">
        <v>30.31</v>
      </c>
      <c r="J76" s="40">
        <f>IF(D76="Short",H76-I76,I76-H76)</f>
        <v>-0.12999999999999901</v>
      </c>
      <c r="K76" s="40">
        <f>J76*G76</f>
        <v>-114.39999999999912</v>
      </c>
      <c r="L76" s="40">
        <f>IF(D76="Short",G76*H76,G76*I76)</f>
        <v>26558.400000000001</v>
      </c>
      <c r="M76" s="40">
        <f>IF(D76="Short",G76*I76,H76*G76)</f>
        <v>26672.799999999999</v>
      </c>
      <c r="N76" s="40">
        <f>L76+M76</f>
        <v>53231.199999999997</v>
      </c>
      <c r="O76" s="40">
        <f>N76*0.000134</f>
        <v>7.1329807999999995</v>
      </c>
      <c r="P76" s="40">
        <f t="shared" si="1"/>
        <v>-121.53298079999912</v>
      </c>
      <c r="Q76" s="14"/>
      <c r="R76" s="14"/>
      <c r="S76" s="14"/>
    </row>
    <row r="77" spans="1:19" x14ac:dyDescent="0.25">
      <c r="A77" s="51">
        <v>46156</v>
      </c>
      <c r="B77" s="9" t="s">
        <v>27</v>
      </c>
      <c r="C77" s="12">
        <v>46156</v>
      </c>
      <c r="D77" s="9" t="s">
        <v>28</v>
      </c>
      <c r="E77" s="9" t="s">
        <v>32</v>
      </c>
      <c r="F77" s="13">
        <v>74600</v>
      </c>
      <c r="G77" s="39">
        <v>380</v>
      </c>
      <c r="H77" s="45">
        <v>62.3</v>
      </c>
      <c r="I77" s="45">
        <v>175.83</v>
      </c>
      <c r="J77" s="40">
        <f>IF(D77="Short",H77-I77,I77-H77)</f>
        <v>-113.53000000000002</v>
      </c>
      <c r="K77" s="40">
        <f>J77*G77</f>
        <v>-43141.400000000009</v>
      </c>
      <c r="L77" s="40">
        <f>IF(D77="Short",G77*H77,G77*I77)</f>
        <v>23674</v>
      </c>
      <c r="M77" s="40">
        <f>IF(D77="Short",G77*I77,H77*G77)</f>
        <v>66815.400000000009</v>
      </c>
      <c r="N77" s="40">
        <f>L77+M77</f>
        <v>90489.400000000009</v>
      </c>
      <c r="O77" s="40">
        <f>N77*0.000134</f>
        <v>12.125579600000002</v>
      </c>
      <c r="P77" s="40">
        <f t="shared" si="1"/>
        <v>-43153.525579600006</v>
      </c>
      <c r="Q77" s="14"/>
      <c r="R77" s="14"/>
      <c r="S77" s="14"/>
    </row>
    <row r="78" spans="1:19" x14ac:dyDescent="0.25">
      <c r="A78" s="51">
        <v>46156</v>
      </c>
      <c r="B78" s="9" t="s">
        <v>27</v>
      </c>
      <c r="C78" s="12">
        <v>46156</v>
      </c>
      <c r="D78" s="9" t="s">
        <v>28</v>
      </c>
      <c r="E78" s="9" t="s">
        <v>32</v>
      </c>
      <c r="F78" s="13">
        <v>75000</v>
      </c>
      <c r="G78" s="39">
        <v>1760</v>
      </c>
      <c r="H78" s="45">
        <v>210.32</v>
      </c>
      <c r="I78" s="45">
        <v>150.72</v>
      </c>
      <c r="J78" s="40">
        <f>IF(D78="Short",H78-I78,I78-H78)</f>
        <v>59.599999999999994</v>
      </c>
      <c r="K78" s="40">
        <f>J78*G78</f>
        <v>104895.99999999999</v>
      </c>
      <c r="L78" s="40">
        <f>IF(D78="Short",G78*H78,G78*I78)</f>
        <v>370163.20000000001</v>
      </c>
      <c r="M78" s="40">
        <f>IF(D78="Short",G78*I78,H78*G78)</f>
        <v>265267.20000000001</v>
      </c>
      <c r="N78" s="40">
        <f>L78+M78</f>
        <v>635430.40000000002</v>
      </c>
      <c r="O78" s="40">
        <f>N78*0.000134</f>
        <v>85.147673600000005</v>
      </c>
      <c r="P78" s="40">
        <f t="shared" si="1"/>
        <v>104810.85232639998</v>
      </c>
      <c r="Q78" s="14"/>
      <c r="R78" s="14"/>
      <c r="S78" s="14"/>
    </row>
    <row r="79" spans="1:19" x14ac:dyDescent="0.25">
      <c r="A79" s="51">
        <v>46156</v>
      </c>
      <c r="B79" s="9" t="s">
        <v>27</v>
      </c>
      <c r="C79" s="12">
        <v>46156</v>
      </c>
      <c r="D79" s="9" t="s">
        <v>30</v>
      </c>
      <c r="E79" s="9" t="s">
        <v>32</v>
      </c>
      <c r="F79" s="13">
        <v>75600</v>
      </c>
      <c r="G79" s="39">
        <v>240</v>
      </c>
      <c r="H79" s="45">
        <v>180.38</v>
      </c>
      <c r="I79" s="45">
        <v>155.63999999999999</v>
      </c>
      <c r="J79" s="40">
        <f>IF(D79="Short",H79-I79,I79-H79)</f>
        <v>-24.740000000000009</v>
      </c>
      <c r="K79" s="40">
        <f>J79*G79</f>
        <v>-5937.6000000000022</v>
      </c>
      <c r="L79" s="40">
        <f>IF(D79="Short",G79*H79,G79*I79)</f>
        <v>37353.599999999999</v>
      </c>
      <c r="M79" s="40">
        <f>IF(D79="Short",G79*I79,H79*G79)</f>
        <v>43291.199999999997</v>
      </c>
      <c r="N79" s="40">
        <f>L79+M79</f>
        <v>80644.799999999988</v>
      </c>
      <c r="O79" s="40">
        <f>N79*0.000134</f>
        <v>10.806403199999998</v>
      </c>
      <c r="P79" s="40">
        <f t="shared" si="1"/>
        <v>-5948.4064032000024</v>
      </c>
      <c r="Q79" s="14"/>
      <c r="R79" s="14"/>
      <c r="S79" s="14"/>
    </row>
    <row r="80" spans="1:19" x14ac:dyDescent="0.25">
      <c r="A80" s="51">
        <v>46156</v>
      </c>
      <c r="B80" s="9" t="s">
        <v>27</v>
      </c>
      <c r="C80" s="12">
        <v>46163</v>
      </c>
      <c r="D80" s="9" t="s">
        <v>30</v>
      </c>
      <c r="E80" s="9" t="s">
        <v>29</v>
      </c>
      <c r="F80" s="13">
        <v>75300</v>
      </c>
      <c r="G80" s="39">
        <v>40</v>
      </c>
      <c r="H80" s="45">
        <v>910</v>
      </c>
      <c r="I80" s="45">
        <v>902.15</v>
      </c>
      <c r="J80" s="40">
        <f>IF(D80="Short",H80-I80,I80-H80)</f>
        <v>-7.8500000000000227</v>
      </c>
      <c r="K80" s="40">
        <f>J80*G80</f>
        <v>-314.00000000000091</v>
      </c>
      <c r="L80" s="40">
        <f>IF(D80="Short",G80*H80,G80*I80)</f>
        <v>36086</v>
      </c>
      <c r="M80" s="40">
        <f>IF(D80="Short",G80*I80,H80*G80)</f>
        <v>36400</v>
      </c>
      <c r="N80" s="40">
        <f>L80+M80</f>
        <v>72486</v>
      </c>
      <c r="O80" s="40">
        <f>N80*0.000134</f>
        <v>9.7131240000000005</v>
      </c>
      <c r="P80" s="40">
        <f t="shared" si="1"/>
        <v>-323.7131240000009</v>
      </c>
      <c r="Q80" s="14"/>
      <c r="R80" s="14"/>
      <c r="S80" s="14"/>
    </row>
    <row r="81" spans="1:19" x14ac:dyDescent="0.25">
      <c r="A81" s="51">
        <v>46156</v>
      </c>
      <c r="B81" s="9" t="s">
        <v>27</v>
      </c>
      <c r="C81" s="12">
        <v>46163</v>
      </c>
      <c r="D81" s="9" t="s">
        <v>28</v>
      </c>
      <c r="E81" s="9" t="s">
        <v>29</v>
      </c>
      <c r="F81" s="13">
        <v>75400</v>
      </c>
      <c r="G81" s="39">
        <v>120</v>
      </c>
      <c r="H81" s="45">
        <v>769.61</v>
      </c>
      <c r="I81" s="45">
        <v>634.23</v>
      </c>
      <c r="J81" s="40">
        <f>IF(D81="Short",H81-I81,I81-H81)</f>
        <v>135.38</v>
      </c>
      <c r="K81" s="40">
        <f>J81*G81</f>
        <v>16245.599999999999</v>
      </c>
      <c r="L81" s="40">
        <f>IF(D81="Short",G81*H81,G81*I81)</f>
        <v>92353.2</v>
      </c>
      <c r="M81" s="40">
        <f>IF(D81="Short",G81*I81,H81*G81)</f>
        <v>76107.600000000006</v>
      </c>
      <c r="N81" s="40">
        <f>L81+M81</f>
        <v>168460.79999999999</v>
      </c>
      <c r="O81" s="40">
        <f>N81*0.000134</f>
        <v>22.5737472</v>
      </c>
      <c r="P81" s="40">
        <f t="shared" si="1"/>
        <v>16223.026252799998</v>
      </c>
      <c r="Q81" s="14"/>
      <c r="R81" s="14"/>
      <c r="S81" s="14"/>
    </row>
    <row r="82" spans="1:19" x14ac:dyDescent="0.25">
      <c r="A82" s="51">
        <v>46156</v>
      </c>
      <c r="B82" s="9" t="s">
        <v>27</v>
      </c>
      <c r="C82" s="12">
        <v>46163</v>
      </c>
      <c r="D82" s="9" t="s">
        <v>30</v>
      </c>
      <c r="E82" s="9" t="s">
        <v>29</v>
      </c>
      <c r="F82" s="13">
        <v>75500</v>
      </c>
      <c r="G82" s="39">
        <v>20</v>
      </c>
      <c r="H82" s="45">
        <v>681.65</v>
      </c>
      <c r="I82" s="45">
        <v>747.13</v>
      </c>
      <c r="J82" s="40">
        <f>IF(D82="Short",H82-I82,I82-H82)</f>
        <v>65.480000000000018</v>
      </c>
      <c r="K82" s="40">
        <f>J82*G82</f>
        <v>1309.6000000000004</v>
      </c>
      <c r="L82" s="40">
        <f>IF(D82="Short",G82*H82,G82*I82)</f>
        <v>14942.6</v>
      </c>
      <c r="M82" s="40">
        <f>IF(D82="Short",G82*I82,H82*G82)</f>
        <v>13633</v>
      </c>
      <c r="N82" s="40">
        <f>L82+M82</f>
        <v>28575.599999999999</v>
      </c>
      <c r="O82" s="40">
        <f>N82*0.000134</f>
        <v>3.8291303999999999</v>
      </c>
      <c r="P82" s="40">
        <f t="shared" si="1"/>
        <v>1305.7708696000004</v>
      </c>
      <c r="Q82" s="14"/>
      <c r="R82" s="14"/>
      <c r="S82" s="14"/>
    </row>
    <row r="83" spans="1:19" x14ac:dyDescent="0.25">
      <c r="A83" s="51">
        <v>46156</v>
      </c>
      <c r="B83" s="9" t="s">
        <v>27</v>
      </c>
      <c r="C83" s="12">
        <v>46163</v>
      </c>
      <c r="D83" s="9" t="s">
        <v>28</v>
      </c>
      <c r="E83" s="9" t="s">
        <v>29</v>
      </c>
      <c r="F83" s="13">
        <v>75500</v>
      </c>
      <c r="G83" s="39">
        <v>340</v>
      </c>
      <c r="H83" s="45">
        <v>747.13</v>
      </c>
      <c r="I83" s="45">
        <v>849.93</v>
      </c>
      <c r="J83" s="40">
        <f>IF(D83="Short",H83-I83,I83-H83)</f>
        <v>-102.79999999999995</v>
      </c>
      <c r="K83" s="40">
        <f>J83*G83</f>
        <v>-34951.999999999985</v>
      </c>
      <c r="L83" s="40">
        <f>IF(D83="Short",G83*H83,G83*I83)</f>
        <v>254024.2</v>
      </c>
      <c r="M83" s="40">
        <f>IF(D83="Short",G83*I83,H83*G83)</f>
        <v>288976.2</v>
      </c>
      <c r="N83" s="40">
        <f>L83+M83</f>
        <v>543000.4</v>
      </c>
      <c r="O83" s="40">
        <f>N83*0.000134</f>
        <v>72.762053600000002</v>
      </c>
      <c r="P83" s="40">
        <f t="shared" si="1"/>
        <v>-35024.762053599989</v>
      </c>
      <c r="Q83" s="14"/>
      <c r="R83" s="14"/>
      <c r="S83" s="14"/>
    </row>
    <row r="84" spans="1:19" x14ac:dyDescent="0.25">
      <c r="A84" s="51">
        <v>46156</v>
      </c>
      <c r="B84" s="9" t="s">
        <v>27</v>
      </c>
      <c r="C84" s="12">
        <v>46163</v>
      </c>
      <c r="D84" s="9" t="s">
        <v>30</v>
      </c>
      <c r="E84" s="9" t="s">
        <v>29</v>
      </c>
      <c r="F84" s="13">
        <v>75600</v>
      </c>
      <c r="G84" s="39">
        <v>100</v>
      </c>
      <c r="H84" s="45">
        <v>859.36</v>
      </c>
      <c r="I84" s="45">
        <v>720.04</v>
      </c>
      <c r="J84" s="40">
        <f>IF(D84="Short",H84-I84,I84-H84)</f>
        <v>-139.32000000000005</v>
      </c>
      <c r="K84" s="40">
        <f>J84*G84</f>
        <v>-13932.000000000005</v>
      </c>
      <c r="L84" s="40">
        <f>IF(D84="Short",G84*H84,G84*I84)</f>
        <v>72004</v>
      </c>
      <c r="M84" s="40">
        <f>IF(D84="Short",G84*I84,H84*G84)</f>
        <v>85936</v>
      </c>
      <c r="N84" s="40">
        <f>L84+M84</f>
        <v>157940</v>
      </c>
      <c r="O84" s="40">
        <f>N84*0.000134</f>
        <v>21.163959999999999</v>
      </c>
      <c r="P84" s="40">
        <f t="shared" si="1"/>
        <v>-13953.163960000005</v>
      </c>
      <c r="Q84" s="14"/>
      <c r="R84" s="14"/>
      <c r="S84" s="14"/>
    </row>
    <row r="85" spans="1:19" x14ac:dyDescent="0.25">
      <c r="A85" s="51">
        <v>46156</v>
      </c>
      <c r="B85" s="9" t="s">
        <v>27</v>
      </c>
      <c r="C85" s="12">
        <v>46163</v>
      </c>
      <c r="D85" s="9" t="s">
        <v>30</v>
      </c>
      <c r="E85" s="9" t="s">
        <v>29</v>
      </c>
      <c r="F85" s="13">
        <v>75700</v>
      </c>
      <c r="G85" s="39">
        <v>20</v>
      </c>
      <c r="H85" s="45">
        <v>777.8</v>
      </c>
      <c r="I85" s="45">
        <v>692.25</v>
      </c>
      <c r="J85" s="40">
        <f>IF(D85="Short",H85-I85,I85-H85)</f>
        <v>-85.549999999999955</v>
      </c>
      <c r="K85" s="40">
        <f>J85*G85</f>
        <v>-1710.9999999999991</v>
      </c>
      <c r="L85" s="40">
        <f>IF(D85="Short",G85*H85,G85*I85)</f>
        <v>13845</v>
      </c>
      <c r="M85" s="40">
        <f>IF(D85="Short",G85*I85,H85*G85)</f>
        <v>15556</v>
      </c>
      <c r="N85" s="40">
        <f>L85+M85</f>
        <v>29401</v>
      </c>
      <c r="O85" s="40">
        <f>N85*0.000134</f>
        <v>3.9397340000000001</v>
      </c>
      <c r="P85" s="40">
        <f t="shared" si="1"/>
        <v>-1714.9397339999991</v>
      </c>
      <c r="Q85" s="14"/>
      <c r="R85" s="14"/>
      <c r="S85" s="14"/>
    </row>
    <row r="86" spans="1:19" x14ac:dyDescent="0.25">
      <c r="A86" s="51">
        <v>46156</v>
      </c>
      <c r="B86" s="9" t="s">
        <v>27</v>
      </c>
      <c r="C86" s="12">
        <v>46163</v>
      </c>
      <c r="D86" s="9" t="s">
        <v>30</v>
      </c>
      <c r="E86" s="9" t="s">
        <v>32</v>
      </c>
      <c r="F86" s="13">
        <v>74600</v>
      </c>
      <c r="G86" s="39">
        <v>60</v>
      </c>
      <c r="H86" s="45">
        <v>779.97</v>
      </c>
      <c r="I86" s="45">
        <v>384.85</v>
      </c>
      <c r="J86" s="40">
        <f>IF(D86="Short",H86-I86,I86-H86)</f>
        <v>-395.12</v>
      </c>
      <c r="K86" s="40">
        <f>J86*G86</f>
        <v>-23707.200000000001</v>
      </c>
      <c r="L86" s="40">
        <f>IF(D86="Short",G86*H86,G86*I86)</f>
        <v>23091</v>
      </c>
      <c r="M86" s="40">
        <f>IF(D86="Short",G86*I86,H86*G86)</f>
        <v>46798.200000000004</v>
      </c>
      <c r="N86" s="40">
        <f>L86+M86</f>
        <v>69889.200000000012</v>
      </c>
      <c r="O86" s="40">
        <f>N86*0.000134</f>
        <v>9.3651528000000024</v>
      </c>
      <c r="P86" s="40">
        <f t="shared" si="1"/>
        <v>-23716.565152800002</v>
      </c>
      <c r="Q86" s="14"/>
      <c r="R86" s="14"/>
      <c r="S86" s="14"/>
    </row>
    <row r="87" spans="1:19" x14ac:dyDescent="0.25">
      <c r="A87" s="51">
        <v>46156</v>
      </c>
      <c r="B87" s="9" t="s">
        <v>27</v>
      </c>
      <c r="C87" s="12">
        <v>46163</v>
      </c>
      <c r="D87" s="9" t="s">
        <v>30</v>
      </c>
      <c r="E87" s="9" t="s">
        <v>32</v>
      </c>
      <c r="F87" s="13">
        <v>74600</v>
      </c>
      <c r="G87" s="39">
        <v>60</v>
      </c>
      <c r="H87" s="45">
        <v>779.97</v>
      </c>
      <c r="I87" s="45">
        <v>401.06</v>
      </c>
      <c r="J87" s="40">
        <f>IF(D87="Short",H87-I87,I87-H87)</f>
        <v>-378.91</v>
      </c>
      <c r="K87" s="40">
        <f>J87*G87</f>
        <v>-22734.600000000002</v>
      </c>
      <c r="L87" s="40">
        <f>IF(D87="Short",G87*H87,G87*I87)</f>
        <v>24063.599999999999</v>
      </c>
      <c r="M87" s="40">
        <f>IF(D87="Short",G87*I87,H87*G87)</f>
        <v>46798.200000000004</v>
      </c>
      <c r="N87" s="40">
        <f>L87+M87</f>
        <v>70861.8</v>
      </c>
      <c r="O87" s="40">
        <f>N87*0.000134</f>
        <v>9.4954812000000004</v>
      </c>
      <c r="P87" s="40">
        <f t="shared" si="1"/>
        <v>-22744.095481200002</v>
      </c>
      <c r="Q87" s="14"/>
      <c r="R87" s="14"/>
      <c r="S87" s="14"/>
    </row>
    <row r="88" spans="1:19" x14ac:dyDescent="0.25">
      <c r="A88" s="51">
        <v>46156</v>
      </c>
      <c r="B88" s="9" t="s">
        <v>27</v>
      </c>
      <c r="C88" s="12">
        <v>46163</v>
      </c>
      <c r="D88" s="9" t="s">
        <v>28</v>
      </c>
      <c r="E88" s="9" t="s">
        <v>32</v>
      </c>
      <c r="F88" s="13">
        <v>75400</v>
      </c>
      <c r="G88" s="39">
        <v>80</v>
      </c>
      <c r="H88" s="45">
        <v>655.41</v>
      </c>
      <c r="I88" s="45">
        <v>1285.46</v>
      </c>
      <c r="J88" s="40">
        <f>IF(D88="Short",H88-I88,I88-H88)</f>
        <v>-630.05000000000007</v>
      </c>
      <c r="K88" s="40">
        <f>J88*G88</f>
        <v>-50404.000000000007</v>
      </c>
      <c r="L88" s="40">
        <f>IF(D88="Short",G88*H88,G88*I88)</f>
        <v>52432.799999999996</v>
      </c>
      <c r="M88" s="40">
        <f>IF(D88="Short",G88*I88,H88*G88)</f>
        <v>102836.8</v>
      </c>
      <c r="N88" s="40">
        <f>L88+M88</f>
        <v>155269.6</v>
      </c>
      <c r="O88" s="40">
        <f>N88*0.000134</f>
        <v>20.8061264</v>
      </c>
      <c r="P88" s="40">
        <f t="shared" si="1"/>
        <v>-50424.806126400006</v>
      </c>
      <c r="Q88" s="14"/>
      <c r="R88" s="14"/>
      <c r="S88" s="14"/>
    </row>
    <row r="89" spans="1:19" x14ac:dyDescent="0.25">
      <c r="A89" s="51">
        <v>46156</v>
      </c>
      <c r="B89" s="9" t="s">
        <v>27</v>
      </c>
      <c r="C89" s="12">
        <v>46163</v>
      </c>
      <c r="D89" s="9" t="s">
        <v>28</v>
      </c>
      <c r="E89" s="9" t="s">
        <v>32</v>
      </c>
      <c r="F89" s="13">
        <v>75500</v>
      </c>
      <c r="G89" s="39">
        <v>560</v>
      </c>
      <c r="H89" s="45">
        <v>727.78</v>
      </c>
      <c r="I89" s="45">
        <v>782.15</v>
      </c>
      <c r="J89" s="40">
        <f>IF(D89="Short",H89-I89,I89-H89)</f>
        <v>-54.370000000000005</v>
      </c>
      <c r="K89" s="40">
        <f>J89*G89</f>
        <v>-30447.200000000004</v>
      </c>
      <c r="L89" s="40">
        <f>IF(D89="Short",G89*H89,G89*I89)</f>
        <v>407556.8</v>
      </c>
      <c r="M89" s="40">
        <f>IF(D89="Short",G89*I89,H89*G89)</f>
        <v>438004</v>
      </c>
      <c r="N89" s="40">
        <f>L89+M89</f>
        <v>845560.8</v>
      </c>
      <c r="O89" s="40">
        <f>N89*0.000134</f>
        <v>113.30514720000001</v>
      </c>
      <c r="P89" s="40">
        <f t="shared" si="1"/>
        <v>-30560.505147200005</v>
      </c>
      <c r="Q89" s="14"/>
      <c r="R89" s="14"/>
      <c r="S89" s="14"/>
    </row>
    <row r="90" spans="1:19" x14ac:dyDescent="0.25">
      <c r="A90" s="51">
        <v>46156</v>
      </c>
      <c r="B90" s="9" t="s">
        <v>27</v>
      </c>
      <c r="C90" s="12">
        <v>46163</v>
      </c>
      <c r="D90" s="9" t="s">
        <v>28</v>
      </c>
      <c r="E90" s="9" t="s">
        <v>32</v>
      </c>
      <c r="F90" s="13">
        <v>75600</v>
      </c>
      <c r="G90" s="39">
        <v>120</v>
      </c>
      <c r="H90" s="45">
        <v>759.95</v>
      </c>
      <c r="I90" s="45">
        <v>711.25</v>
      </c>
      <c r="J90" s="40">
        <f>IF(D90="Short",H90-I90,I90-H90)</f>
        <v>48.700000000000045</v>
      </c>
      <c r="K90" s="40">
        <f>J90*G90</f>
        <v>5844.0000000000055</v>
      </c>
      <c r="L90" s="40">
        <f>IF(D90="Short",G90*H90,G90*I90)</f>
        <v>91194</v>
      </c>
      <c r="M90" s="40">
        <f>IF(D90="Short",G90*I90,H90*G90)</f>
        <v>85350</v>
      </c>
      <c r="N90" s="40">
        <f>L90+M90</f>
        <v>176544</v>
      </c>
      <c r="O90" s="40">
        <f>N90*0.000134</f>
        <v>23.656896</v>
      </c>
      <c r="P90" s="40">
        <f t="shared" si="1"/>
        <v>5820.343104000005</v>
      </c>
      <c r="Q90" s="14"/>
      <c r="R90" s="14"/>
      <c r="S90" s="14"/>
    </row>
    <row r="91" spans="1:19" x14ac:dyDescent="0.25">
      <c r="A91" s="51">
        <v>46157</v>
      </c>
      <c r="B91" s="9" t="s">
        <v>31</v>
      </c>
      <c r="C91" s="12">
        <v>46161</v>
      </c>
      <c r="D91" s="9" t="s">
        <v>28</v>
      </c>
      <c r="E91" s="9" t="s">
        <v>29</v>
      </c>
      <c r="F91" s="13">
        <v>23900</v>
      </c>
      <c r="G91" s="39">
        <v>65</v>
      </c>
      <c r="H91" s="45">
        <v>49.95</v>
      </c>
      <c r="I91" s="45">
        <v>91.55</v>
      </c>
      <c r="J91" s="40">
        <f>IF(D91="Short",H91-I91,I91-H91)</f>
        <v>-41.599999999999994</v>
      </c>
      <c r="K91" s="40">
        <f>J91*G91</f>
        <v>-2703.9999999999995</v>
      </c>
      <c r="L91" s="40">
        <f>IF(D91="Short",G91*H91,G91*I91)</f>
        <v>3246.75</v>
      </c>
      <c r="M91" s="40">
        <f>IF(D91="Short",G91*I91,H91*G91)</f>
        <v>5950.75</v>
      </c>
      <c r="N91" s="40">
        <f>L91+M91</f>
        <v>9197.5</v>
      </c>
      <c r="O91" s="40">
        <f>N91*0.000134</f>
        <v>1.2324650000000001</v>
      </c>
      <c r="P91" s="40">
        <f t="shared" si="1"/>
        <v>-2705.2324649999996</v>
      </c>
      <c r="Q91" s="14"/>
      <c r="R91" s="14"/>
      <c r="S91" s="14"/>
    </row>
    <row r="92" spans="1:19" x14ac:dyDescent="0.25">
      <c r="A92" s="51">
        <v>46157</v>
      </c>
      <c r="B92" s="9" t="s">
        <v>31</v>
      </c>
      <c r="C92" s="12">
        <v>46161</v>
      </c>
      <c r="D92" s="9" t="s">
        <v>28</v>
      </c>
      <c r="E92" s="9" t="s">
        <v>32</v>
      </c>
      <c r="F92" s="13">
        <v>23700</v>
      </c>
      <c r="G92" s="39">
        <v>390</v>
      </c>
      <c r="H92" s="45">
        <v>121.72</v>
      </c>
      <c r="I92" s="45">
        <v>338.78</v>
      </c>
      <c r="J92" s="40">
        <f>IF(D92="Short",H92-I92,I92-H92)</f>
        <v>-217.05999999999997</v>
      </c>
      <c r="K92" s="40">
        <f>J92*G92</f>
        <v>-84653.4</v>
      </c>
      <c r="L92" s="40">
        <f>IF(D92="Short",G92*H92,G92*I92)</f>
        <v>47470.8</v>
      </c>
      <c r="M92" s="40">
        <f>IF(D92="Short",G92*I92,H92*G92)</f>
        <v>132124.19999999998</v>
      </c>
      <c r="N92" s="40">
        <f>L92+M92</f>
        <v>179595</v>
      </c>
      <c r="O92" s="40">
        <f>N92*0.000134</f>
        <v>24.065730000000002</v>
      </c>
      <c r="P92" s="40">
        <f t="shared" si="1"/>
        <v>-84677.465729999996</v>
      </c>
      <c r="Q92" s="14"/>
      <c r="R92" s="14"/>
      <c r="S92" s="14"/>
    </row>
    <row r="93" spans="1:19" x14ac:dyDescent="0.25">
      <c r="A93" s="51">
        <v>46157</v>
      </c>
      <c r="B93" s="9" t="s">
        <v>31</v>
      </c>
      <c r="C93" s="12">
        <v>46161</v>
      </c>
      <c r="D93" s="9" t="s">
        <v>28</v>
      </c>
      <c r="E93" s="9" t="s">
        <v>32</v>
      </c>
      <c r="F93" s="13">
        <v>23800</v>
      </c>
      <c r="G93" s="39">
        <v>390</v>
      </c>
      <c r="H93" s="45">
        <v>210.48</v>
      </c>
      <c r="I93" s="45">
        <v>187.15</v>
      </c>
      <c r="J93" s="40">
        <f>IF(D93="Short",H93-I93,I93-H93)</f>
        <v>23.329999999999984</v>
      </c>
      <c r="K93" s="40">
        <f>J93*G93</f>
        <v>9098.6999999999935</v>
      </c>
      <c r="L93" s="40">
        <f>IF(D93="Short",G93*H93,G93*I93)</f>
        <v>82087.199999999997</v>
      </c>
      <c r="M93" s="40">
        <f>IF(D93="Short",G93*I93,H93*G93)</f>
        <v>72988.5</v>
      </c>
      <c r="N93" s="40">
        <f>L93+M93</f>
        <v>155075.70000000001</v>
      </c>
      <c r="O93" s="40">
        <f>N93*0.000134</f>
        <v>20.780143800000001</v>
      </c>
      <c r="P93" s="40">
        <f t="shared" si="1"/>
        <v>9077.9198561999929</v>
      </c>
      <c r="Q93" s="14"/>
      <c r="R93" s="14"/>
      <c r="S93" s="14"/>
    </row>
    <row r="94" spans="1:19" x14ac:dyDescent="0.25">
      <c r="A94" s="51">
        <v>46157</v>
      </c>
      <c r="B94" s="9" t="s">
        <v>27</v>
      </c>
      <c r="C94" s="12">
        <v>46163</v>
      </c>
      <c r="D94" s="9" t="s">
        <v>30</v>
      </c>
      <c r="E94" s="9" t="s">
        <v>29</v>
      </c>
      <c r="F94" s="13">
        <v>75700</v>
      </c>
      <c r="G94" s="39">
        <v>140</v>
      </c>
      <c r="H94" s="45">
        <v>686.36</v>
      </c>
      <c r="I94" s="45">
        <v>195.74</v>
      </c>
      <c r="J94" s="40">
        <f>IF(D94="Short",H94-I94,I94-H94)</f>
        <v>-490.62</v>
      </c>
      <c r="K94" s="40">
        <f>J94*G94</f>
        <v>-68686.8</v>
      </c>
      <c r="L94" s="40">
        <f>IF(D94="Short",G94*H94,G94*I94)</f>
        <v>27403.600000000002</v>
      </c>
      <c r="M94" s="40">
        <f>IF(D94="Short",G94*I94,H94*G94)</f>
        <v>96090.400000000009</v>
      </c>
      <c r="N94" s="40">
        <f>L94+M94</f>
        <v>123494.00000000001</v>
      </c>
      <c r="O94" s="40">
        <f>N94*0.000134</f>
        <v>16.548196000000001</v>
      </c>
      <c r="P94" s="40">
        <f t="shared" si="1"/>
        <v>-68703.348196000006</v>
      </c>
      <c r="Q94" s="14"/>
      <c r="R94" s="14"/>
      <c r="S94" s="14"/>
    </row>
    <row r="95" spans="1:19" x14ac:dyDescent="0.25">
      <c r="A95" s="51">
        <v>46157</v>
      </c>
      <c r="B95" s="9" t="s">
        <v>27</v>
      </c>
      <c r="C95" s="12">
        <v>46163</v>
      </c>
      <c r="D95" s="9" t="s">
        <v>28</v>
      </c>
      <c r="E95" s="9" t="s">
        <v>29</v>
      </c>
      <c r="F95" s="13">
        <v>75500</v>
      </c>
      <c r="G95" s="39">
        <v>380</v>
      </c>
      <c r="H95" s="45">
        <v>668.17</v>
      </c>
      <c r="I95" s="45">
        <v>89.29</v>
      </c>
      <c r="J95" s="40">
        <f>IF(D95="Short",H95-I95,I95-H95)</f>
        <v>578.88</v>
      </c>
      <c r="K95" s="40">
        <f>J95*G95</f>
        <v>219974.39999999999</v>
      </c>
      <c r="L95" s="40">
        <f>IF(D95="Short",G95*H95,G95*I95)</f>
        <v>253904.59999999998</v>
      </c>
      <c r="M95" s="40">
        <f>IF(D95="Short",G95*I95,H95*G95)</f>
        <v>33930.200000000004</v>
      </c>
      <c r="N95" s="40">
        <f>L95+M95</f>
        <v>287834.8</v>
      </c>
      <c r="O95" s="40">
        <f>N95*0.000134</f>
        <v>38.5698632</v>
      </c>
      <c r="P95" s="40">
        <f t="shared" si="1"/>
        <v>219935.83013679998</v>
      </c>
      <c r="Q95" s="14"/>
      <c r="R95" s="14"/>
      <c r="S95" s="14"/>
    </row>
    <row r="96" spans="1:19" x14ac:dyDescent="0.25">
      <c r="A96" s="51">
        <v>46157</v>
      </c>
      <c r="B96" s="9" t="s">
        <v>27</v>
      </c>
      <c r="C96" s="12">
        <v>46163</v>
      </c>
      <c r="D96" s="9" t="s">
        <v>30</v>
      </c>
      <c r="E96" s="9" t="s">
        <v>29</v>
      </c>
      <c r="F96" s="13">
        <v>77800</v>
      </c>
      <c r="G96" s="39">
        <v>2200</v>
      </c>
      <c r="H96" s="45">
        <v>70.25</v>
      </c>
      <c r="I96" s="45">
        <v>39.78</v>
      </c>
      <c r="J96" s="40">
        <f>IF(D96="Short",H96-I96,I96-H96)</f>
        <v>-30.47</v>
      </c>
      <c r="K96" s="40">
        <f>J96*G96</f>
        <v>-67034</v>
      </c>
      <c r="L96" s="40">
        <f>IF(D96="Short",G96*H96,G96*I96)</f>
        <v>87516</v>
      </c>
      <c r="M96" s="40">
        <f>IF(D96="Short",G96*I96,H96*G96)</f>
        <v>154550</v>
      </c>
      <c r="N96" s="40">
        <f>L96+M96</f>
        <v>242066</v>
      </c>
      <c r="O96" s="40">
        <f>N96*0.000134</f>
        <v>32.436844000000001</v>
      </c>
      <c r="P96" s="40">
        <f t="shared" si="1"/>
        <v>-67066.436843999996</v>
      </c>
      <c r="Q96" s="14"/>
      <c r="R96" s="14"/>
      <c r="S96" s="14"/>
    </row>
    <row r="97" spans="1:19" x14ac:dyDescent="0.25">
      <c r="A97" s="51">
        <v>46157</v>
      </c>
      <c r="B97" s="9" t="s">
        <v>27</v>
      </c>
      <c r="C97" s="12">
        <v>46163</v>
      </c>
      <c r="D97" s="9" t="s">
        <v>30</v>
      </c>
      <c r="E97" s="9" t="s">
        <v>32</v>
      </c>
      <c r="F97" s="13">
        <v>75200</v>
      </c>
      <c r="G97" s="39">
        <v>140</v>
      </c>
      <c r="H97" s="45">
        <v>723.58</v>
      </c>
      <c r="I97" s="45">
        <v>1062.54</v>
      </c>
      <c r="J97" s="40">
        <f>IF(D97="Short",H97-I97,I97-H97)</f>
        <v>338.95999999999992</v>
      </c>
      <c r="K97" s="40">
        <f>J97*G97</f>
        <v>47454.399999999987</v>
      </c>
      <c r="L97" s="40">
        <f>IF(D97="Short",G97*H97,G97*I97)</f>
        <v>148755.6</v>
      </c>
      <c r="M97" s="40">
        <f>IF(D97="Short",G97*I97,H97*G97)</f>
        <v>101301.20000000001</v>
      </c>
      <c r="N97" s="40">
        <f>L97+M97</f>
        <v>250056.80000000002</v>
      </c>
      <c r="O97" s="40">
        <f>N97*0.000134</f>
        <v>33.507611200000007</v>
      </c>
      <c r="P97" s="40">
        <f t="shared" si="1"/>
        <v>47420.892388799984</v>
      </c>
      <c r="Q97" s="14"/>
      <c r="R97" s="14"/>
      <c r="S97" s="14"/>
    </row>
    <row r="98" spans="1:19" x14ac:dyDescent="0.25">
      <c r="A98" s="51">
        <v>46157</v>
      </c>
      <c r="B98" s="9" t="s">
        <v>27</v>
      </c>
      <c r="C98" s="12">
        <v>46163</v>
      </c>
      <c r="D98" s="9" t="s">
        <v>28</v>
      </c>
      <c r="E98" s="9" t="s">
        <v>32</v>
      </c>
      <c r="F98" s="13">
        <v>75500</v>
      </c>
      <c r="G98" s="39">
        <v>140</v>
      </c>
      <c r="H98" s="45">
        <v>821.71</v>
      </c>
      <c r="I98" s="45">
        <v>1278</v>
      </c>
      <c r="J98" s="40">
        <f>IF(D98="Short",H98-I98,I98-H98)</f>
        <v>-456.28999999999996</v>
      </c>
      <c r="K98" s="40">
        <f>J98*G98</f>
        <v>-63880.599999999991</v>
      </c>
      <c r="L98" s="40">
        <f>IF(D98="Short",G98*H98,G98*I98)</f>
        <v>115039.40000000001</v>
      </c>
      <c r="M98" s="40">
        <f>IF(D98="Short",G98*I98,H98*G98)</f>
        <v>178920</v>
      </c>
      <c r="N98" s="40">
        <f>L98+M98</f>
        <v>293959.40000000002</v>
      </c>
      <c r="O98" s="40">
        <f>N98*0.000134</f>
        <v>39.390559600000003</v>
      </c>
      <c r="P98" s="40">
        <f t="shared" si="1"/>
        <v>-63919.990559599988</v>
      </c>
      <c r="Q98" s="14"/>
      <c r="R98" s="14"/>
      <c r="S98" s="14"/>
    </row>
    <row r="99" spans="1:19" x14ac:dyDescent="0.25">
      <c r="A99" s="51">
        <v>46157</v>
      </c>
      <c r="B99" s="9" t="s">
        <v>27</v>
      </c>
      <c r="C99" s="12">
        <v>46163</v>
      </c>
      <c r="D99" s="9" t="s">
        <v>30</v>
      </c>
      <c r="E99" s="9" t="s">
        <v>32</v>
      </c>
      <c r="F99" s="13">
        <v>75300</v>
      </c>
      <c r="G99" s="39">
        <v>140</v>
      </c>
      <c r="H99" s="45">
        <v>768.54</v>
      </c>
      <c r="I99" s="45">
        <v>828.07</v>
      </c>
      <c r="J99" s="40">
        <f>IF(D99="Short",H99-I99,I99-H99)</f>
        <v>59.530000000000086</v>
      </c>
      <c r="K99" s="40">
        <f>J99*G99</f>
        <v>8334.2000000000116</v>
      </c>
      <c r="L99" s="40">
        <f>IF(D99="Short",G99*H99,G99*I99)</f>
        <v>115929.8</v>
      </c>
      <c r="M99" s="40">
        <f>IF(D99="Short",G99*I99,H99*G99)</f>
        <v>107595.59999999999</v>
      </c>
      <c r="N99" s="40">
        <f>L99+M99</f>
        <v>223525.4</v>
      </c>
      <c r="O99" s="40">
        <f>N99*0.000134</f>
        <v>29.9524036</v>
      </c>
      <c r="P99" s="40">
        <f t="shared" si="1"/>
        <v>8304.2475964000114</v>
      </c>
      <c r="Q99" s="14"/>
      <c r="R99" s="14"/>
      <c r="S99" s="14"/>
    </row>
    <row r="100" spans="1:19" x14ac:dyDescent="0.25">
      <c r="A100" s="51">
        <v>46157</v>
      </c>
      <c r="B100" s="9" t="s">
        <v>27</v>
      </c>
      <c r="C100" s="12">
        <v>46163</v>
      </c>
      <c r="D100" s="9" t="s">
        <v>28</v>
      </c>
      <c r="E100" s="9" t="s">
        <v>32</v>
      </c>
      <c r="F100" s="13">
        <v>75400</v>
      </c>
      <c r="G100" s="39">
        <v>600</v>
      </c>
      <c r="H100" s="45">
        <v>655.41</v>
      </c>
      <c r="I100" s="45">
        <v>679.89</v>
      </c>
      <c r="J100" s="40">
        <f>IF(D100="Short",H100-I100,I100-H100)</f>
        <v>-24.480000000000018</v>
      </c>
      <c r="K100" s="40">
        <f>J100*G100</f>
        <v>-14688.000000000011</v>
      </c>
      <c r="L100" s="40">
        <f>IF(D100="Short",G100*H100,G100*I100)</f>
        <v>393246</v>
      </c>
      <c r="M100" s="40">
        <f>IF(D100="Short",G100*I100,H100*G100)</f>
        <v>407934</v>
      </c>
      <c r="N100" s="40">
        <f>L100+M100</f>
        <v>801180</v>
      </c>
      <c r="O100" s="40">
        <f>N100*0.000134</f>
        <v>107.35812</v>
      </c>
      <c r="P100" s="40">
        <f t="shared" si="1"/>
        <v>-14795.358120000012</v>
      </c>
      <c r="Q100" s="14"/>
      <c r="R100" s="14"/>
      <c r="S100" s="14"/>
    </row>
    <row r="101" spans="1:19" x14ac:dyDescent="0.25">
      <c r="A101" s="51">
        <v>46157</v>
      </c>
      <c r="B101" s="9" t="s">
        <v>27</v>
      </c>
      <c r="C101" s="12">
        <v>46163</v>
      </c>
      <c r="D101" s="9" t="s">
        <v>30</v>
      </c>
      <c r="E101" s="9" t="s">
        <v>29</v>
      </c>
      <c r="F101" s="13">
        <v>75800</v>
      </c>
      <c r="G101" s="39">
        <v>140</v>
      </c>
      <c r="H101" s="45">
        <v>644.87</v>
      </c>
      <c r="I101" s="45">
        <v>157.02000000000001</v>
      </c>
      <c r="J101" s="40">
        <f>IF(D101="Short",H101-I101,I101-H101)</f>
        <v>-487.85</v>
      </c>
      <c r="K101" s="40">
        <f>J101*G101</f>
        <v>-68299</v>
      </c>
      <c r="L101" s="40">
        <f>IF(D101="Short",G101*H101,G101*I101)</f>
        <v>21982.800000000003</v>
      </c>
      <c r="M101" s="40">
        <f>IF(D101="Short",G101*I101,H101*G101)</f>
        <v>90281.8</v>
      </c>
      <c r="N101" s="40">
        <f>L101+M101</f>
        <v>112264.6</v>
      </c>
      <c r="O101" s="40">
        <f>N101*0.000134</f>
        <v>15.043456400000002</v>
      </c>
      <c r="P101" s="40">
        <f t="shared" si="1"/>
        <v>-68314.043456400002</v>
      </c>
      <c r="Q101" s="14"/>
      <c r="R101" s="14"/>
      <c r="S101" s="14"/>
    </row>
    <row r="102" spans="1:19" x14ac:dyDescent="0.25">
      <c r="A102" s="51">
        <v>46157</v>
      </c>
      <c r="B102" s="9" t="s">
        <v>31</v>
      </c>
      <c r="C102" s="12">
        <v>46161</v>
      </c>
      <c r="D102" s="9" t="s">
        <v>30</v>
      </c>
      <c r="E102" s="9" t="s">
        <v>29</v>
      </c>
      <c r="F102" s="13">
        <v>24200</v>
      </c>
      <c r="G102" s="39">
        <v>5265</v>
      </c>
      <c r="H102" s="45">
        <v>13.95</v>
      </c>
      <c r="I102" s="45">
        <v>3.31</v>
      </c>
      <c r="J102" s="40">
        <f>IF(D102="Short",H102-I102,I102-H102)</f>
        <v>-10.639999999999999</v>
      </c>
      <c r="K102" s="40">
        <f>J102*G102</f>
        <v>-56019.599999999991</v>
      </c>
      <c r="L102" s="40">
        <f>IF(D102="Short",G102*H102,G102*I102)</f>
        <v>17427.150000000001</v>
      </c>
      <c r="M102" s="40">
        <f>IF(D102="Short",G102*I102,H102*G102)</f>
        <v>73446.75</v>
      </c>
      <c r="N102" s="40">
        <f>L102+M102</f>
        <v>90873.9</v>
      </c>
      <c r="O102" s="40">
        <f>N102*0.000134</f>
        <v>12.1771026</v>
      </c>
      <c r="P102" s="40">
        <f t="shared" si="1"/>
        <v>-56031.77710259999</v>
      </c>
      <c r="Q102" s="14"/>
      <c r="R102" s="14"/>
      <c r="S102" s="14"/>
    </row>
    <row r="103" spans="1:19" x14ac:dyDescent="0.25">
      <c r="A103" s="51">
        <v>46157</v>
      </c>
      <c r="B103" s="9" t="s">
        <v>31</v>
      </c>
      <c r="C103" s="12">
        <v>46161</v>
      </c>
      <c r="D103" s="9" t="s">
        <v>28</v>
      </c>
      <c r="E103" s="9" t="s">
        <v>29</v>
      </c>
      <c r="F103" s="13">
        <v>23800</v>
      </c>
      <c r="G103" s="39">
        <v>130</v>
      </c>
      <c r="H103" s="45">
        <v>144.59</v>
      </c>
      <c r="I103" s="45">
        <v>30.07</v>
      </c>
      <c r="J103" s="40">
        <f>IF(D103="Short",H103-I103,I103-H103)</f>
        <v>114.52000000000001</v>
      </c>
      <c r="K103" s="40">
        <f>J103*G103</f>
        <v>14887.600000000002</v>
      </c>
      <c r="L103" s="40">
        <f>IF(D103="Short",G103*H103,G103*I103)</f>
        <v>18796.7</v>
      </c>
      <c r="M103" s="40">
        <f>IF(D103="Short",G103*I103,H103*G103)</f>
        <v>3909.1</v>
      </c>
      <c r="N103" s="40">
        <f>L103+M103</f>
        <v>22705.8</v>
      </c>
      <c r="O103" s="40">
        <f>N103*0.000134</f>
        <v>3.0425772000000002</v>
      </c>
      <c r="P103" s="40">
        <f t="shared" si="1"/>
        <v>14884.557422800002</v>
      </c>
      <c r="Q103" s="14"/>
      <c r="R103" s="14"/>
      <c r="S103" s="14"/>
    </row>
    <row r="104" spans="1:19" x14ac:dyDescent="0.25">
      <c r="A104" s="51">
        <v>46157</v>
      </c>
      <c r="B104" s="9" t="s">
        <v>27</v>
      </c>
      <c r="C104" s="12">
        <v>46163</v>
      </c>
      <c r="D104" s="9" t="s">
        <v>28</v>
      </c>
      <c r="E104" s="9" t="s">
        <v>29</v>
      </c>
      <c r="F104" s="13">
        <v>75200</v>
      </c>
      <c r="G104" s="39">
        <v>280</v>
      </c>
      <c r="H104" s="45">
        <v>661.9</v>
      </c>
      <c r="I104" s="45">
        <v>676.12</v>
      </c>
      <c r="J104" s="40">
        <f>IF(D104="Short",H104-I104,I104-H104)</f>
        <v>-14.220000000000027</v>
      </c>
      <c r="K104" s="40">
        <f>J104*G104</f>
        <v>-3981.6000000000076</v>
      </c>
      <c r="L104" s="40">
        <f>IF(D104="Short",G104*H104,G104*I104)</f>
        <v>185332</v>
      </c>
      <c r="M104" s="40">
        <f>IF(D104="Short",G104*I104,H104*G104)</f>
        <v>189313.6</v>
      </c>
      <c r="N104" s="40">
        <f>L104+M104</f>
        <v>374645.6</v>
      </c>
      <c r="O104" s="40">
        <f>N104*0.000134</f>
        <v>50.202510400000001</v>
      </c>
      <c r="P104" s="40">
        <f t="shared" si="1"/>
        <v>-4031.8025104000076</v>
      </c>
      <c r="Q104" s="14"/>
      <c r="R104" s="14"/>
      <c r="S104" s="14"/>
    </row>
    <row r="105" spans="1:19" x14ac:dyDescent="0.25">
      <c r="A105" s="51">
        <v>46157</v>
      </c>
      <c r="B105" s="9" t="s">
        <v>31</v>
      </c>
      <c r="C105" s="12">
        <v>46161</v>
      </c>
      <c r="D105" s="9" t="s">
        <v>30</v>
      </c>
      <c r="E105" s="9" t="s">
        <v>32</v>
      </c>
      <c r="F105" s="13">
        <v>23650</v>
      </c>
      <c r="G105" s="39">
        <v>1170</v>
      </c>
      <c r="H105" s="45">
        <v>182.2</v>
      </c>
      <c r="I105" s="45">
        <v>210.07</v>
      </c>
      <c r="J105" s="40">
        <f>IF(D105="Short",H105-I105,I105-H105)</f>
        <v>27.870000000000005</v>
      </c>
      <c r="K105" s="40">
        <f>J105*G105</f>
        <v>32607.900000000005</v>
      </c>
      <c r="L105" s="40">
        <f>IF(D105="Short",G105*H105,G105*I105)</f>
        <v>245781.9</v>
      </c>
      <c r="M105" s="40">
        <f>IF(D105="Short",G105*I105,H105*G105)</f>
        <v>213174</v>
      </c>
      <c r="N105" s="40">
        <f>L105+M105</f>
        <v>458955.9</v>
      </c>
      <c r="O105" s="40">
        <f>N105*0.000134</f>
        <v>61.500090600000007</v>
      </c>
      <c r="P105" s="40">
        <f t="shared" si="1"/>
        <v>32546.399909400006</v>
      </c>
      <c r="Q105" s="14"/>
      <c r="R105" s="14"/>
      <c r="S105" s="14"/>
    </row>
    <row r="106" spans="1:19" x14ac:dyDescent="0.25">
      <c r="A106" s="51">
        <v>46157</v>
      </c>
      <c r="B106" s="9" t="s">
        <v>31</v>
      </c>
      <c r="C106" s="12">
        <v>46161</v>
      </c>
      <c r="D106" s="9" t="s">
        <v>28</v>
      </c>
      <c r="E106" s="9" t="s">
        <v>29</v>
      </c>
      <c r="F106" s="13">
        <v>23850</v>
      </c>
      <c r="G106" s="39">
        <v>130</v>
      </c>
      <c r="H106" s="45">
        <v>72.3</v>
      </c>
      <c r="I106" s="45">
        <v>140.02000000000001</v>
      </c>
      <c r="J106" s="40">
        <f>IF(D106="Short",H106-I106,I106-H106)</f>
        <v>-67.720000000000013</v>
      </c>
      <c r="K106" s="40">
        <f>J106*G106</f>
        <v>-8803.6000000000022</v>
      </c>
      <c r="L106" s="40">
        <f>IF(D106="Short",G106*H106,G106*I106)</f>
        <v>9399</v>
      </c>
      <c r="M106" s="40">
        <f>IF(D106="Short",G106*I106,H106*G106)</f>
        <v>18202.600000000002</v>
      </c>
      <c r="N106" s="40">
        <f>L106+M106</f>
        <v>27601.600000000002</v>
      </c>
      <c r="O106" s="40">
        <f>N106*0.000134</f>
        <v>3.6986144000000003</v>
      </c>
      <c r="P106" s="40">
        <f t="shared" si="1"/>
        <v>-8807.2986144000024</v>
      </c>
      <c r="Q106" s="14"/>
      <c r="R106" s="14"/>
      <c r="S106" s="14"/>
    </row>
    <row r="107" spans="1:19" x14ac:dyDescent="0.25">
      <c r="A107" s="51">
        <v>46157</v>
      </c>
      <c r="B107" s="9" t="s">
        <v>31</v>
      </c>
      <c r="C107" s="12">
        <v>46161</v>
      </c>
      <c r="D107" s="9" t="s">
        <v>28</v>
      </c>
      <c r="E107" s="9" t="s">
        <v>29</v>
      </c>
      <c r="F107" s="13">
        <v>23700</v>
      </c>
      <c r="G107" s="39">
        <v>2730</v>
      </c>
      <c r="H107" s="45">
        <v>157.51</v>
      </c>
      <c r="I107" s="45">
        <v>74.31</v>
      </c>
      <c r="J107" s="40">
        <f>IF(D107="Short",H107-I107,I107-H107)</f>
        <v>83.199999999999989</v>
      </c>
      <c r="K107" s="40">
        <f>J107*G107</f>
        <v>227135.99999999997</v>
      </c>
      <c r="L107" s="40">
        <f>IF(D107="Short",G107*H107,G107*I107)</f>
        <v>430002.3</v>
      </c>
      <c r="M107" s="40">
        <f>IF(D107="Short",G107*I107,H107*G107)</f>
        <v>202866.30000000002</v>
      </c>
      <c r="N107" s="40">
        <f>L107+M107</f>
        <v>632868.6</v>
      </c>
      <c r="O107" s="40">
        <f>N107*0.000134</f>
        <v>84.804392399999998</v>
      </c>
      <c r="P107" s="40">
        <f t="shared" si="1"/>
        <v>227051.19560759998</v>
      </c>
      <c r="Q107" s="14"/>
      <c r="R107" s="14"/>
      <c r="S107" s="14"/>
    </row>
    <row r="108" spans="1:19" x14ac:dyDescent="0.25">
      <c r="A108" s="51">
        <v>46157</v>
      </c>
      <c r="B108" s="9" t="s">
        <v>31</v>
      </c>
      <c r="C108" s="12">
        <v>46161</v>
      </c>
      <c r="D108" s="9" t="s">
        <v>28</v>
      </c>
      <c r="E108" s="9" t="s">
        <v>29</v>
      </c>
      <c r="F108" s="13">
        <v>23800</v>
      </c>
      <c r="G108" s="39">
        <v>390</v>
      </c>
      <c r="H108" s="45">
        <v>144.59</v>
      </c>
      <c r="I108" s="45">
        <v>115.6</v>
      </c>
      <c r="J108" s="40">
        <f>IF(D108="Short",H108-I108,I108-H108)</f>
        <v>28.990000000000009</v>
      </c>
      <c r="K108" s="40">
        <f>J108*G108</f>
        <v>11306.100000000004</v>
      </c>
      <c r="L108" s="40">
        <f>IF(D108="Short",G108*H108,G108*I108)</f>
        <v>56390.1</v>
      </c>
      <c r="M108" s="40">
        <f>IF(D108="Short",G108*I108,H108*G108)</f>
        <v>45084</v>
      </c>
      <c r="N108" s="40">
        <f>L108+M108</f>
        <v>101474.1</v>
      </c>
      <c r="O108" s="40">
        <f>N108*0.000134</f>
        <v>13.597529400000001</v>
      </c>
      <c r="P108" s="40">
        <f t="shared" si="1"/>
        <v>11292.502470600004</v>
      </c>
      <c r="Q108" s="14"/>
      <c r="R108" s="14"/>
      <c r="S108" s="14"/>
    </row>
    <row r="109" spans="1:19" x14ac:dyDescent="0.25">
      <c r="A109" s="51">
        <v>46157</v>
      </c>
      <c r="B109" s="9" t="s">
        <v>31</v>
      </c>
      <c r="C109" s="12">
        <v>46161</v>
      </c>
      <c r="D109" s="9" t="s">
        <v>28</v>
      </c>
      <c r="E109" s="9" t="s">
        <v>29</v>
      </c>
      <c r="F109" s="13">
        <v>23750</v>
      </c>
      <c r="G109" s="39">
        <v>910</v>
      </c>
      <c r="H109" s="45">
        <v>156.41999999999999</v>
      </c>
      <c r="I109" s="45">
        <v>47.18</v>
      </c>
      <c r="J109" s="40">
        <f>IF(D109="Short",H109-I109,I109-H109)</f>
        <v>109.23999999999998</v>
      </c>
      <c r="K109" s="40">
        <f>J109*G109</f>
        <v>99408.39999999998</v>
      </c>
      <c r="L109" s="40">
        <f>IF(D109="Short",G109*H109,G109*I109)</f>
        <v>142342.19999999998</v>
      </c>
      <c r="M109" s="40">
        <f>IF(D109="Short",G109*I109,H109*G109)</f>
        <v>42933.8</v>
      </c>
      <c r="N109" s="40">
        <f>L109+M109</f>
        <v>185276</v>
      </c>
      <c r="O109" s="40">
        <f>N109*0.000134</f>
        <v>24.826983999999999</v>
      </c>
      <c r="P109" s="40">
        <f t="shared" si="1"/>
        <v>99383.57301599998</v>
      </c>
      <c r="Q109" s="14"/>
      <c r="R109" s="14"/>
      <c r="S109" s="14"/>
    </row>
    <row r="110" spans="1:19" x14ac:dyDescent="0.25">
      <c r="A110" s="51">
        <v>46157</v>
      </c>
      <c r="B110" s="9" t="s">
        <v>31</v>
      </c>
      <c r="C110" s="12">
        <v>46161</v>
      </c>
      <c r="D110" s="9" t="s">
        <v>28</v>
      </c>
      <c r="E110" s="9" t="s">
        <v>32</v>
      </c>
      <c r="F110" s="13">
        <v>23800</v>
      </c>
      <c r="G110" s="39">
        <v>1820</v>
      </c>
      <c r="H110" s="45">
        <v>210.48</v>
      </c>
      <c r="I110" s="45">
        <v>214.59</v>
      </c>
      <c r="J110" s="40">
        <f>IF(D110="Short",H110-I110,I110-H110)</f>
        <v>-4.1100000000000136</v>
      </c>
      <c r="K110" s="40">
        <f>J110*G110</f>
        <v>-7480.2000000000244</v>
      </c>
      <c r="L110" s="40">
        <f>IF(D110="Short",G110*H110,G110*I110)</f>
        <v>383073.6</v>
      </c>
      <c r="M110" s="40">
        <f>IF(D110="Short",G110*I110,H110*G110)</f>
        <v>390553.8</v>
      </c>
      <c r="N110" s="40">
        <f>L110+M110</f>
        <v>773627.39999999991</v>
      </c>
      <c r="O110" s="40">
        <f>N110*0.000134</f>
        <v>103.6660716</v>
      </c>
      <c r="P110" s="40">
        <f t="shared" si="1"/>
        <v>-7583.866071600024</v>
      </c>
      <c r="Q110" s="14"/>
      <c r="R110" s="14"/>
      <c r="S110" s="14"/>
    </row>
    <row r="111" spans="1:19" x14ac:dyDescent="0.25">
      <c r="A111" s="51">
        <v>46157</v>
      </c>
      <c r="B111" s="9" t="s">
        <v>27</v>
      </c>
      <c r="C111" s="12">
        <v>46163</v>
      </c>
      <c r="D111" s="9" t="s">
        <v>30</v>
      </c>
      <c r="E111" s="9" t="s">
        <v>32</v>
      </c>
      <c r="F111" s="13">
        <v>75700</v>
      </c>
      <c r="G111" s="39">
        <v>560</v>
      </c>
      <c r="H111" s="45">
        <v>763.27</v>
      </c>
      <c r="I111" s="45">
        <v>1473.39</v>
      </c>
      <c r="J111" s="40">
        <f>IF(D111="Short",H111-I111,I111-H111)</f>
        <v>710.12000000000012</v>
      </c>
      <c r="K111" s="40">
        <f>J111*G111</f>
        <v>397667.20000000007</v>
      </c>
      <c r="L111" s="40">
        <f>IF(D111="Short",G111*H111,G111*I111)</f>
        <v>825098.4</v>
      </c>
      <c r="M111" s="40">
        <f>IF(D111="Short",G111*I111,H111*G111)</f>
        <v>427431.2</v>
      </c>
      <c r="N111" s="40">
        <f>L111+M111</f>
        <v>1252529.6000000001</v>
      </c>
      <c r="O111" s="40">
        <f>N111*0.000134</f>
        <v>167.83896640000003</v>
      </c>
      <c r="P111" s="40">
        <f t="shared" si="1"/>
        <v>397499.36103360006</v>
      </c>
      <c r="Q111" s="14"/>
      <c r="R111" s="14"/>
      <c r="S111" s="14"/>
    </row>
    <row r="112" spans="1:19" x14ac:dyDescent="0.25">
      <c r="A112" s="51">
        <v>46157</v>
      </c>
      <c r="B112" s="9" t="s">
        <v>27</v>
      </c>
      <c r="C112" s="12">
        <v>46163</v>
      </c>
      <c r="D112" s="9" t="s">
        <v>28</v>
      </c>
      <c r="E112" s="9" t="s">
        <v>29</v>
      </c>
      <c r="F112" s="13">
        <v>75500</v>
      </c>
      <c r="G112" s="39">
        <v>500</v>
      </c>
      <c r="H112" s="45">
        <v>668.17</v>
      </c>
      <c r="I112" s="45">
        <v>849.93</v>
      </c>
      <c r="J112" s="40">
        <f>IF(D112="Short",H112-I112,I112-H112)</f>
        <v>-181.76</v>
      </c>
      <c r="K112" s="40">
        <f>J112*G112</f>
        <v>-90880</v>
      </c>
      <c r="L112" s="40">
        <f>IF(D112="Short",G112*H112,G112*I112)</f>
        <v>334085</v>
      </c>
      <c r="M112" s="40">
        <f>IF(D112="Short",G112*I112,H112*G112)</f>
        <v>424965</v>
      </c>
      <c r="N112" s="40">
        <f>L112+M112</f>
        <v>759050</v>
      </c>
      <c r="O112" s="40">
        <f>N112*0.000134</f>
        <v>101.7127</v>
      </c>
      <c r="P112" s="40">
        <f t="shared" si="1"/>
        <v>-90981.712700000004</v>
      </c>
      <c r="Q112" s="14"/>
      <c r="R112" s="14"/>
      <c r="S112" s="14"/>
    </row>
    <row r="113" spans="1:19" x14ac:dyDescent="0.25">
      <c r="A113" s="51">
        <v>46157</v>
      </c>
      <c r="B113" s="9" t="s">
        <v>31</v>
      </c>
      <c r="C113" s="12">
        <v>46161</v>
      </c>
      <c r="D113" s="9" t="s">
        <v>28</v>
      </c>
      <c r="E113" s="9" t="s">
        <v>29</v>
      </c>
      <c r="F113" s="13">
        <v>23700</v>
      </c>
      <c r="G113" s="39">
        <v>910</v>
      </c>
      <c r="H113" s="45">
        <v>157.51</v>
      </c>
      <c r="I113" s="45">
        <v>209.11</v>
      </c>
      <c r="J113" s="40">
        <f>IF(D113="Short",H113-I113,I113-H113)</f>
        <v>-51.600000000000023</v>
      </c>
      <c r="K113" s="40">
        <f>J113*G113</f>
        <v>-46956.000000000022</v>
      </c>
      <c r="L113" s="40">
        <f>IF(D113="Short",G113*H113,G113*I113)</f>
        <v>143334.1</v>
      </c>
      <c r="M113" s="40">
        <f>IF(D113="Short",G113*I113,H113*G113)</f>
        <v>190290.1</v>
      </c>
      <c r="N113" s="40">
        <f>L113+M113</f>
        <v>333624.2</v>
      </c>
      <c r="O113" s="40">
        <f>N113*0.000134</f>
        <v>44.7056428</v>
      </c>
      <c r="P113" s="40">
        <f t="shared" si="1"/>
        <v>-47000.705642800021</v>
      </c>
      <c r="Q113" s="14"/>
      <c r="R113" s="14"/>
      <c r="S113" s="14"/>
    </row>
    <row r="114" spans="1:19" x14ac:dyDescent="0.25">
      <c r="A114" s="51">
        <v>46157</v>
      </c>
      <c r="B114" s="9" t="s">
        <v>31</v>
      </c>
      <c r="C114" s="12">
        <v>46161</v>
      </c>
      <c r="D114" s="9" t="s">
        <v>28</v>
      </c>
      <c r="E114" s="9" t="s">
        <v>29</v>
      </c>
      <c r="F114" s="13">
        <v>23750</v>
      </c>
      <c r="G114" s="39">
        <v>910</v>
      </c>
      <c r="H114" s="45">
        <v>156.41999999999999</v>
      </c>
      <c r="I114" s="45">
        <v>180.88</v>
      </c>
      <c r="J114" s="40">
        <f>IF(D114="Short",H114-I114,I114-H114)</f>
        <v>-24.460000000000008</v>
      </c>
      <c r="K114" s="40">
        <f>J114*G114</f>
        <v>-22258.600000000006</v>
      </c>
      <c r="L114" s="40">
        <f>IF(D114="Short",G114*H114,G114*I114)</f>
        <v>142342.19999999998</v>
      </c>
      <c r="M114" s="40">
        <f>IF(D114="Short",G114*I114,H114*G114)</f>
        <v>164600.79999999999</v>
      </c>
      <c r="N114" s="40">
        <f>L114+M114</f>
        <v>306943</v>
      </c>
      <c r="O114" s="40">
        <f>N114*0.000134</f>
        <v>41.130361999999998</v>
      </c>
      <c r="P114" s="40">
        <f t="shared" si="1"/>
        <v>-22299.730362000006</v>
      </c>
      <c r="Q114" s="14"/>
      <c r="R114" s="14"/>
      <c r="S114" s="14"/>
    </row>
    <row r="115" spans="1:19" x14ac:dyDescent="0.25">
      <c r="A115" s="51">
        <v>46157</v>
      </c>
      <c r="B115" s="9" t="s">
        <v>31</v>
      </c>
      <c r="C115" s="12">
        <v>46161</v>
      </c>
      <c r="D115" s="9" t="s">
        <v>28</v>
      </c>
      <c r="E115" s="9" t="s">
        <v>32</v>
      </c>
      <c r="F115" s="13">
        <v>23000</v>
      </c>
      <c r="G115" s="39">
        <v>6240</v>
      </c>
      <c r="H115" s="45">
        <v>15.54</v>
      </c>
      <c r="I115" s="45">
        <v>13.49</v>
      </c>
      <c r="J115" s="40">
        <f>IF(D115="Short",H115-I115,I115-H115)</f>
        <v>2.0499999999999989</v>
      </c>
      <c r="K115" s="40">
        <f>J115*G115</f>
        <v>12791.999999999993</v>
      </c>
      <c r="L115" s="40">
        <f>IF(D115="Short",G115*H115,G115*I115)</f>
        <v>96969.599999999991</v>
      </c>
      <c r="M115" s="40">
        <f>IF(D115="Short",G115*I115,H115*G115)</f>
        <v>84177.600000000006</v>
      </c>
      <c r="N115" s="40">
        <f>L115+M115</f>
        <v>181147.2</v>
      </c>
      <c r="O115" s="40">
        <f>N115*0.000134</f>
        <v>24.273724800000004</v>
      </c>
      <c r="P115" s="40">
        <f t="shared" si="1"/>
        <v>12767.726275199993</v>
      </c>
      <c r="Q115" s="14"/>
      <c r="R115" s="14"/>
      <c r="S115" s="14"/>
    </row>
    <row r="116" spans="1:19" x14ac:dyDescent="0.25">
      <c r="A116" s="51">
        <v>46157</v>
      </c>
      <c r="B116" s="9" t="s">
        <v>31</v>
      </c>
      <c r="C116" s="12">
        <v>46161</v>
      </c>
      <c r="D116" s="9" t="s">
        <v>28</v>
      </c>
      <c r="E116" s="9" t="s">
        <v>29</v>
      </c>
      <c r="F116" s="13">
        <v>24300</v>
      </c>
      <c r="G116" s="39">
        <v>5395</v>
      </c>
      <c r="H116" s="45">
        <v>15.29</v>
      </c>
      <c r="I116" s="45">
        <v>25.62</v>
      </c>
      <c r="J116" s="40">
        <f>IF(D116="Short",H116-I116,I116-H116)</f>
        <v>-10.330000000000002</v>
      </c>
      <c r="K116" s="40">
        <f>J116*G116</f>
        <v>-55730.350000000013</v>
      </c>
      <c r="L116" s="40">
        <f>IF(D116="Short",G116*H116,G116*I116)</f>
        <v>82489.549999999988</v>
      </c>
      <c r="M116" s="40">
        <f>IF(D116="Short",G116*I116,H116*G116)</f>
        <v>138219.9</v>
      </c>
      <c r="N116" s="40">
        <f>L116+M116</f>
        <v>220709.44999999998</v>
      </c>
      <c r="O116" s="40">
        <f>N116*0.000134</f>
        <v>29.5750663</v>
      </c>
      <c r="P116" s="40">
        <f t="shared" si="1"/>
        <v>-55759.925066300013</v>
      </c>
      <c r="Q116" s="14"/>
      <c r="R116" s="14"/>
      <c r="S116" s="14"/>
    </row>
    <row r="117" spans="1:19" x14ac:dyDescent="0.25">
      <c r="A117" s="51">
        <v>46157</v>
      </c>
      <c r="B117" s="9" t="s">
        <v>31</v>
      </c>
      <c r="C117" s="12">
        <v>46161</v>
      </c>
      <c r="D117" s="9" t="s">
        <v>30</v>
      </c>
      <c r="E117" s="9" t="s">
        <v>32</v>
      </c>
      <c r="F117" s="13">
        <v>23500</v>
      </c>
      <c r="G117" s="39">
        <v>2470</v>
      </c>
      <c r="H117" s="45">
        <v>72.28</v>
      </c>
      <c r="I117" s="45">
        <v>78.27</v>
      </c>
      <c r="J117" s="40">
        <f>IF(D117="Short",H117-I117,I117-H117)</f>
        <v>5.9899999999999949</v>
      </c>
      <c r="K117" s="40">
        <f>J117*G117</f>
        <v>14795.299999999987</v>
      </c>
      <c r="L117" s="40">
        <f>IF(D117="Short",G117*H117,G117*I117)</f>
        <v>193326.9</v>
      </c>
      <c r="M117" s="40">
        <f>IF(D117="Short",G117*I117,H117*G117)</f>
        <v>178531.6</v>
      </c>
      <c r="N117" s="40">
        <f>L117+M117</f>
        <v>371858.5</v>
      </c>
      <c r="O117" s="40">
        <f>N117*0.000134</f>
        <v>49.829039000000002</v>
      </c>
      <c r="P117" s="40">
        <f t="shared" si="1"/>
        <v>14745.470960999986</v>
      </c>
      <c r="Q117" s="14"/>
      <c r="R117" s="14"/>
      <c r="S117" s="14"/>
    </row>
    <row r="118" spans="1:19" x14ac:dyDescent="0.25">
      <c r="A118" s="51">
        <v>46157</v>
      </c>
      <c r="B118" s="9" t="s">
        <v>27</v>
      </c>
      <c r="C118" s="12">
        <v>46163</v>
      </c>
      <c r="D118" s="9" t="s">
        <v>30</v>
      </c>
      <c r="E118" s="9" t="s">
        <v>29</v>
      </c>
      <c r="F118" s="13">
        <v>75800</v>
      </c>
      <c r="G118" s="39">
        <v>180</v>
      </c>
      <c r="H118" s="45">
        <v>644.87</v>
      </c>
      <c r="I118" s="45">
        <v>725.74</v>
      </c>
      <c r="J118" s="40">
        <f>IF(D118="Short",H118-I118,I118-H118)</f>
        <v>80.87</v>
      </c>
      <c r="K118" s="40">
        <f>J118*G118</f>
        <v>14556.6</v>
      </c>
      <c r="L118" s="40">
        <f>IF(D118="Short",G118*H118,G118*I118)</f>
        <v>130633.2</v>
      </c>
      <c r="M118" s="40">
        <f>IF(D118="Short",G118*I118,H118*G118)</f>
        <v>116076.6</v>
      </c>
      <c r="N118" s="40">
        <f>L118+M118</f>
        <v>246709.8</v>
      </c>
      <c r="O118" s="40">
        <f>N118*0.000134</f>
        <v>33.059113199999999</v>
      </c>
      <c r="P118" s="40">
        <f t="shared" si="1"/>
        <v>14523.540886799999</v>
      </c>
      <c r="Q118" s="14"/>
      <c r="R118" s="14"/>
      <c r="S118" s="14"/>
    </row>
    <row r="119" spans="1:19" x14ac:dyDescent="0.25">
      <c r="A119" s="51">
        <v>46157</v>
      </c>
      <c r="B119" s="9" t="s">
        <v>27</v>
      </c>
      <c r="C119" s="12">
        <v>46163</v>
      </c>
      <c r="D119" s="9" t="s">
        <v>28</v>
      </c>
      <c r="E119" s="9" t="s">
        <v>32</v>
      </c>
      <c r="F119" s="13">
        <v>75800</v>
      </c>
      <c r="G119" s="39">
        <v>120</v>
      </c>
      <c r="H119" s="45">
        <v>735.45</v>
      </c>
      <c r="I119" s="45">
        <v>1581</v>
      </c>
      <c r="J119" s="40">
        <f>IF(D119="Short",H119-I119,I119-H119)</f>
        <v>-845.55</v>
      </c>
      <c r="K119" s="40">
        <f>J119*G119</f>
        <v>-101466</v>
      </c>
      <c r="L119" s="40">
        <f>IF(D119="Short",G119*H119,G119*I119)</f>
        <v>88254</v>
      </c>
      <c r="M119" s="40">
        <f>IF(D119="Short",G119*I119,H119*G119)</f>
        <v>189720</v>
      </c>
      <c r="N119" s="40">
        <f>L119+M119</f>
        <v>277974</v>
      </c>
      <c r="O119" s="40">
        <f>N119*0.000134</f>
        <v>37.248516000000002</v>
      </c>
      <c r="P119" s="40">
        <f t="shared" si="1"/>
        <v>-101503.24851600001</v>
      </c>
      <c r="Q119" s="14"/>
      <c r="R119" s="14"/>
      <c r="S119" s="14"/>
    </row>
    <row r="120" spans="1:19" x14ac:dyDescent="0.25">
      <c r="A120" s="51">
        <v>46157</v>
      </c>
      <c r="B120" s="9" t="s">
        <v>27</v>
      </c>
      <c r="C120" s="12">
        <v>46163</v>
      </c>
      <c r="D120" s="9" t="s">
        <v>28</v>
      </c>
      <c r="E120" s="9" t="s">
        <v>29</v>
      </c>
      <c r="F120" s="13">
        <v>75400</v>
      </c>
      <c r="G120" s="39">
        <v>240</v>
      </c>
      <c r="H120" s="45">
        <v>769.61</v>
      </c>
      <c r="I120" s="45">
        <v>935.21</v>
      </c>
      <c r="J120" s="40">
        <f>IF(D120="Short",H120-I120,I120-H120)</f>
        <v>-165.60000000000002</v>
      </c>
      <c r="K120" s="40">
        <f>J120*G120</f>
        <v>-39744.000000000007</v>
      </c>
      <c r="L120" s="40">
        <f>IF(D120="Short",G120*H120,G120*I120)</f>
        <v>184706.4</v>
      </c>
      <c r="M120" s="40">
        <f>IF(D120="Short",G120*I120,H120*G120)</f>
        <v>224450.40000000002</v>
      </c>
      <c r="N120" s="40">
        <f>L120+M120</f>
        <v>409156.80000000005</v>
      </c>
      <c r="O120" s="40">
        <f>N120*0.000134</f>
        <v>54.827011200000008</v>
      </c>
      <c r="P120" s="40">
        <f t="shared" si="1"/>
        <v>-39798.82701120001</v>
      </c>
      <c r="Q120" s="14"/>
      <c r="R120" s="14"/>
      <c r="S120" s="14"/>
    </row>
    <row r="121" spans="1:19" x14ac:dyDescent="0.25">
      <c r="A121" s="51">
        <v>46157</v>
      </c>
      <c r="B121" s="9" t="s">
        <v>31</v>
      </c>
      <c r="C121" s="12">
        <v>46161</v>
      </c>
      <c r="D121" s="9" t="s">
        <v>28</v>
      </c>
      <c r="E121" s="9" t="s">
        <v>29</v>
      </c>
      <c r="F121" s="13">
        <v>23450</v>
      </c>
      <c r="G121" s="39">
        <v>455</v>
      </c>
      <c r="H121" s="45">
        <v>199.28</v>
      </c>
      <c r="I121" s="45">
        <v>366.69</v>
      </c>
      <c r="J121" s="40">
        <f>IF(D121="Short",H121-I121,I121-H121)</f>
        <v>-167.41</v>
      </c>
      <c r="K121" s="40">
        <f>J121*G121</f>
        <v>-76171.55</v>
      </c>
      <c r="L121" s="40">
        <f>IF(D121="Short",G121*H121,G121*I121)</f>
        <v>90672.4</v>
      </c>
      <c r="M121" s="40">
        <f>IF(D121="Short",G121*I121,H121*G121)</f>
        <v>166843.95000000001</v>
      </c>
      <c r="N121" s="40">
        <f>L121+M121</f>
        <v>257516.35</v>
      </c>
      <c r="O121" s="40">
        <f>N121*0.000134</f>
        <v>34.507190900000005</v>
      </c>
      <c r="P121" s="40">
        <f t="shared" si="1"/>
        <v>-76206.057190899999</v>
      </c>
      <c r="Q121" s="14"/>
      <c r="R121" s="14"/>
      <c r="S121" s="14"/>
    </row>
    <row r="122" spans="1:19" x14ac:dyDescent="0.25">
      <c r="A122" s="51">
        <v>46157</v>
      </c>
      <c r="B122" s="9" t="s">
        <v>27</v>
      </c>
      <c r="C122" s="12">
        <v>46163</v>
      </c>
      <c r="D122" s="9" t="s">
        <v>30</v>
      </c>
      <c r="E122" s="9" t="s">
        <v>32</v>
      </c>
      <c r="F122" s="13">
        <v>75700</v>
      </c>
      <c r="G122" s="39">
        <v>280</v>
      </c>
      <c r="H122" s="45">
        <v>763.27</v>
      </c>
      <c r="I122" s="45">
        <v>717.81</v>
      </c>
      <c r="J122" s="40">
        <f>IF(D122="Short",H122-I122,I122-H122)</f>
        <v>-45.460000000000036</v>
      </c>
      <c r="K122" s="40">
        <f>J122*G122</f>
        <v>-12728.80000000001</v>
      </c>
      <c r="L122" s="40">
        <f>IF(D122="Short",G122*H122,G122*I122)</f>
        <v>200986.8</v>
      </c>
      <c r="M122" s="40">
        <f>IF(D122="Short",G122*I122,H122*G122)</f>
        <v>213715.6</v>
      </c>
      <c r="N122" s="40">
        <f>L122+M122</f>
        <v>414702.4</v>
      </c>
      <c r="O122" s="40">
        <f>N122*0.000134</f>
        <v>55.570121600000007</v>
      </c>
      <c r="P122" s="40">
        <f t="shared" si="1"/>
        <v>-12784.37012160001</v>
      </c>
      <c r="Q122" s="14"/>
      <c r="R122" s="14"/>
      <c r="S122" s="14"/>
    </row>
    <row r="123" spans="1:19" x14ac:dyDescent="0.25">
      <c r="A123" s="51">
        <v>46157</v>
      </c>
      <c r="B123" s="9" t="s">
        <v>27</v>
      </c>
      <c r="C123" s="12">
        <v>46163</v>
      </c>
      <c r="D123" s="9" t="s">
        <v>28</v>
      </c>
      <c r="E123" s="9" t="s">
        <v>32</v>
      </c>
      <c r="F123" s="13">
        <v>75600</v>
      </c>
      <c r="G123" s="39">
        <v>120</v>
      </c>
      <c r="H123" s="45">
        <v>686.14</v>
      </c>
      <c r="I123" s="45">
        <v>1429.51</v>
      </c>
      <c r="J123" s="40">
        <f>IF(D123="Short",H123-I123,I123-H123)</f>
        <v>-743.37</v>
      </c>
      <c r="K123" s="40">
        <f>J123*G123</f>
        <v>-89204.4</v>
      </c>
      <c r="L123" s="40">
        <f>IF(D123="Short",G123*H123,G123*I123)</f>
        <v>82336.800000000003</v>
      </c>
      <c r="M123" s="40">
        <f>IF(D123="Short",G123*I123,H123*G123)</f>
        <v>171541.2</v>
      </c>
      <c r="N123" s="40">
        <f>L123+M123</f>
        <v>253878</v>
      </c>
      <c r="O123" s="40">
        <f>N123*0.000134</f>
        <v>34.019652000000001</v>
      </c>
      <c r="P123" s="40">
        <f t="shared" si="1"/>
        <v>-89238.419651999997</v>
      </c>
      <c r="Q123" s="14"/>
      <c r="R123" s="14"/>
      <c r="S123" s="14"/>
    </row>
    <row r="124" spans="1:19" x14ac:dyDescent="0.25">
      <c r="A124" s="51">
        <v>46157</v>
      </c>
      <c r="B124" s="9" t="s">
        <v>27</v>
      </c>
      <c r="C124" s="12">
        <v>46163</v>
      </c>
      <c r="D124" s="9" t="s">
        <v>28</v>
      </c>
      <c r="E124" s="9" t="s">
        <v>29</v>
      </c>
      <c r="F124" s="13">
        <v>75600</v>
      </c>
      <c r="G124" s="39">
        <v>20</v>
      </c>
      <c r="H124" s="45">
        <v>720.04</v>
      </c>
      <c r="I124" s="45">
        <v>687.16</v>
      </c>
      <c r="J124" s="40">
        <f>IF(D124="Short",H124-I124,I124-H124)</f>
        <v>32.879999999999995</v>
      </c>
      <c r="K124" s="40">
        <f>J124*G124</f>
        <v>657.59999999999991</v>
      </c>
      <c r="L124" s="40">
        <f>IF(D124="Short",G124*H124,G124*I124)</f>
        <v>14400.8</v>
      </c>
      <c r="M124" s="40">
        <f>IF(D124="Short",G124*I124,H124*G124)</f>
        <v>13743.199999999999</v>
      </c>
      <c r="N124" s="40">
        <f>L124+M124</f>
        <v>28144</v>
      </c>
      <c r="O124" s="40">
        <f>N124*0.000134</f>
        <v>3.771296</v>
      </c>
      <c r="P124" s="40">
        <f t="shared" si="1"/>
        <v>653.8287039999999</v>
      </c>
      <c r="Q124" s="14"/>
      <c r="R124" s="14"/>
      <c r="S124" s="14"/>
    </row>
    <row r="125" spans="1:19" x14ac:dyDescent="0.25">
      <c r="A125" s="51">
        <v>46157</v>
      </c>
      <c r="B125" s="9" t="s">
        <v>31</v>
      </c>
      <c r="C125" s="12">
        <v>46161</v>
      </c>
      <c r="D125" s="9" t="s">
        <v>28</v>
      </c>
      <c r="E125" s="9" t="s">
        <v>32</v>
      </c>
      <c r="F125" s="13">
        <v>23750</v>
      </c>
      <c r="G125" s="39">
        <v>65</v>
      </c>
      <c r="H125" s="45">
        <v>194.45</v>
      </c>
      <c r="I125" s="45">
        <v>380.24</v>
      </c>
      <c r="J125" s="40">
        <f>IF(D125="Short",H125-I125,I125-H125)</f>
        <v>-185.79000000000002</v>
      </c>
      <c r="K125" s="40">
        <f>J125*G125</f>
        <v>-12076.350000000002</v>
      </c>
      <c r="L125" s="40">
        <f>IF(D125="Short",G125*H125,G125*I125)</f>
        <v>12639.25</v>
      </c>
      <c r="M125" s="40">
        <f>IF(D125="Short",G125*I125,H125*G125)</f>
        <v>24715.600000000002</v>
      </c>
      <c r="N125" s="40">
        <f>L125+M125</f>
        <v>37354.850000000006</v>
      </c>
      <c r="O125" s="40">
        <f>N125*0.000134</f>
        <v>5.005549900000001</v>
      </c>
      <c r="P125" s="40">
        <f t="shared" si="1"/>
        <v>-12081.355549900001</v>
      </c>
      <c r="Q125" s="14"/>
      <c r="R125" s="14"/>
      <c r="S125" s="14"/>
    </row>
    <row r="126" spans="1:19" x14ac:dyDescent="0.25">
      <c r="A126" s="51">
        <v>46157</v>
      </c>
      <c r="B126" s="9" t="s">
        <v>27</v>
      </c>
      <c r="C126" s="12">
        <v>46163</v>
      </c>
      <c r="D126" s="9" t="s">
        <v>28</v>
      </c>
      <c r="E126" s="9" t="s">
        <v>29</v>
      </c>
      <c r="F126" s="13">
        <v>75400</v>
      </c>
      <c r="G126" s="39">
        <v>20</v>
      </c>
      <c r="H126" s="45">
        <v>788.1</v>
      </c>
      <c r="I126" s="45">
        <v>634.23</v>
      </c>
      <c r="J126" s="40">
        <f>IF(D126="Short",H126-I126,I126-H126)</f>
        <v>153.87</v>
      </c>
      <c r="K126" s="40">
        <f>J126*G126</f>
        <v>3077.4</v>
      </c>
      <c r="L126" s="40">
        <f>IF(D126="Short",G126*H126,G126*I126)</f>
        <v>15762</v>
      </c>
      <c r="M126" s="40">
        <f>IF(D126="Short",G126*I126,H126*G126)</f>
        <v>12684.6</v>
      </c>
      <c r="N126" s="40">
        <f>L126+M126</f>
        <v>28446.6</v>
      </c>
      <c r="O126" s="40">
        <f>N126*0.000134</f>
        <v>3.8118444</v>
      </c>
      <c r="P126" s="40">
        <f t="shared" si="1"/>
        <v>3073.5881555999999</v>
      </c>
      <c r="Q126" s="14"/>
      <c r="R126" s="14"/>
      <c r="S126" s="14"/>
    </row>
    <row r="127" spans="1:19" x14ac:dyDescent="0.25">
      <c r="A127" s="51">
        <v>46157</v>
      </c>
      <c r="B127" s="9" t="s">
        <v>27</v>
      </c>
      <c r="C127" s="12">
        <v>46163</v>
      </c>
      <c r="D127" s="9" t="s">
        <v>30</v>
      </c>
      <c r="E127" s="9" t="s">
        <v>29</v>
      </c>
      <c r="F127" s="13">
        <v>75600</v>
      </c>
      <c r="G127" s="39">
        <v>40</v>
      </c>
      <c r="H127" s="45">
        <v>687.16</v>
      </c>
      <c r="I127" s="45">
        <v>199.37</v>
      </c>
      <c r="J127" s="40">
        <f>IF(D127="Short",H127-I127,I127-H127)</f>
        <v>-487.78999999999996</v>
      </c>
      <c r="K127" s="40">
        <f>J127*G127</f>
        <v>-19511.599999999999</v>
      </c>
      <c r="L127" s="40">
        <f>IF(D127="Short",G127*H127,G127*I127)</f>
        <v>7974.8</v>
      </c>
      <c r="M127" s="40">
        <f>IF(D127="Short",G127*I127,H127*G127)</f>
        <v>27486.399999999998</v>
      </c>
      <c r="N127" s="40">
        <f>L127+M127</f>
        <v>35461.199999999997</v>
      </c>
      <c r="O127" s="40">
        <f>N127*0.000134</f>
        <v>4.7518007999999998</v>
      </c>
      <c r="P127" s="40">
        <f t="shared" si="1"/>
        <v>-19516.351800799999</v>
      </c>
      <c r="Q127" s="14"/>
      <c r="R127" s="14"/>
      <c r="S127" s="14"/>
    </row>
    <row r="128" spans="1:19" x14ac:dyDescent="0.25">
      <c r="A128" s="51">
        <v>46157</v>
      </c>
      <c r="B128" s="9" t="s">
        <v>27</v>
      </c>
      <c r="C128" s="12">
        <v>46163</v>
      </c>
      <c r="D128" s="9" t="s">
        <v>28</v>
      </c>
      <c r="E128" s="9" t="s">
        <v>32</v>
      </c>
      <c r="F128" s="13">
        <v>75400</v>
      </c>
      <c r="G128" s="39">
        <v>40</v>
      </c>
      <c r="H128" s="45">
        <v>675.4</v>
      </c>
      <c r="I128" s="45">
        <v>1285.46</v>
      </c>
      <c r="J128" s="40">
        <f>IF(D128="Short",H128-I128,I128-H128)</f>
        <v>-610.06000000000006</v>
      </c>
      <c r="K128" s="40">
        <f>J128*G128</f>
        <v>-24402.400000000001</v>
      </c>
      <c r="L128" s="40">
        <f>IF(D128="Short",G128*H128,G128*I128)</f>
        <v>27016</v>
      </c>
      <c r="M128" s="40">
        <f>IF(D128="Short",G128*I128,H128*G128)</f>
        <v>51418.400000000001</v>
      </c>
      <c r="N128" s="40">
        <f>L128+M128</f>
        <v>78434.399999999994</v>
      </c>
      <c r="O128" s="40">
        <f>N128*0.000134</f>
        <v>10.5102096</v>
      </c>
      <c r="P128" s="40">
        <f t="shared" si="1"/>
        <v>-24412.910209600002</v>
      </c>
      <c r="Q128" s="14"/>
      <c r="R128" s="14"/>
      <c r="S128" s="14"/>
    </row>
    <row r="129" spans="1:19" x14ac:dyDescent="0.25">
      <c r="A129" s="51">
        <v>46160</v>
      </c>
      <c r="B129" s="9" t="s">
        <v>31</v>
      </c>
      <c r="C129" s="12">
        <v>46161</v>
      </c>
      <c r="D129" s="9" t="s">
        <v>28</v>
      </c>
      <c r="E129" s="9" t="s">
        <v>29</v>
      </c>
      <c r="F129" s="13">
        <v>23800</v>
      </c>
      <c r="G129" s="39">
        <v>11180</v>
      </c>
      <c r="H129" s="45">
        <v>38.49</v>
      </c>
      <c r="I129" s="45">
        <v>30.07</v>
      </c>
      <c r="J129" s="40">
        <f>IF(D129="Short",H129-I129,I129-H129)</f>
        <v>8.4200000000000017</v>
      </c>
      <c r="K129" s="40">
        <f>J129*G129</f>
        <v>94135.60000000002</v>
      </c>
      <c r="L129" s="40">
        <f>IF(D129="Short",G129*H129,G129*I129)</f>
        <v>430318.2</v>
      </c>
      <c r="M129" s="40">
        <f>IF(D129="Short",G129*I129,H129*G129)</f>
        <v>336182.6</v>
      </c>
      <c r="N129" s="40">
        <f>L129+M129</f>
        <v>766500.8</v>
      </c>
      <c r="O129" s="40">
        <f>N129*0.000134</f>
        <v>102.71110720000001</v>
      </c>
      <c r="P129" s="40">
        <f t="shared" si="1"/>
        <v>94032.888892800023</v>
      </c>
      <c r="Q129" s="14"/>
      <c r="R129" s="14"/>
      <c r="S129" s="14"/>
    </row>
    <row r="130" spans="1:19" x14ac:dyDescent="0.25">
      <c r="A130" s="51">
        <v>46160</v>
      </c>
      <c r="B130" s="9" t="s">
        <v>27</v>
      </c>
      <c r="C130" s="12">
        <v>46163</v>
      </c>
      <c r="D130" s="9" t="s">
        <v>28</v>
      </c>
      <c r="E130" s="9" t="s">
        <v>32</v>
      </c>
      <c r="F130" s="13">
        <v>75100</v>
      </c>
      <c r="G130" s="39">
        <v>280</v>
      </c>
      <c r="H130" s="45">
        <v>504.96</v>
      </c>
      <c r="I130" s="45">
        <v>366.41</v>
      </c>
      <c r="J130" s="40">
        <f>IF(D130="Short",H130-I130,I130-H130)</f>
        <v>138.54999999999995</v>
      </c>
      <c r="K130" s="40">
        <f>J130*G130</f>
        <v>38793.999999999985</v>
      </c>
      <c r="L130" s="40">
        <f>IF(D130="Short",G130*H130,G130*I130)</f>
        <v>141388.79999999999</v>
      </c>
      <c r="M130" s="40">
        <f>IF(D130="Short",G130*I130,H130*G130)</f>
        <v>102594.8</v>
      </c>
      <c r="N130" s="40">
        <f>L130+M130</f>
        <v>243983.59999999998</v>
      </c>
      <c r="O130" s="40">
        <f>N130*0.000134</f>
        <v>32.693802399999996</v>
      </c>
      <c r="P130" s="40">
        <f t="shared" ref="P130:P193" si="2">K130-O130</f>
        <v>38761.306197599988</v>
      </c>
      <c r="Q130" s="14"/>
      <c r="R130" s="14"/>
      <c r="S130" s="14"/>
    </row>
    <row r="131" spans="1:19" x14ac:dyDescent="0.25">
      <c r="A131" s="51">
        <v>46160</v>
      </c>
      <c r="B131" s="9" t="s">
        <v>27</v>
      </c>
      <c r="C131" s="12">
        <v>46163</v>
      </c>
      <c r="D131" s="9" t="s">
        <v>30</v>
      </c>
      <c r="E131" s="9" t="s">
        <v>32</v>
      </c>
      <c r="F131" s="13">
        <v>72500</v>
      </c>
      <c r="G131" s="39">
        <v>500</v>
      </c>
      <c r="H131" s="45">
        <v>63.46</v>
      </c>
      <c r="I131" s="45">
        <v>18.73</v>
      </c>
      <c r="J131" s="40">
        <f>IF(D131="Short",H131-I131,I131-H131)</f>
        <v>-44.730000000000004</v>
      </c>
      <c r="K131" s="40">
        <f>J131*G131</f>
        <v>-22365.000000000004</v>
      </c>
      <c r="L131" s="40">
        <f>IF(D131="Short",G131*H131,G131*I131)</f>
        <v>9365</v>
      </c>
      <c r="M131" s="40">
        <f>IF(D131="Short",G131*I131,H131*G131)</f>
        <v>31730</v>
      </c>
      <c r="N131" s="40">
        <f>L131+M131</f>
        <v>41095</v>
      </c>
      <c r="O131" s="40">
        <f>N131*0.000134</f>
        <v>5.5067300000000001</v>
      </c>
      <c r="P131" s="40">
        <f t="shared" si="2"/>
        <v>-22370.506730000005</v>
      </c>
      <c r="Q131" s="14"/>
      <c r="R131" s="14"/>
      <c r="S131" s="14"/>
    </row>
    <row r="132" spans="1:19" x14ac:dyDescent="0.25">
      <c r="A132" s="51">
        <v>46160</v>
      </c>
      <c r="B132" s="9" t="s">
        <v>27</v>
      </c>
      <c r="C132" s="12">
        <v>46163</v>
      </c>
      <c r="D132" s="9" t="s">
        <v>28</v>
      </c>
      <c r="E132" s="9" t="s">
        <v>32</v>
      </c>
      <c r="F132" s="13">
        <v>75400</v>
      </c>
      <c r="G132" s="39">
        <v>380</v>
      </c>
      <c r="H132" s="45">
        <v>651.54</v>
      </c>
      <c r="I132" s="45">
        <v>420.32</v>
      </c>
      <c r="J132" s="40">
        <f>IF(D132="Short",H132-I132,I132-H132)</f>
        <v>231.21999999999997</v>
      </c>
      <c r="K132" s="40">
        <f>J132*G132</f>
        <v>87863.599999999991</v>
      </c>
      <c r="L132" s="40">
        <f>IF(D132="Short",G132*H132,G132*I132)</f>
        <v>247585.19999999998</v>
      </c>
      <c r="M132" s="40">
        <f>IF(D132="Short",G132*I132,H132*G132)</f>
        <v>159721.60000000001</v>
      </c>
      <c r="N132" s="40">
        <f>L132+M132</f>
        <v>407306.8</v>
      </c>
      <c r="O132" s="40">
        <f>N132*0.000134</f>
        <v>54.5791112</v>
      </c>
      <c r="P132" s="40">
        <f t="shared" si="2"/>
        <v>87809.020888799991</v>
      </c>
      <c r="Q132" s="14"/>
      <c r="R132" s="14"/>
      <c r="S132" s="14"/>
    </row>
    <row r="133" spans="1:19" x14ac:dyDescent="0.25">
      <c r="A133" s="51">
        <v>46160</v>
      </c>
      <c r="B133" s="9" t="s">
        <v>31</v>
      </c>
      <c r="C133" s="12">
        <v>46161</v>
      </c>
      <c r="D133" s="9" t="s">
        <v>28</v>
      </c>
      <c r="E133" s="9" t="s">
        <v>32</v>
      </c>
      <c r="F133" s="13">
        <v>23650</v>
      </c>
      <c r="G133" s="39">
        <v>1300</v>
      </c>
      <c r="H133" s="45">
        <v>210.07</v>
      </c>
      <c r="I133" s="45">
        <v>20.58</v>
      </c>
      <c r="J133" s="40">
        <f>IF(D133="Short",H133-I133,I133-H133)</f>
        <v>189.49</v>
      </c>
      <c r="K133" s="40">
        <f>J133*G133</f>
        <v>246337</v>
      </c>
      <c r="L133" s="40">
        <f>IF(D133="Short",G133*H133,G133*I133)</f>
        <v>273091</v>
      </c>
      <c r="M133" s="40">
        <f>IF(D133="Short",G133*I133,H133*G133)</f>
        <v>26753.999999999996</v>
      </c>
      <c r="N133" s="40">
        <f>L133+M133</f>
        <v>299845</v>
      </c>
      <c r="O133" s="40">
        <f>N133*0.000134</f>
        <v>40.179230000000004</v>
      </c>
      <c r="P133" s="40">
        <f t="shared" si="2"/>
        <v>246296.82076999999</v>
      </c>
      <c r="Q133" s="14"/>
      <c r="R133" s="14"/>
      <c r="S133" s="14"/>
    </row>
    <row r="134" spans="1:19" x14ac:dyDescent="0.25">
      <c r="A134" s="51">
        <v>46160</v>
      </c>
      <c r="B134" s="9" t="s">
        <v>27</v>
      </c>
      <c r="C134" s="12">
        <v>46163</v>
      </c>
      <c r="D134" s="9" t="s">
        <v>30</v>
      </c>
      <c r="E134" s="9" t="s">
        <v>29</v>
      </c>
      <c r="F134" s="13">
        <v>74500</v>
      </c>
      <c r="G134" s="39">
        <v>120</v>
      </c>
      <c r="H134" s="45">
        <v>1146.25</v>
      </c>
      <c r="I134" s="45">
        <v>577.86</v>
      </c>
      <c r="J134" s="40">
        <f>IF(D134="Short",H134-I134,I134-H134)</f>
        <v>-568.39</v>
      </c>
      <c r="K134" s="40">
        <f>J134*G134</f>
        <v>-68206.8</v>
      </c>
      <c r="L134" s="40">
        <f>IF(D134="Short",G134*H134,G134*I134)</f>
        <v>69343.199999999997</v>
      </c>
      <c r="M134" s="40">
        <f>IF(D134="Short",G134*I134,H134*G134)</f>
        <v>137550</v>
      </c>
      <c r="N134" s="40">
        <f>L134+M134</f>
        <v>206893.2</v>
      </c>
      <c r="O134" s="40">
        <f>N134*0.000134</f>
        <v>27.723688800000001</v>
      </c>
      <c r="P134" s="40">
        <f t="shared" si="2"/>
        <v>-68234.523688800007</v>
      </c>
      <c r="Q134" s="14"/>
      <c r="R134" s="14"/>
      <c r="S134" s="14"/>
    </row>
    <row r="135" spans="1:19" x14ac:dyDescent="0.25">
      <c r="A135" s="51">
        <v>46160</v>
      </c>
      <c r="B135" s="9" t="s">
        <v>27</v>
      </c>
      <c r="C135" s="12">
        <v>46163</v>
      </c>
      <c r="D135" s="9" t="s">
        <v>28</v>
      </c>
      <c r="E135" s="9" t="s">
        <v>29</v>
      </c>
      <c r="F135" s="13">
        <v>75400</v>
      </c>
      <c r="G135" s="39">
        <v>120</v>
      </c>
      <c r="H135" s="45">
        <v>769.61</v>
      </c>
      <c r="I135" s="45">
        <v>570.6</v>
      </c>
      <c r="J135" s="40">
        <f>IF(D135="Short",H135-I135,I135-H135)</f>
        <v>199.01</v>
      </c>
      <c r="K135" s="40">
        <f>J135*G135</f>
        <v>23881.199999999997</v>
      </c>
      <c r="L135" s="40">
        <f>IF(D135="Short",G135*H135,G135*I135)</f>
        <v>92353.2</v>
      </c>
      <c r="M135" s="40">
        <f>IF(D135="Short",G135*I135,H135*G135)</f>
        <v>68472</v>
      </c>
      <c r="N135" s="40">
        <f>L135+M135</f>
        <v>160825.20000000001</v>
      </c>
      <c r="O135" s="40">
        <f>N135*0.000134</f>
        <v>21.550576800000002</v>
      </c>
      <c r="P135" s="40">
        <f t="shared" si="2"/>
        <v>23859.649423199997</v>
      </c>
      <c r="Q135" s="14"/>
      <c r="R135" s="14"/>
      <c r="S135" s="14"/>
    </row>
    <row r="136" spans="1:19" x14ac:dyDescent="0.25">
      <c r="A136" s="51">
        <v>46160</v>
      </c>
      <c r="B136" s="9" t="s">
        <v>27</v>
      </c>
      <c r="C136" s="12">
        <v>46163</v>
      </c>
      <c r="D136" s="9" t="s">
        <v>30</v>
      </c>
      <c r="E136" s="9" t="s">
        <v>29</v>
      </c>
      <c r="F136" s="13">
        <v>74400</v>
      </c>
      <c r="G136" s="39">
        <v>120</v>
      </c>
      <c r="H136" s="45">
        <v>1251</v>
      </c>
      <c r="I136" s="45">
        <v>690.36</v>
      </c>
      <c r="J136" s="40">
        <f>IF(D136="Short",H136-I136,I136-H136)</f>
        <v>-560.64</v>
      </c>
      <c r="K136" s="40">
        <f>J136*G136</f>
        <v>-67276.800000000003</v>
      </c>
      <c r="L136" s="40">
        <f>IF(D136="Short",G136*H136,G136*I136)</f>
        <v>82843.199999999997</v>
      </c>
      <c r="M136" s="40">
        <f>IF(D136="Short",G136*I136,H136*G136)</f>
        <v>150120</v>
      </c>
      <c r="N136" s="40">
        <f>L136+M136</f>
        <v>232963.20000000001</v>
      </c>
      <c r="O136" s="40">
        <f>N136*0.000134</f>
        <v>31.217068800000003</v>
      </c>
      <c r="P136" s="40">
        <f t="shared" si="2"/>
        <v>-67308.017068800007</v>
      </c>
      <c r="Q136" s="14"/>
      <c r="R136" s="14"/>
      <c r="S136" s="14"/>
    </row>
    <row r="137" spans="1:19" x14ac:dyDescent="0.25">
      <c r="A137" s="51">
        <v>46160</v>
      </c>
      <c r="B137" s="9" t="s">
        <v>31</v>
      </c>
      <c r="C137" s="12">
        <v>46161</v>
      </c>
      <c r="D137" s="9" t="s">
        <v>30</v>
      </c>
      <c r="E137" s="9" t="s">
        <v>29</v>
      </c>
      <c r="F137" s="13">
        <v>23400</v>
      </c>
      <c r="G137" s="39">
        <v>390</v>
      </c>
      <c r="H137" s="45">
        <v>293.68</v>
      </c>
      <c r="I137" s="45">
        <v>132.96</v>
      </c>
      <c r="J137" s="40">
        <f>IF(D137="Short",H137-I137,I137-H137)</f>
        <v>-160.72</v>
      </c>
      <c r="K137" s="40">
        <f>J137*G137</f>
        <v>-62680.800000000003</v>
      </c>
      <c r="L137" s="40">
        <f>IF(D137="Short",G137*H137,G137*I137)</f>
        <v>51854.400000000001</v>
      </c>
      <c r="M137" s="40">
        <f>IF(D137="Short",G137*I137,H137*G137)</f>
        <v>114535.2</v>
      </c>
      <c r="N137" s="40">
        <f>L137+M137</f>
        <v>166389.6</v>
      </c>
      <c r="O137" s="40">
        <f>N137*0.000134</f>
        <v>22.296206400000003</v>
      </c>
      <c r="P137" s="40">
        <f t="shared" si="2"/>
        <v>-62703.096206400005</v>
      </c>
      <c r="Q137" s="14"/>
      <c r="R137" s="14"/>
      <c r="S137" s="14"/>
    </row>
    <row r="138" spans="1:19" x14ac:dyDescent="0.25">
      <c r="A138" s="51">
        <v>46160</v>
      </c>
      <c r="B138" s="9" t="s">
        <v>27</v>
      </c>
      <c r="C138" s="12">
        <v>46163</v>
      </c>
      <c r="D138" s="9" t="s">
        <v>28</v>
      </c>
      <c r="E138" s="9" t="s">
        <v>29</v>
      </c>
      <c r="F138" s="13">
        <v>75500</v>
      </c>
      <c r="G138" s="39">
        <v>860</v>
      </c>
      <c r="H138" s="45">
        <v>668.17</v>
      </c>
      <c r="I138" s="45">
        <v>415.04</v>
      </c>
      <c r="J138" s="40">
        <f>IF(D138="Short",H138-I138,I138-H138)</f>
        <v>253.12999999999994</v>
      </c>
      <c r="K138" s="40">
        <f>J138*G138</f>
        <v>217691.79999999996</v>
      </c>
      <c r="L138" s="40">
        <f>IF(D138="Short",G138*H138,G138*I138)</f>
        <v>574626.19999999995</v>
      </c>
      <c r="M138" s="40">
        <f>IF(D138="Short",G138*I138,H138*G138)</f>
        <v>356934.40000000002</v>
      </c>
      <c r="N138" s="40">
        <f>L138+M138</f>
        <v>931560.6</v>
      </c>
      <c r="O138" s="40">
        <f>N138*0.000134</f>
        <v>124.82912040000001</v>
      </c>
      <c r="P138" s="40">
        <f t="shared" si="2"/>
        <v>217566.97087959995</v>
      </c>
      <c r="Q138" s="14"/>
      <c r="R138" s="14"/>
      <c r="S138" s="14"/>
    </row>
    <row r="139" spans="1:19" x14ac:dyDescent="0.25">
      <c r="A139" s="51">
        <v>46160</v>
      </c>
      <c r="B139" s="9" t="s">
        <v>27</v>
      </c>
      <c r="C139" s="12">
        <v>46163</v>
      </c>
      <c r="D139" s="9" t="s">
        <v>30</v>
      </c>
      <c r="E139" s="9" t="s">
        <v>29</v>
      </c>
      <c r="F139" s="13">
        <v>74800</v>
      </c>
      <c r="G139" s="39">
        <v>200</v>
      </c>
      <c r="H139" s="45">
        <v>728.02</v>
      </c>
      <c r="I139" s="45">
        <v>1083.6300000000001</v>
      </c>
      <c r="J139" s="40">
        <f>IF(D139="Short",H139-I139,I139-H139)</f>
        <v>355.61000000000013</v>
      </c>
      <c r="K139" s="40">
        <f>J139*G139</f>
        <v>71122.000000000029</v>
      </c>
      <c r="L139" s="40">
        <f>IF(D139="Short",G139*H139,G139*I139)</f>
        <v>216726.00000000003</v>
      </c>
      <c r="M139" s="40">
        <f>IF(D139="Short",G139*I139,H139*G139)</f>
        <v>145604</v>
      </c>
      <c r="N139" s="40">
        <f>L139+M139</f>
        <v>362330</v>
      </c>
      <c r="O139" s="40">
        <f>N139*0.000134</f>
        <v>48.552219999999998</v>
      </c>
      <c r="P139" s="40">
        <f t="shared" si="2"/>
        <v>71073.447780000031</v>
      </c>
      <c r="Q139" s="14"/>
      <c r="R139" s="14"/>
      <c r="S139" s="14"/>
    </row>
    <row r="140" spans="1:19" x14ac:dyDescent="0.25">
      <c r="A140" s="51">
        <v>46160</v>
      </c>
      <c r="B140" s="9" t="s">
        <v>31</v>
      </c>
      <c r="C140" s="12">
        <v>46161</v>
      </c>
      <c r="D140" s="9" t="s">
        <v>28</v>
      </c>
      <c r="E140" s="9" t="s">
        <v>32</v>
      </c>
      <c r="F140" s="13">
        <v>23600</v>
      </c>
      <c r="G140" s="39">
        <v>910</v>
      </c>
      <c r="H140" s="45">
        <v>95.5</v>
      </c>
      <c r="I140" s="45">
        <v>7.25</v>
      </c>
      <c r="J140" s="40">
        <f>IF(D140="Short",H140-I140,I140-H140)</f>
        <v>88.25</v>
      </c>
      <c r="K140" s="40">
        <f>J140*G140</f>
        <v>80307.5</v>
      </c>
      <c r="L140" s="40">
        <f>IF(D140="Short",G140*H140,G140*I140)</f>
        <v>86905</v>
      </c>
      <c r="M140" s="40">
        <f>IF(D140="Short",G140*I140,H140*G140)</f>
        <v>6597.5</v>
      </c>
      <c r="N140" s="40">
        <f>L140+M140</f>
        <v>93502.5</v>
      </c>
      <c r="O140" s="40">
        <f>N140*0.000134</f>
        <v>12.529335</v>
      </c>
      <c r="P140" s="40">
        <f t="shared" si="2"/>
        <v>80294.970665000001</v>
      </c>
      <c r="Q140" s="14"/>
      <c r="R140" s="14"/>
      <c r="S140" s="14"/>
    </row>
    <row r="141" spans="1:19" x14ac:dyDescent="0.25">
      <c r="A141" s="51">
        <v>46160</v>
      </c>
      <c r="B141" s="9" t="s">
        <v>31</v>
      </c>
      <c r="C141" s="12">
        <v>46161</v>
      </c>
      <c r="D141" s="9" t="s">
        <v>30</v>
      </c>
      <c r="E141" s="9" t="s">
        <v>32</v>
      </c>
      <c r="F141" s="13">
        <v>23100</v>
      </c>
      <c r="G141" s="39">
        <v>3250</v>
      </c>
      <c r="H141" s="45">
        <v>14.35</v>
      </c>
      <c r="I141" s="45">
        <v>1.19</v>
      </c>
      <c r="J141" s="40">
        <f>IF(D141="Short",H141-I141,I141-H141)</f>
        <v>-13.16</v>
      </c>
      <c r="K141" s="40">
        <f>J141*G141</f>
        <v>-42770</v>
      </c>
      <c r="L141" s="40">
        <f>IF(D141="Short",G141*H141,G141*I141)</f>
        <v>3867.5</v>
      </c>
      <c r="M141" s="40">
        <f>IF(D141="Short",G141*I141,H141*G141)</f>
        <v>46637.5</v>
      </c>
      <c r="N141" s="40">
        <f>L141+M141</f>
        <v>50505</v>
      </c>
      <c r="O141" s="40">
        <f>N141*0.000134</f>
        <v>6.7676699999999999</v>
      </c>
      <c r="P141" s="40">
        <f t="shared" si="2"/>
        <v>-42776.767670000001</v>
      </c>
      <c r="Q141" s="14"/>
      <c r="R141" s="14"/>
      <c r="S141" s="14"/>
    </row>
    <row r="142" spans="1:19" x14ac:dyDescent="0.25">
      <c r="A142" s="51">
        <v>46160</v>
      </c>
      <c r="B142" s="9" t="s">
        <v>31</v>
      </c>
      <c r="C142" s="12">
        <v>46161</v>
      </c>
      <c r="D142" s="9" t="s">
        <v>30</v>
      </c>
      <c r="E142" s="9" t="s">
        <v>32</v>
      </c>
      <c r="F142" s="13">
        <v>23500</v>
      </c>
      <c r="G142" s="39">
        <v>130</v>
      </c>
      <c r="H142" s="45">
        <v>85.5</v>
      </c>
      <c r="I142" s="45">
        <v>88.1</v>
      </c>
      <c r="J142" s="40">
        <f>IF(D142="Short",H142-I142,I142-H142)</f>
        <v>2.5999999999999943</v>
      </c>
      <c r="K142" s="40">
        <f>J142*G142</f>
        <v>337.99999999999926</v>
      </c>
      <c r="L142" s="40">
        <f>IF(D142="Short",G142*H142,G142*I142)</f>
        <v>11453</v>
      </c>
      <c r="M142" s="40">
        <f>IF(D142="Short",G142*I142,H142*G142)</f>
        <v>11115</v>
      </c>
      <c r="N142" s="40">
        <f>L142+M142</f>
        <v>22568</v>
      </c>
      <c r="O142" s="40">
        <f>N142*0.000134</f>
        <v>3.0241120000000001</v>
      </c>
      <c r="P142" s="40">
        <f t="shared" si="2"/>
        <v>334.97588799999926</v>
      </c>
      <c r="Q142" s="14"/>
      <c r="R142" s="14"/>
      <c r="S142" s="14"/>
    </row>
    <row r="143" spans="1:19" x14ac:dyDescent="0.25">
      <c r="A143" s="51">
        <v>46160</v>
      </c>
      <c r="B143" s="9" t="s">
        <v>31</v>
      </c>
      <c r="C143" s="12">
        <v>46161</v>
      </c>
      <c r="D143" s="9" t="s">
        <v>30</v>
      </c>
      <c r="E143" s="9" t="s">
        <v>29</v>
      </c>
      <c r="F143" s="13">
        <v>23650</v>
      </c>
      <c r="G143" s="39">
        <v>1235</v>
      </c>
      <c r="H143" s="45">
        <v>110.65</v>
      </c>
      <c r="I143" s="45">
        <v>55.13</v>
      </c>
      <c r="J143" s="40">
        <f>IF(D143="Short",H143-I143,I143-H143)</f>
        <v>-55.52</v>
      </c>
      <c r="K143" s="40">
        <f>J143*G143</f>
        <v>-68567.199999999997</v>
      </c>
      <c r="L143" s="40">
        <f>IF(D143="Short",G143*H143,G143*I143)</f>
        <v>68085.55</v>
      </c>
      <c r="M143" s="40">
        <f>IF(D143="Short",G143*I143,H143*G143)</f>
        <v>136652.75</v>
      </c>
      <c r="N143" s="40">
        <f>L143+M143</f>
        <v>204738.3</v>
      </c>
      <c r="O143" s="40">
        <f>N143*0.000134</f>
        <v>27.434932199999999</v>
      </c>
      <c r="P143" s="40">
        <f t="shared" si="2"/>
        <v>-68594.634932200002</v>
      </c>
      <c r="Q143" s="14"/>
      <c r="R143" s="14"/>
      <c r="S143" s="14"/>
    </row>
    <row r="144" spans="1:19" x14ac:dyDescent="0.25">
      <c r="A144" s="51">
        <v>46160</v>
      </c>
      <c r="B144" s="9" t="s">
        <v>31</v>
      </c>
      <c r="C144" s="12">
        <v>46161</v>
      </c>
      <c r="D144" s="9" t="s">
        <v>30</v>
      </c>
      <c r="E144" s="9" t="s">
        <v>29</v>
      </c>
      <c r="F144" s="13">
        <v>23600</v>
      </c>
      <c r="G144" s="39">
        <v>1235</v>
      </c>
      <c r="H144" s="45">
        <v>119.33</v>
      </c>
      <c r="I144" s="45">
        <v>154.31</v>
      </c>
      <c r="J144" s="40">
        <f>IF(D144="Short",H144-I144,I144-H144)</f>
        <v>34.980000000000004</v>
      </c>
      <c r="K144" s="40">
        <f>J144*G144</f>
        <v>43200.3</v>
      </c>
      <c r="L144" s="40">
        <f>IF(D144="Short",G144*H144,G144*I144)</f>
        <v>190572.85</v>
      </c>
      <c r="M144" s="40">
        <f>IF(D144="Short",G144*I144,H144*G144)</f>
        <v>147372.54999999999</v>
      </c>
      <c r="N144" s="40">
        <f>L144+M144</f>
        <v>337945.4</v>
      </c>
      <c r="O144" s="40">
        <f>N144*0.000134</f>
        <v>45.284683600000008</v>
      </c>
      <c r="P144" s="40">
        <f t="shared" si="2"/>
        <v>43155.0153164</v>
      </c>
      <c r="Q144" s="14"/>
      <c r="R144" s="14"/>
      <c r="S144" s="14"/>
    </row>
    <row r="145" spans="1:19" x14ac:dyDescent="0.25">
      <c r="A145" s="51">
        <v>46160</v>
      </c>
      <c r="B145" s="9" t="s">
        <v>31</v>
      </c>
      <c r="C145" s="12">
        <v>46161</v>
      </c>
      <c r="D145" s="9" t="s">
        <v>30</v>
      </c>
      <c r="E145" s="9" t="s">
        <v>29</v>
      </c>
      <c r="F145" s="13">
        <v>23550</v>
      </c>
      <c r="G145" s="39">
        <v>1820</v>
      </c>
      <c r="H145" s="45">
        <v>116.81</v>
      </c>
      <c r="I145" s="45">
        <v>207.85</v>
      </c>
      <c r="J145" s="40">
        <f>IF(D145="Short",H145-I145,I145-H145)</f>
        <v>91.039999999999992</v>
      </c>
      <c r="K145" s="40">
        <f>J145*G145</f>
        <v>165692.79999999999</v>
      </c>
      <c r="L145" s="40">
        <f>IF(D145="Short",G145*H145,G145*I145)</f>
        <v>378287</v>
      </c>
      <c r="M145" s="40">
        <f>IF(D145="Short",G145*I145,H145*G145)</f>
        <v>212594.2</v>
      </c>
      <c r="N145" s="40">
        <f>L145+M145</f>
        <v>590881.19999999995</v>
      </c>
      <c r="O145" s="40">
        <f>N145*0.000134</f>
        <v>79.178080799999989</v>
      </c>
      <c r="P145" s="40">
        <f t="shared" si="2"/>
        <v>165613.6219192</v>
      </c>
      <c r="Q145" s="14"/>
      <c r="R145" s="14"/>
      <c r="S145" s="14"/>
    </row>
    <row r="146" spans="1:19" x14ac:dyDescent="0.25">
      <c r="A146" s="51">
        <v>46160</v>
      </c>
      <c r="B146" s="9" t="s">
        <v>31</v>
      </c>
      <c r="C146" s="12">
        <v>46161</v>
      </c>
      <c r="D146" s="9" t="s">
        <v>30</v>
      </c>
      <c r="E146" s="9" t="s">
        <v>29</v>
      </c>
      <c r="F146" s="13">
        <v>23500</v>
      </c>
      <c r="G146" s="39">
        <v>195</v>
      </c>
      <c r="H146" s="45">
        <v>145.53</v>
      </c>
      <c r="I146" s="45">
        <v>247.52</v>
      </c>
      <c r="J146" s="40">
        <f>IF(D146="Short",H146-I146,I146-H146)</f>
        <v>101.99000000000001</v>
      </c>
      <c r="K146" s="40">
        <f>J146*G146</f>
        <v>19888.050000000003</v>
      </c>
      <c r="L146" s="40">
        <f>IF(D146="Short",G146*H146,G146*I146)</f>
        <v>48266.400000000001</v>
      </c>
      <c r="M146" s="40">
        <f>IF(D146="Short",G146*I146,H146*G146)</f>
        <v>28378.35</v>
      </c>
      <c r="N146" s="40">
        <f>L146+M146</f>
        <v>76644.75</v>
      </c>
      <c r="O146" s="40">
        <f>N146*0.000134</f>
        <v>10.2703965</v>
      </c>
      <c r="P146" s="40">
        <f t="shared" si="2"/>
        <v>19877.779603500003</v>
      </c>
      <c r="Q146" s="14"/>
      <c r="R146" s="14"/>
      <c r="S146" s="14"/>
    </row>
    <row r="147" spans="1:19" x14ac:dyDescent="0.25">
      <c r="A147" s="51">
        <v>46160</v>
      </c>
      <c r="B147" s="9" t="s">
        <v>31</v>
      </c>
      <c r="C147" s="12">
        <v>46161</v>
      </c>
      <c r="D147" s="9" t="s">
        <v>28</v>
      </c>
      <c r="E147" s="9" t="s">
        <v>29</v>
      </c>
      <c r="F147" s="13">
        <v>23350</v>
      </c>
      <c r="G147" s="39">
        <v>390</v>
      </c>
      <c r="H147" s="45">
        <v>264.33</v>
      </c>
      <c r="I147" s="45">
        <v>390.68</v>
      </c>
      <c r="J147" s="40">
        <f>IF(D147="Short",H147-I147,I147-H147)</f>
        <v>-126.35000000000002</v>
      </c>
      <c r="K147" s="40">
        <f>J147*G147</f>
        <v>-49276.500000000007</v>
      </c>
      <c r="L147" s="40">
        <f>IF(D147="Short",G147*H147,G147*I147)</f>
        <v>103088.7</v>
      </c>
      <c r="M147" s="40">
        <f>IF(D147="Short",G147*I147,H147*G147)</f>
        <v>152365.20000000001</v>
      </c>
      <c r="N147" s="40">
        <f>L147+M147</f>
        <v>255453.90000000002</v>
      </c>
      <c r="O147" s="40">
        <f>N147*0.000134</f>
        <v>34.230822600000003</v>
      </c>
      <c r="P147" s="40">
        <f t="shared" si="2"/>
        <v>-49310.73082260001</v>
      </c>
      <c r="Q147" s="14"/>
      <c r="R147" s="14"/>
      <c r="S147" s="14"/>
    </row>
    <row r="148" spans="1:19" x14ac:dyDescent="0.25">
      <c r="A148" s="51">
        <v>46160</v>
      </c>
      <c r="B148" s="9" t="s">
        <v>27</v>
      </c>
      <c r="C148" s="12">
        <v>46163</v>
      </c>
      <c r="D148" s="9" t="s">
        <v>30</v>
      </c>
      <c r="E148" s="9" t="s">
        <v>29</v>
      </c>
      <c r="F148" s="13">
        <v>75200</v>
      </c>
      <c r="G148" s="39">
        <v>140</v>
      </c>
      <c r="H148" s="45">
        <v>676.12</v>
      </c>
      <c r="I148" s="45">
        <v>789.71</v>
      </c>
      <c r="J148" s="40">
        <f>IF(D148="Short",H148-I148,I148-H148)</f>
        <v>113.59000000000003</v>
      </c>
      <c r="K148" s="40">
        <f>J148*G148</f>
        <v>15902.600000000004</v>
      </c>
      <c r="L148" s="40">
        <f>IF(D148="Short",G148*H148,G148*I148)</f>
        <v>110559.40000000001</v>
      </c>
      <c r="M148" s="40">
        <f>IF(D148="Short",G148*I148,H148*G148)</f>
        <v>94656.8</v>
      </c>
      <c r="N148" s="40">
        <f>L148+M148</f>
        <v>205216.2</v>
      </c>
      <c r="O148" s="40">
        <f>N148*0.000134</f>
        <v>27.498970800000002</v>
      </c>
      <c r="P148" s="40">
        <f t="shared" si="2"/>
        <v>15875.101029200005</v>
      </c>
      <c r="Q148" s="14"/>
      <c r="R148" s="14"/>
      <c r="S148" s="14"/>
    </row>
    <row r="149" spans="1:19" x14ac:dyDescent="0.25">
      <c r="A149" s="51">
        <v>46160</v>
      </c>
      <c r="B149" s="9" t="s">
        <v>27</v>
      </c>
      <c r="C149" s="12">
        <v>46163</v>
      </c>
      <c r="D149" s="9" t="s">
        <v>30</v>
      </c>
      <c r="E149" s="9" t="s">
        <v>29</v>
      </c>
      <c r="F149" s="13">
        <v>75300</v>
      </c>
      <c r="G149" s="39">
        <v>160</v>
      </c>
      <c r="H149" s="45">
        <v>629.36</v>
      </c>
      <c r="I149" s="45">
        <v>532.94000000000005</v>
      </c>
      <c r="J149" s="40">
        <f>IF(D149="Short",H149-I149,I149-H149)</f>
        <v>-96.419999999999959</v>
      </c>
      <c r="K149" s="40">
        <f>J149*G149</f>
        <v>-15427.199999999993</v>
      </c>
      <c r="L149" s="40">
        <f>IF(D149="Short",G149*H149,G149*I149)</f>
        <v>85270.400000000009</v>
      </c>
      <c r="M149" s="40">
        <f>IF(D149="Short",G149*I149,H149*G149)</f>
        <v>100697.60000000001</v>
      </c>
      <c r="N149" s="40">
        <f>L149+M149</f>
        <v>185968</v>
      </c>
      <c r="O149" s="40">
        <f>N149*0.000134</f>
        <v>24.919712000000001</v>
      </c>
      <c r="P149" s="40">
        <f t="shared" si="2"/>
        <v>-15452.119711999994</v>
      </c>
      <c r="Q149" s="14"/>
      <c r="R149" s="14"/>
      <c r="S149" s="14"/>
    </row>
    <row r="150" spans="1:19" x14ac:dyDescent="0.25">
      <c r="A150" s="51">
        <v>46160</v>
      </c>
      <c r="B150" s="9" t="s">
        <v>31</v>
      </c>
      <c r="C150" s="12">
        <v>46161</v>
      </c>
      <c r="D150" s="9" t="s">
        <v>28</v>
      </c>
      <c r="E150" s="9" t="s">
        <v>32</v>
      </c>
      <c r="F150" s="13">
        <v>23650</v>
      </c>
      <c r="G150" s="39">
        <v>65</v>
      </c>
      <c r="H150" s="45">
        <v>210.07</v>
      </c>
      <c r="I150" s="45">
        <v>150.55000000000001</v>
      </c>
      <c r="J150" s="40">
        <f>IF(D150="Short",H150-I150,I150-H150)</f>
        <v>59.519999999999982</v>
      </c>
      <c r="K150" s="40">
        <f>J150*G150</f>
        <v>3868.7999999999988</v>
      </c>
      <c r="L150" s="40">
        <f>IF(D150="Short",G150*H150,G150*I150)</f>
        <v>13654.55</v>
      </c>
      <c r="M150" s="40">
        <f>IF(D150="Short",G150*I150,H150*G150)</f>
        <v>9785.75</v>
      </c>
      <c r="N150" s="40">
        <f>L150+M150</f>
        <v>23440.3</v>
      </c>
      <c r="O150" s="40">
        <f>N150*0.000134</f>
        <v>3.1410002000000001</v>
      </c>
      <c r="P150" s="40">
        <f t="shared" si="2"/>
        <v>3865.658999799999</v>
      </c>
      <c r="Q150" s="14"/>
      <c r="R150" s="14"/>
      <c r="S150" s="14"/>
    </row>
    <row r="151" spans="1:19" x14ac:dyDescent="0.25">
      <c r="A151" s="51">
        <v>46160</v>
      </c>
      <c r="B151" s="9" t="s">
        <v>27</v>
      </c>
      <c r="C151" s="12">
        <v>46163</v>
      </c>
      <c r="D151" s="9" t="s">
        <v>28</v>
      </c>
      <c r="E151" s="9" t="s">
        <v>32</v>
      </c>
      <c r="F151" s="13">
        <v>75300</v>
      </c>
      <c r="G151" s="39">
        <v>280</v>
      </c>
      <c r="H151" s="45">
        <v>828.07</v>
      </c>
      <c r="I151" s="45">
        <v>855.05</v>
      </c>
      <c r="J151" s="40">
        <f>IF(D151="Short",H151-I151,I151-H151)</f>
        <v>-26.979999999999905</v>
      </c>
      <c r="K151" s="40">
        <f>J151*G151</f>
        <v>-7554.3999999999733</v>
      </c>
      <c r="L151" s="40">
        <f>IF(D151="Short",G151*H151,G151*I151)</f>
        <v>231859.6</v>
      </c>
      <c r="M151" s="40">
        <f>IF(D151="Short",G151*I151,H151*G151)</f>
        <v>239414</v>
      </c>
      <c r="N151" s="40">
        <f>L151+M151</f>
        <v>471273.6</v>
      </c>
      <c r="O151" s="40">
        <f>N151*0.000134</f>
        <v>63.150662400000002</v>
      </c>
      <c r="P151" s="40">
        <f t="shared" si="2"/>
        <v>-7617.5506623999736</v>
      </c>
      <c r="Q151" s="14"/>
      <c r="R151" s="14"/>
      <c r="S151" s="14"/>
    </row>
    <row r="152" spans="1:19" x14ac:dyDescent="0.25">
      <c r="A152" s="51">
        <v>46160</v>
      </c>
      <c r="B152" s="9" t="s">
        <v>27</v>
      </c>
      <c r="C152" s="12">
        <v>46163</v>
      </c>
      <c r="D152" s="9" t="s">
        <v>30</v>
      </c>
      <c r="E152" s="9" t="s">
        <v>29</v>
      </c>
      <c r="F152" s="13">
        <v>75100</v>
      </c>
      <c r="G152" s="39">
        <v>160</v>
      </c>
      <c r="H152" s="45">
        <v>629.22</v>
      </c>
      <c r="I152" s="45">
        <v>854.09</v>
      </c>
      <c r="J152" s="40">
        <f>IF(D152="Short",H152-I152,I152-H152)</f>
        <v>224.87</v>
      </c>
      <c r="K152" s="40">
        <f>J152*G152</f>
        <v>35979.199999999997</v>
      </c>
      <c r="L152" s="40">
        <f>IF(D152="Short",G152*H152,G152*I152)</f>
        <v>136654.39999999999</v>
      </c>
      <c r="M152" s="40">
        <f>IF(D152="Short",G152*I152,H152*G152)</f>
        <v>100675.20000000001</v>
      </c>
      <c r="N152" s="40">
        <f>L152+M152</f>
        <v>237329.6</v>
      </c>
      <c r="O152" s="40">
        <f>N152*0.000134</f>
        <v>31.802166400000001</v>
      </c>
      <c r="P152" s="40">
        <f t="shared" si="2"/>
        <v>35947.3978336</v>
      </c>
      <c r="Q152" s="14"/>
      <c r="R152" s="14"/>
      <c r="S152" s="14"/>
    </row>
    <row r="153" spans="1:19" x14ac:dyDescent="0.25">
      <c r="A153" s="51">
        <v>46160</v>
      </c>
      <c r="B153" s="9" t="s">
        <v>27</v>
      </c>
      <c r="C153" s="12">
        <v>46163</v>
      </c>
      <c r="D153" s="9" t="s">
        <v>30</v>
      </c>
      <c r="E153" s="9" t="s">
        <v>29</v>
      </c>
      <c r="F153" s="13">
        <v>75000</v>
      </c>
      <c r="G153" s="39">
        <v>140</v>
      </c>
      <c r="H153" s="45">
        <v>654.4</v>
      </c>
      <c r="I153" s="45">
        <v>920</v>
      </c>
      <c r="J153" s="40">
        <f>IF(D153="Short",H153-I153,I153-H153)</f>
        <v>265.60000000000002</v>
      </c>
      <c r="K153" s="40">
        <f>J153*G153</f>
        <v>37184</v>
      </c>
      <c r="L153" s="40">
        <f>IF(D153="Short",G153*H153,G153*I153)</f>
        <v>128800</v>
      </c>
      <c r="M153" s="40">
        <f>IF(D153="Short",G153*I153,H153*G153)</f>
        <v>91616</v>
      </c>
      <c r="N153" s="40">
        <f>L153+M153</f>
        <v>220416</v>
      </c>
      <c r="O153" s="40">
        <f>N153*0.000134</f>
        <v>29.535744000000001</v>
      </c>
      <c r="P153" s="40">
        <f t="shared" si="2"/>
        <v>37154.464255999999</v>
      </c>
      <c r="Q153" s="14"/>
      <c r="R153" s="14"/>
      <c r="S153" s="14"/>
    </row>
    <row r="154" spans="1:19" x14ac:dyDescent="0.25">
      <c r="A154" s="51">
        <v>46160</v>
      </c>
      <c r="B154" s="9" t="s">
        <v>31</v>
      </c>
      <c r="C154" s="12">
        <v>46161</v>
      </c>
      <c r="D154" s="9" t="s">
        <v>28</v>
      </c>
      <c r="E154" s="9" t="s">
        <v>32</v>
      </c>
      <c r="F154" s="13">
        <v>23550</v>
      </c>
      <c r="G154" s="39">
        <v>1820</v>
      </c>
      <c r="H154" s="45">
        <v>146.97</v>
      </c>
      <c r="I154" s="45">
        <v>2.62</v>
      </c>
      <c r="J154" s="40">
        <f>IF(D154="Short",H154-I154,I154-H154)</f>
        <v>144.35</v>
      </c>
      <c r="K154" s="40">
        <f>J154*G154</f>
        <v>262717</v>
      </c>
      <c r="L154" s="40">
        <f>IF(D154="Short",G154*H154,G154*I154)</f>
        <v>267485.40000000002</v>
      </c>
      <c r="M154" s="40">
        <f>IF(D154="Short",G154*I154,H154*G154)</f>
        <v>4768.4000000000005</v>
      </c>
      <c r="N154" s="40">
        <f>L154+M154</f>
        <v>272253.80000000005</v>
      </c>
      <c r="O154" s="40">
        <f>N154*0.000134</f>
        <v>36.482009200000007</v>
      </c>
      <c r="P154" s="40">
        <f t="shared" si="2"/>
        <v>262680.51799080003</v>
      </c>
      <c r="Q154" s="14"/>
      <c r="R154" s="14"/>
      <c r="S154" s="14"/>
    </row>
    <row r="155" spans="1:19" x14ac:dyDescent="0.25">
      <c r="A155" s="51">
        <v>46160</v>
      </c>
      <c r="B155" s="9" t="s">
        <v>27</v>
      </c>
      <c r="C155" s="12">
        <v>46163</v>
      </c>
      <c r="D155" s="9" t="s">
        <v>28</v>
      </c>
      <c r="E155" s="9" t="s">
        <v>32</v>
      </c>
      <c r="F155" s="13">
        <v>75000</v>
      </c>
      <c r="G155" s="39">
        <v>280</v>
      </c>
      <c r="H155" s="45">
        <v>689.77</v>
      </c>
      <c r="I155" s="45">
        <v>247.6</v>
      </c>
      <c r="J155" s="40">
        <f>IF(D155="Short",H155-I155,I155-H155)</f>
        <v>442.16999999999996</v>
      </c>
      <c r="K155" s="40">
        <f>J155*G155</f>
        <v>123807.59999999999</v>
      </c>
      <c r="L155" s="40">
        <f>IF(D155="Short",G155*H155,G155*I155)</f>
        <v>193135.6</v>
      </c>
      <c r="M155" s="40">
        <f>IF(D155="Short",G155*I155,H155*G155)</f>
        <v>69328</v>
      </c>
      <c r="N155" s="40">
        <f>L155+M155</f>
        <v>262463.59999999998</v>
      </c>
      <c r="O155" s="40">
        <f>N155*0.000134</f>
        <v>35.170122399999997</v>
      </c>
      <c r="P155" s="40">
        <f t="shared" si="2"/>
        <v>123772.42987759999</v>
      </c>
      <c r="Q155" s="14"/>
      <c r="R155" s="14"/>
      <c r="S155" s="14"/>
    </row>
    <row r="156" spans="1:19" x14ac:dyDescent="0.25">
      <c r="A156" s="51">
        <v>46160</v>
      </c>
      <c r="B156" s="9" t="s">
        <v>27</v>
      </c>
      <c r="C156" s="12">
        <v>46163</v>
      </c>
      <c r="D156" s="9" t="s">
        <v>28</v>
      </c>
      <c r="E156" s="9" t="s">
        <v>32</v>
      </c>
      <c r="F156" s="13">
        <v>74900</v>
      </c>
      <c r="G156" s="39">
        <v>280</v>
      </c>
      <c r="H156" s="45">
        <v>633.80999999999995</v>
      </c>
      <c r="I156" s="45">
        <v>206.55</v>
      </c>
      <c r="J156" s="40">
        <f>IF(D156="Short",H156-I156,I156-H156)</f>
        <v>427.25999999999993</v>
      </c>
      <c r="K156" s="40">
        <f>J156*G156</f>
        <v>119632.79999999999</v>
      </c>
      <c r="L156" s="40">
        <f>IF(D156="Short",G156*H156,G156*I156)</f>
        <v>177466.8</v>
      </c>
      <c r="M156" s="40">
        <f>IF(D156="Short",G156*I156,H156*G156)</f>
        <v>57834</v>
      </c>
      <c r="N156" s="40">
        <f>L156+M156</f>
        <v>235300.8</v>
      </c>
      <c r="O156" s="40">
        <f>N156*0.000134</f>
        <v>31.530307199999999</v>
      </c>
      <c r="P156" s="40">
        <f t="shared" si="2"/>
        <v>119601.26969279999</v>
      </c>
      <c r="Q156" s="14"/>
      <c r="R156" s="14"/>
      <c r="S156" s="14"/>
    </row>
    <row r="157" spans="1:19" x14ac:dyDescent="0.25">
      <c r="A157" s="51">
        <v>46160</v>
      </c>
      <c r="B157" s="9" t="s">
        <v>27</v>
      </c>
      <c r="C157" s="12">
        <v>46163</v>
      </c>
      <c r="D157" s="9" t="s">
        <v>30</v>
      </c>
      <c r="E157" s="9" t="s">
        <v>32</v>
      </c>
      <c r="F157" s="13">
        <v>74300</v>
      </c>
      <c r="G157" s="39">
        <v>80</v>
      </c>
      <c r="H157" s="45">
        <v>629.54999999999995</v>
      </c>
      <c r="I157" s="45">
        <v>126.08</v>
      </c>
      <c r="J157" s="40">
        <f>IF(D157="Short",H157-I157,I157-H157)</f>
        <v>-503.46999999999997</v>
      </c>
      <c r="K157" s="40">
        <f>J157*G157</f>
        <v>-40277.599999999999</v>
      </c>
      <c r="L157" s="40">
        <f>IF(D157="Short",G157*H157,G157*I157)</f>
        <v>10086.4</v>
      </c>
      <c r="M157" s="40">
        <f>IF(D157="Short",G157*I157,H157*G157)</f>
        <v>50364</v>
      </c>
      <c r="N157" s="40">
        <f>L157+M157</f>
        <v>60450.400000000001</v>
      </c>
      <c r="O157" s="40">
        <f>N157*0.000134</f>
        <v>8.1003536</v>
      </c>
      <c r="P157" s="40">
        <f t="shared" si="2"/>
        <v>-40285.700353599997</v>
      </c>
      <c r="Q157" s="14"/>
      <c r="R157" s="14"/>
      <c r="S157" s="14"/>
    </row>
    <row r="158" spans="1:19" x14ac:dyDescent="0.25">
      <c r="A158" s="51">
        <v>46160</v>
      </c>
      <c r="B158" s="9" t="s">
        <v>31</v>
      </c>
      <c r="C158" s="12">
        <v>46161</v>
      </c>
      <c r="D158" s="9" t="s">
        <v>30</v>
      </c>
      <c r="E158" s="9" t="s">
        <v>32</v>
      </c>
      <c r="F158" s="13">
        <v>23350</v>
      </c>
      <c r="G158" s="39">
        <v>325</v>
      </c>
      <c r="H158" s="45">
        <v>122.03</v>
      </c>
      <c r="I158" s="45">
        <v>0.78</v>
      </c>
      <c r="J158" s="40">
        <f>IF(D158="Short",H158-I158,I158-H158)</f>
        <v>-121.25</v>
      </c>
      <c r="K158" s="40">
        <f>J158*G158</f>
        <v>-39406.25</v>
      </c>
      <c r="L158" s="40">
        <f>IF(D158="Short",G158*H158,G158*I158)</f>
        <v>253.5</v>
      </c>
      <c r="M158" s="40">
        <f>IF(D158="Short",G158*I158,H158*G158)</f>
        <v>39659.75</v>
      </c>
      <c r="N158" s="40">
        <f>L158+M158</f>
        <v>39913.25</v>
      </c>
      <c r="O158" s="40">
        <f>N158*0.000134</f>
        <v>5.3483755000000004</v>
      </c>
      <c r="P158" s="40">
        <f t="shared" si="2"/>
        <v>-39411.598375499998</v>
      </c>
      <c r="Q158" s="14"/>
      <c r="R158" s="14"/>
      <c r="S158" s="14"/>
    </row>
    <row r="159" spans="1:19" x14ac:dyDescent="0.25">
      <c r="A159" s="51">
        <v>46160</v>
      </c>
      <c r="B159" s="9" t="s">
        <v>27</v>
      </c>
      <c r="C159" s="12">
        <v>46163</v>
      </c>
      <c r="D159" s="9" t="s">
        <v>28</v>
      </c>
      <c r="E159" s="9" t="s">
        <v>29</v>
      </c>
      <c r="F159" s="13">
        <v>74500</v>
      </c>
      <c r="G159" s="39">
        <v>260</v>
      </c>
      <c r="H159" s="45">
        <v>577.86</v>
      </c>
      <c r="I159" s="45">
        <v>1294.57</v>
      </c>
      <c r="J159" s="40">
        <f>IF(D159="Short",H159-I159,I159-H159)</f>
        <v>-716.70999999999992</v>
      </c>
      <c r="K159" s="40">
        <f>J159*G159</f>
        <v>-186344.59999999998</v>
      </c>
      <c r="L159" s="40">
        <f>IF(D159="Short",G159*H159,G159*I159)</f>
        <v>150243.6</v>
      </c>
      <c r="M159" s="40">
        <f>IF(D159="Short",G159*I159,H159*G159)</f>
        <v>336588.2</v>
      </c>
      <c r="N159" s="40">
        <f>L159+M159</f>
        <v>486831.80000000005</v>
      </c>
      <c r="O159" s="40">
        <f>N159*0.000134</f>
        <v>65.235461200000003</v>
      </c>
      <c r="P159" s="40">
        <f t="shared" si="2"/>
        <v>-186409.83546119998</v>
      </c>
      <c r="Q159" s="14"/>
      <c r="R159" s="14"/>
      <c r="S159" s="14"/>
    </row>
    <row r="160" spans="1:19" x14ac:dyDescent="0.25">
      <c r="A160" s="51">
        <v>46160</v>
      </c>
      <c r="B160" s="9" t="s">
        <v>31</v>
      </c>
      <c r="C160" s="12">
        <v>46161</v>
      </c>
      <c r="D160" s="9" t="s">
        <v>28</v>
      </c>
      <c r="E160" s="9" t="s">
        <v>29</v>
      </c>
      <c r="F160" s="13">
        <v>23400</v>
      </c>
      <c r="G160" s="39">
        <v>1235</v>
      </c>
      <c r="H160" s="45">
        <v>132.96</v>
      </c>
      <c r="I160" s="45">
        <v>337.92</v>
      </c>
      <c r="J160" s="40">
        <f>IF(D160="Short",H160-I160,I160-H160)</f>
        <v>-204.96</v>
      </c>
      <c r="K160" s="40">
        <f>J160*G160</f>
        <v>-253125.6</v>
      </c>
      <c r="L160" s="40">
        <f>IF(D160="Short",G160*H160,G160*I160)</f>
        <v>164205.6</v>
      </c>
      <c r="M160" s="40">
        <f>IF(D160="Short",G160*I160,H160*G160)</f>
        <v>417331.20000000001</v>
      </c>
      <c r="N160" s="40">
        <f>L160+M160</f>
        <v>581536.80000000005</v>
      </c>
      <c r="O160" s="40">
        <f>N160*0.000134</f>
        <v>77.925931200000008</v>
      </c>
      <c r="P160" s="40">
        <f t="shared" si="2"/>
        <v>-253203.52593120001</v>
      </c>
      <c r="Q160" s="14"/>
      <c r="R160" s="14"/>
      <c r="S160" s="14"/>
    </row>
    <row r="161" spans="1:19" x14ac:dyDescent="0.25">
      <c r="A161" s="51">
        <v>46161</v>
      </c>
      <c r="B161" s="9" t="s">
        <v>31</v>
      </c>
      <c r="C161" s="12">
        <v>46168</v>
      </c>
      <c r="D161" s="9" t="s">
        <v>28</v>
      </c>
      <c r="E161" s="9" t="s">
        <v>29</v>
      </c>
      <c r="F161" s="13">
        <v>23650</v>
      </c>
      <c r="G161" s="39">
        <v>390</v>
      </c>
      <c r="H161" s="45">
        <v>212.94</v>
      </c>
      <c r="I161" s="45">
        <v>223.36</v>
      </c>
      <c r="J161" s="40">
        <f>IF(D161="Short",H161-I161,I161-H161)</f>
        <v>-10.420000000000016</v>
      </c>
      <c r="K161" s="40">
        <f>J161*G161</f>
        <v>-4063.8000000000061</v>
      </c>
      <c r="L161" s="40">
        <f>IF(D161="Short",G161*H161,G161*I161)</f>
        <v>83046.600000000006</v>
      </c>
      <c r="M161" s="40">
        <f>IF(D161="Short",G161*I161,H161*G161)</f>
        <v>87110.400000000009</v>
      </c>
      <c r="N161" s="40">
        <f>L161+M161</f>
        <v>170157</v>
      </c>
      <c r="O161" s="40">
        <f>N161*0.000134</f>
        <v>22.801038000000002</v>
      </c>
      <c r="P161" s="40">
        <f t="shared" si="2"/>
        <v>-4086.6010380000062</v>
      </c>
      <c r="Q161" s="14"/>
      <c r="R161" s="14"/>
      <c r="S161" s="14"/>
    </row>
    <row r="162" spans="1:19" x14ac:dyDescent="0.25">
      <c r="A162" s="51">
        <v>46161</v>
      </c>
      <c r="B162" s="9" t="s">
        <v>27</v>
      </c>
      <c r="C162" s="12">
        <v>46163</v>
      </c>
      <c r="D162" s="9" t="s">
        <v>28</v>
      </c>
      <c r="E162" s="9" t="s">
        <v>32</v>
      </c>
      <c r="F162" s="13">
        <v>73500</v>
      </c>
      <c r="G162" s="39">
        <v>1880</v>
      </c>
      <c r="H162" s="45">
        <v>33.22</v>
      </c>
      <c r="I162" s="45">
        <v>46.53</v>
      </c>
      <c r="J162" s="40">
        <f>IF(D162="Short",H162-I162,I162-H162)</f>
        <v>-13.310000000000002</v>
      </c>
      <c r="K162" s="40">
        <f>J162*G162</f>
        <v>-25022.800000000003</v>
      </c>
      <c r="L162" s="40">
        <f>IF(D162="Short",G162*H162,G162*I162)</f>
        <v>62453.599999999999</v>
      </c>
      <c r="M162" s="40">
        <f>IF(D162="Short",G162*I162,H162*G162)</f>
        <v>87476.400000000009</v>
      </c>
      <c r="N162" s="40">
        <f>L162+M162</f>
        <v>149930</v>
      </c>
      <c r="O162" s="40">
        <f>N162*0.000134</f>
        <v>20.090620000000001</v>
      </c>
      <c r="P162" s="40">
        <f t="shared" si="2"/>
        <v>-25042.890620000002</v>
      </c>
      <c r="Q162" s="14"/>
      <c r="R162" s="14"/>
      <c r="S162" s="14"/>
    </row>
    <row r="163" spans="1:19" x14ac:dyDescent="0.25">
      <c r="A163" s="51">
        <v>46161</v>
      </c>
      <c r="B163" s="9" t="s">
        <v>27</v>
      </c>
      <c r="C163" s="12">
        <v>46163</v>
      </c>
      <c r="D163" s="9" t="s">
        <v>30</v>
      </c>
      <c r="E163" s="9" t="s">
        <v>32</v>
      </c>
      <c r="F163" s="13">
        <v>75200</v>
      </c>
      <c r="G163" s="39">
        <v>360</v>
      </c>
      <c r="H163" s="45">
        <v>478.28</v>
      </c>
      <c r="I163" s="45">
        <v>504.04</v>
      </c>
      <c r="J163" s="40">
        <f>IF(D163="Short",H163-I163,I163-H163)</f>
        <v>25.760000000000048</v>
      </c>
      <c r="K163" s="40">
        <f>J163*G163</f>
        <v>9273.6000000000167</v>
      </c>
      <c r="L163" s="40">
        <f>IF(D163="Short",G163*H163,G163*I163)</f>
        <v>181454.4</v>
      </c>
      <c r="M163" s="40">
        <f>IF(D163="Short",G163*I163,H163*G163)</f>
        <v>172180.8</v>
      </c>
      <c r="N163" s="40">
        <f>L163+M163</f>
        <v>353635.19999999995</v>
      </c>
      <c r="O163" s="40">
        <f>N163*0.000134</f>
        <v>47.387116799999994</v>
      </c>
      <c r="P163" s="40">
        <f t="shared" si="2"/>
        <v>9226.2128832000162</v>
      </c>
      <c r="Q163" s="14"/>
      <c r="R163" s="14"/>
      <c r="S163" s="14"/>
    </row>
    <row r="164" spans="1:19" x14ac:dyDescent="0.25">
      <c r="A164" s="51">
        <v>46161</v>
      </c>
      <c r="B164" s="9" t="s">
        <v>31</v>
      </c>
      <c r="C164" s="12">
        <v>46168</v>
      </c>
      <c r="D164" s="9" t="s">
        <v>30</v>
      </c>
      <c r="E164" s="9" t="s">
        <v>32</v>
      </c>
      <c r="F164" s="13">
        <v>23700</v>
      </c>
      <c r="G164" s="39">
        <v>650</v>
      </c>
      <c r="H164" s="45">
        <v>237.78</v>
      </c>
      <c r="I164" s="45">
        <v>265.94</v>
      </c>
      <c r="J164" s="40">
        <f>IF(D164="Short",H164-I164,I164-H164)</f>
        <v>28.159999999999997</v>
      </c>
      <c r="K164" s="40">
        <f>J164*G164</f>
        <v>18303.999999999996</v>
      </c>
      <c r="L164" s="40">
        <f>IF(D164="Short",G164*H164,G164*I164)</f>
        <v>172861</v>
      </c>
      <c r="M164" s="40">
        <f>IF(D164="Short",G164*I164,H164*G164)</f>
        <v>154557</v>
      </c>
      <c r="N164" s="40">
        <f>L164+M164</f>
        <v>327418</v>
      </c>
      <c r="O164" s="40">
        <f>N164*0.000134</f>
        <v>43.874012</v>
      </c>
      <c r="P164" s="40">
        <f t="shared" si="2"/>
        <v>18260.125987999996</v>
      </c>
      <c r="Q164" s="14"/>
      <c r="R164" s="14"/>
      <c r="S164" s="14"/>
    </row>
    <row r="165" spans="1:19" x14ac:dyDescent="0.25">
      <c r="A165" s="51">
        <v>46161</v>
      </c>
      <c r="B165" s="9" t="s">
        <v>31</v>
      </c>
      <c r="C165" s="12">
        <v>46168</v>
      </c>
      <c r="D165" s="9" t="s">
        <v>28</v>
      </c>
      <c r="E165" s="9" t="s">
        <v>32</v>
      </c>
      <c r="F165" s="13">
        <v>23650</v>
      </c>
      <c r="G165" s="39">
        <v>65</v>
      </c>
      <c r="H165" s="45">
        <v>221.16</v>
      </c>
      <c r="I165" s="45">
        <v>191.99</v>
      </c>
      <c r="J165" s="40">
        <f>IF(D165="Short",H165-I165,I165-H165)</f>
        <v>29.169999999999987</v>
      </c>
      <c r="K165" s="40">
        <f>J165*G165</f>
        <v>1896.0499999999993</v>
      </c>
      <c r="L165" s="40">
        <f>IF(D165="Short",G165*H165,G165*I165)</f>
        <v>14375.4</v>
      </c>
      <c r="M165" s="40">
        <f>IF(D165="Short",G165*I165,H165*G165)</f>
        <v>12479.35</v>
      </c>
      <c r="N165" s="40">
        <f>L165+M165</f>
        <v>26854.75</v>
      </c>
      <c r="O165" s="40">
        <f>N165*0.000134</f>
        <v>3.5985365000000002</v>
      </c>
      <c r="P165" s="40">
        <f t="shared" si="2"/>
        <v>1892.4514634999994</v>
      </c>
      <c r="Q165" s="14"/>
      <c r="R165" s="14"/>
      <c r="S165" s="14"/>
    </row>
    <row r="166" spans="1:19" x14ac:dyDescent="0.25">
      <c r="A166" s="51">
        <v>46161</v>
      </c>
      <c r="B166" s="9" t="s">
        <v>31</v>
      </c>
      <c r="C166" s="12">
        <v>46168</v>
      </c>
      <c r="D166" s="9" t="s">
        <v>28</v>
      </c>
      <c r="E166" s="9" t="s">
        <v>32</v>
      </c>
      <c r="F166" s="13">
        <v>22800</v>
      </c>
      <c r="G166" s="39">
        <v>650</v>
      </c>
      <c r="H166" s="45">
        <v>29.15</v>
      </c>
      <c r="I166" s="45">
        <v>25.77</v>
      </c>
      <c r="J166" s="40">
        <f>IF(D166="Short",H166-I166,I166-H166)</f>
        <v>3.379999999999999</v>
      </c>
      <c r="K166" s="40">
        <f>J166*G166</f>
        <v>2196.9999999999995</v>
      </c>
      <c r="L166" s="40">
        <f>IF(D166="Short",G166*H166,G166*I166)</f>
        <v>18947.5</v>
      </c>
      <c r="M166" s="40">
        <f>IF(D166="Short",G166*I166,H166*G166)</f>
        <v>16750.5</v>
      </c>
      <c r="N166" s="40">
        <f>L166+M166</f>
        <v>35698</v>
      </c>
      <c r="O166" s="40">
        <f>N166*0.000134</f>
        <v>4.7835320000000001</v>
      </c>
      <c r="P166" s="40">
        <f t="shared" si="2"/>
        <v>2192.2164679999996</v>
      </c>
      <c r="Q166" s="14"/>
      <c r="R166" s="14"/>
      <c r="S166" s="14"/>
    </row>
    <row r="167" spans="1:19" x14ac:dyDescent="0.25">
      <c r="A167" s="51">
        <v>46161</v>
      </c>
      <c r="B167" s="9" t="s">
        <v>31</v>
      </c>
      <c r="C167" s="12">
        <v>46168</v>
      </c>
      <c r="D167" s="9" t="s">
        <v>30</v>
      </c>
      <c r="E167" s="9" t="s">
        <v>29</v>
      </c>
      <c r="F167" s="13">
        <v>24300</v>
      </c>
      <c r="G167" s="39">
        <v>3900</v>
      </c>
      <c r="H167" s="45">
        <v>23.92</v>
      </c>
      <c r="I167" s="45">
        <v>21.08</v>
      </c>
      <c r="J167" s="40">
        <f>IF(D167="Short",H167-I167,I167-H167)</f>
        <v>-2.8400000000000034</v>
      </c>
      <c r="K167" s="40">
        <f>J167*G167</f>
        <v>-11076.000000000013</v>
      </c>
      <c r="L167" s="40">
        <f>IF(D167="Short",G167*H167,G167*I167)</f>
        <v>82212</v>
      </c>
      <c r="M167" s="40">
        <f>IF(D167="Short",G167*I167,H167*G167)</f>
        <v>93288</v>
      </c>
      <c r="N167" s="40">
        <f>L167+M167</f>
        <v>175500</v>
      </c>
      <c r="O167" s="40">
        <f>N167*0.000134</f>
        <v>23.516999999999999</v>
      </c>
      <c r="P167" s="40">
        <f t="shared" si="2"/>
        <v>-11099.517000000013</v>
      </c>
      <c r="Q167" s="14"/>
      <c r="R167" s="14"/>
      <c r="S167" s="14"/>
    </row>
    <row r="168" spans="1:19" x14ac:dyDescent="0.25">
      <c r="A168" s="51">
        <v>46161</v>
      </c>
      <c r="B168" s="9" t="s">
        <v>31</v>
      </c>
      <c r="C168" s="12">
        <v>46168</v>
      </c>
      <c r="D168" s="9" t="s">
        <v>28</v>
      </c>
      <c r="E168" s="9" t="s">
        <v>32</v>
      </c>
      <c r="F168" s="13">
        <v>23650</v>
      </c>
      <c r="G168" s="39">
        <v>325</v>
      </c>
      <c r="H168" s="45">
        <v>221.16</v>
      </c>
      <c r="I168" s="45">
        <v>232.35</v>
      </c>
      <c r="J168" s="40">
        <f>IF(D168="Short",H168-I168,I168-H168)</f>
        <v>-11.189999999999998</v>
      </c>
      <c r="K168" s="40">
        <f>J168*G168</f>
        <v>-3636.7499999999991</v>
      </c>
      <c r="L168" s="40">
        <f>IF(D168="Short",G168*H168,G168*I168)</f>
        <v>71877</v>
      </c>
      <c r="M168" s="40">
        <f>IF(D168="Short",G168*I168,H168*G168)</f>
        <v>75513.75</v>
      </c>
      <c r="N168" s="40">
        <f>L168+M168</f>
        <v>147390.75</v>
      </c>
      <c r="O168" s="40">
        <f>N168*0.000134</f>
        <v>19.750360499999999</v>
      </c>
      <c r="P168" s="40">
        <f t="shared" si="2"/>
        <v>-3656.5003604999993</v>
      </c>
      <c r="Q168" s="14"/>
      <c r="R168" s="14"/>
      <c r="S168" s="14"/>
    </row>
    <row r="169" spans="1:19" x14ac:dyDescent="0.25">
      <c r="A169" s="51">
        <v>46161</v>
      </c>
      <c r="B169" s="9" t="s">
        <v>31</v>
      </c>
      <c r="C169" s="12">
        <v>46161</v>
      </c>
      <c r="D169" s="9" t="s">
        <v>28</v>
      </c>
      <c r="E169" s="9" t="s">
        <v>29</v>
      </c>
      <c r="F169" s="13">
        <v>23800</v>
      </c>
      <c r="G169" s="39">
        <v>4810</v>
      </c>
      <c r="H169" s="45">
        <v>3.17</v>
      </c>
      <c r="I169" s="45">
        <v>5.54</v>
      </c>
      <c r="J169" s="40">
        <f>IF(D169="Short",H169-I169,I169-H169)</f>
        <v>-2.37</v>
      </c>
      <c r="K169" s="40">
        <f>J169*G169</f>
        <v>-11399.7</v>
      </c>
      <c r="L169" s="40">
        <f>IF(D169="Short",G169*H169,G169*I169)</f>
        <v>15247.699999999999</v>
      </c>
      <c r="M169" s="40">
        <f>IF(D169="Short",G169*I169,H169*G169)</f>
        <v>26647.4</v>
      </c>
      <c r="N169" s="40">
        <f>L169+M169</f>
        <v>41895.1</v>
      </c>
      <c r="O169" s="40">
        <f>N169*0.000134</f>
        <v>5.6139434000000001</v>
      </c>
      <c r="P169" s="40">
        <f t="shared" si="2"/>
        <v>-11405.3139434</v>
      </c>
      <c r="Q169" s="14"/>
      <c r="R169" s="14"/>
      <c r="S169" s="14"/>
    </row>
    <row r="170" spans="1:19" x14ac:dyDescent="0.25">
      <c r="A170" s="51">
        <v>46161</v>
      </c>
      <c r="B170" s="9" t="s">
        <v>31</v>
      </c>
      <c r="C170" s="12">
        <v>46161</v>
      </c>
      <c r="D170" s="9" t="s">
        <v>28</v>
      </c>
      <c r="E170" s="9" t="s">
        <v>32</v>
      </c>
      <c r="F170" s="13">
        <v>23700</v>
      </c>
      <c r="G170" s="39">
        <v>4160</v>
      </c>
      <c r="H170" s="45">
        <v>73.2</v>
      </c>
      <c r="I170" s="45">
        <v>43.98</v>
      </c>
      <c r="J170" s="40">
        <f>IF(D170="Short",H170-I170,I170-H170)</f>
        <v>29.220000000000006</v>
      </c>
      <c r="K170" s="40">
        <f>J170*G170</f>
        <v>121555.20000000003</v>
      </c>
      <c r="L170" s="40">
        <f>IF(D170="Short",G170*H170,G170*I170)</f>
        <v>304512</v>
      </c>
      <c r="M170" s="40">
        <f>IF(D170="Short",G170*I170,H170*G170)</f>
        <v>182956.79999999999</v>
      </c>
      <c r="N170" s="40">
        <f>L170+M170</f>
        <v>487468.79999999999</v>
      </c>
      <c r="O170" s="40">
        <f>N170*0.000134</f>
        <v>65.320819200000003</v>
      </c>
      <c r="P170" s="40">
        <f t="shared" si="2"/>
        <v>121489.87918080002</v>
      </c>
      <c r="Q170" s="14"/>
      <c r="R170" s="14"/>
      <c r="S170" s="14"/>
    </row>
    <row r="171" spans="1:19" x14ac:dyDescent="0.25">
      <c r="A171" s="51">
        <v>46161</v>
      </c>
      <c r="B171" s="9" t="s">
        <v>31</v>
      </c>
      <c r="C171" s="12">
        <v>46168</v>
      </c>
      <c r="D171" s="9" t="s">
        <v>30</v>
      </c>
      <c r="E171" s="9" t="s">
        <v>32</v>
      </c>
      <c r="F171" s="13">
        <v>22800</v>
      </c>
      <c r="G171" s="39">
        <v>455</v>
      </c>
      <c r="H171" s="45">
        <v>25.77</v>
      </c>
      <c r="I171" s="45">
        <v>11.4</v>
      </c>
      <c r="J171" s="40">
        <f>IF(D171="Short",H171-I171,I171-H171)</f>
        <v>-14.37</v>
      </c>
      <c r="K171" s="40">
        <f>J171*G171</f>
        <v>-6538.3499999999995</v>
      </c>
      <c r="L171" s="40">
        <f>IF(D171="Short",G171*H171,G171*I171)</f>
        <v>5187</v>
      </c>
      <c r="M171" s="40">
        <f>IF(D171="Short",G171*I171,H171*G171)</f>
        <v>11725.35</v>
      </c>
      <c r="N171" s="40">
        <f>L171+M171</f>
        <v>16912.349999999999</v>
      </c>
      <c r="O171" s="40">
        <f>N171*0.000134</f>
        <v>2.2662548999999999</v>
      </c>
      <c r="P171" s="40">
        <f t="shared" si="2"/>
        <v>-6540.6162548999991</v>
      </c>
      <c r="Q171" s="14"/>
      <c r="R171" s="14"/>
      <c r="S171" s="14"/>
    </row>
    <row r="172" spans="1:19" x14ac:dyDescent="0.25">
      <c r="A172" s="51">
        <v>46161</v>
      </c>
      <c r="B172" s="9" t="s">
        <v>31</v>
      </c>
      <c r="C172" s="12">
        <v>46161</v>
      </c>
      <c r="D172" s="9" t="s">
        <v>28</v>
      </c>
      <c r="E172" s="9" t="s">
        <v>29</v>
      </c>
      <c r="F172" s="13">
        <v>23650</v>
      </c>
      <c r="G172" s="39">
        <v>1820</v>
      </c>
      <c r="H172" s="45">
        <v>55.13</v>
      </c>
      <c r="I172" s="45">
        <v>1.75</v>
      </c>
      <c r="J172" s="40">
        <f>IF(D172="Short",H172-I172,I172-H172)</f>
        <v>53.38</v>
      </c>
      <c r="K172" s="40">
        <f>J172*G172</f>
        <v>97151.6</v>
      </c>
      <c r="L172" s="40">
        <f>IF(D172="Short",G172*H172,G172*I172)</f>
        <v>100336.6</v>
      </c>
      <c r="M172" s="40">
        <f>IF(D172="Short",G172*I172,H172*G172)</f>
        <v>3185</v>
      </c>
      <c r="N172" s="40">
        <f>L172+M172</f>
        <v>103521.60000000001</v>
      </c>
      <c r="O172" s="40">
        <f>N172*0.000134</f>
        <v>13.8718944</v>
      </c>
      <c r="P172" s="40">
        <f t="shared" si="2"/>
        <v>97137.728105600007</v>
      </c>
      <c r="Q172" s="14"/>
      <c r="R172" s="14"/>
      <c r="S172" s="14"/>
    </row>
    <row r="173" spans="1:19" x14ac:dyDescent="0.25">
      <c r="A173" s="51">
        <v>46161</v>
      </c>
      <c r="B173" s="9" t="s">
        <v>31</v>
      </c>
      <c r="C173" s="12">
        <v>46161</v>
      </c>
      <c r="D173" s="9" t="s">
        <v>30</v>
      </c>
      <c r="E173" s="9" t="s">
        <v>32</v>
      </c>
      <c r="F173" s="13">
        <v>23750</v>
      </c>
      <c r="G173" s="39">
        <v>2405</v>
      </c>
      <c r="H173" s="45">
        <v>93.88</v>
      </c>
      <c r="I173" s="45">
        <v>60.13</v>
      </c>
      <c r="J173" s="40">
        <f>IF(D173="Short",H173-I173,I173-H173)</f>
        <v>-33.749999999999993</v>
      </c>
      <c r="K173" s="40">
        <f>J173*G173</f>
        <v>-81168.749999999985</v>
      </c>
      <c r="L173" s="40">
        <f>IF(D173="Short",G173*H173,G173*I173)</f>
        <v>144612.65</v>
      </c>
      <c r="M173" s="40">
        <f>IF(D173="Short",G173*I173,H173*G173)</f>
        <v>225781.4</v>
      </c>
      <c r="N173" s="40">
        <f>L173+M173</f>
        <v>370394.05</v>
      </c>
      <c r="O173" s="40">
        <f>N173*0.000134</f>
        <v>49.632802699999999</v>
      </c>
      <c r="P173" s="40">
        <f t="shared" si="2"/>
        <v>-81218.382802699984</v>
      </c>
      <c r="Q173" s="14"/>
      <c r="R173" s="14"/>
      <c r="S173" s="14"/>
    </row>
    <row r="174" spans="1:19" x14ac:dyDescent="0.25">
      <c r="A174" s="51">
        <v>46161</v>
      </c>
      <c r="B174" s="9" t="s">
        <v>31</v>
      </c>
      <c r="C174" s="12">
        <v>46161</v>
      </c>
      <c r="D174" s="9" t="s">
        <v>30</v>
      </c>
      <c r="E174" s="9" t="s">
        <v>29</v>
      </c>
      <c r="F174" s="13">
        <v>23700</v>
      </c>
      <c r="G174" s="39">
        <v>1820</v>
      </c>
      <c r="H174" s="45">
        <v>2</v>
      </c>
      <c r="I174" s="45">
        <v>33.97</v>
      </c>
      <c r="J174" s="40">
        <f>IF(D174="Short",H174-I174,I174-H174)</f>
        <v>31.97</v>
      </c>
      <c r="K174" s="40">
        <f>J174*G174</f>
        <v>58185.4</v>
      </c>
      <c r="L174" s="40">
        <f>IF(D174="Short",G174*H174,G174*I174)</f>
        <v>61825.4</v>
      </c>
      <c r="M174" s="40">
        <f>IF(D174="Short",G174*I174,H174*G174)</f>
        <v>3640</v>
      </c>
      <c r="N174" s="40">
        <f>L174+M174</f>
        <v>65465.4</v>
      </c>
      <c r="O174" s="40">
        <f>N174*0.000134</f>
        <v>8.7723636000000003</v>
      </c>
      <c r="P174" s="40">
        <f t="shared" si="2"/>
        <v>58176.6276364</v>
      </c>
      <c r="Q174" s="14"/>
      <c r="R174" s="14"/>
      <c r="S174" s="14"/>
    </row>
    <row r="175" spans="1:19" x14ac:dyDescent="0.25">
      <c r="A175" s="51">
        <v>46161</v>
      </c>
      <c r="B175" s="9" t="s">
        <v>27</v>
      </c>
      <c r="C175" s="12">
        <v>46163</v>
      </c>
      <c r="D175" s="9" t="s">
        <v>28</v>
      </c>
      <c r="E175" s="9" t="s">
        <v>29</v>
      </c>
      <c r="F175" s="13">
        <v>75300</v>
      </c>
      <c r="G175" s="39">
        <v>280</v>
      </c>
      <c r="H175" s="45">
        <v>532.94000000000005</v>
      </c>
      <c r="I175" s="45">
        <v>319.45999999999998</v>
      </c>
      <c r="J175" s="40">
        <f>IF(D175="Short",H175-I175,I175-H175)</f>
        <v>213.48000000000008</v>
      </c>
      <c r="K175" s="40">
        <f>J175*G175</f>
        <v>59774.400000000023</v>
      </c>
      <c r="L175" s="40">
        <f>IF(D175="Short",G175*H175,G175*I175)</f>
        <v>149223.20000000001</v>
      </c>
      <c r="M175" s="40">
        <f>IF(D175="Short",G175*I175,H175*G175)</f>
        <v>89448.799999999988</v>
      </c>
      <c r="N175" s="40">
        <f>L175+M175</f>
        <v>238672</v>
      </c>
      <c r="O175" s="40">
        <f>N175*0.000134</f>
        <v>31.982048000000002</v>
      </c>
      <c r="P175" s="40">
        <f t="shared" si="2"/>
        <v>59742.417952000025</v>
      </c>
      <c r="Q175" s="14"/>
      <c r="R175" s="14"/>
      <c r="S175" s="14"/>
    </row>
    <row r="176" spans="1:19" x14ac:dyDescent="0.25">
      <c r="A176" s="51">
        <v>46161</v>
      </c>
      <c r="B176" s="9" t="s">
        <v>31</v>
      </c>
      <c r="C176" s="12">
        <v>46161</v>
      </c>
      <c r="D176" s="9" t="s">
        <v>28</v>
      </c>
      <c r="E176" s="9" t="s">
        <v>32</v>
      </c>
      <c r="F176" s="13">
        <v>23350</v>
      </c>
      <c r="G176" s="39">
        <v>5200</v>
      </c>
      <c r="H176" s="45">
        <v>0.78</v>
      </c>
      <c r="I176" s="45">
        <v>4.58</v>
      </c>
      <c r="J176" s="40">
        <f>IF(D176="Short",H176-I176,I176-H176)</f>
        <v>-3.8</v>
      </c>
      <c r="K176" s="40">
        <f>J176*G176</f>
        <v>-19760</v>
      </c>
      <c r="L176" s="40">
        <f>IF(D176="Short",G176*H176,G176*I176)</f>
        <v>4056</v>
      </c>
      <c r="M176" s="40">
        <f>IF(D176="Short",G176*I176,H176*G176)</f>
        <v>23816</v>
      </c>
      <c r="N176" s="40">
        <f>L176+M176</f>
        <v>27872</v>
      </c>
      <c r="O176" s="40">
        <f>N176*0.000134</f>
        <v>3.7348479999999999</v>
      </c>
      <c r="P176" s="40">
        <f t="shared" si="2"/>
        <v>-19763.734848</v>
      </c>
      <c r="Q176" s="14"/>
      <c r="R176" s="14"/>
      <c r="S176" s="14"/>
    </row>
    <row r="177" spans="1:19" x14ac:dyDescent="0.25">
      <c r="A177" s="51">
        <v>46161</v>
      </c>
      <c r="B177" s="9" t="s">
        <v>27</v>
      </c>
      <c r="C177" s="12">
        <v>46163</v>
      </c>
      <c r="D177" s="9" t="s">
        <v>30</v>
      </c>
      <c r="E177" s="9" t="s">
        <v>32</v>
      </c>
      <c r="F177" s="13">
        <v>75400</v>
      </c>
      <c r="G177" s="39">
        <v>340</v>
      </c>
      <c r="H177" s="45">
        <v>420.32</v>
      </c>
      <c r="I177" s="45">
        <v>828.83</v>
      </c>
      <c r="J177" s="40">
        <f>IF(D177="Short",H177-I177,I177-H177)</f>
        <v>408.51000000000005</v>
      </c>
      <c r="K177" s="40">
        <f>J177*G177</f>
        <v>138893.40000000002</v>
      </c>
      <c r="L177" s="40">
        <f>IF(D177="Short",G177*H177,G177*I177)</f>
        <v>281802.2</v>
      </c>
      <c r="M177" s="40">
        <f>IF(D177="Short",G177*I177,H177*G177)</f>
        <v>142908.79999999999</v>
      </c>
      <c r="N177" s="40">
        <f>L177+M177</f>
        <v>424711</v>
      </c>
      <c r="O177" s="40">
        <f>N177*0.000134</f>
        <v>56.911273999999999</v>
      </c>
      <c r="P177" s="40">
        <f t="shared" si="2"/>
        <v>138836.48872600001</v>
      </c>
      <c r="Q177" s="14"/>
      <c r="R177" s="14"/>
      <c r="S177" s="14"/>
    </row>
    <row r="178" spans="1:19" x14ac:dyDescent="0.25">
      <c r="A178" s="51">
        <v>46161</v>
      </c>
      <c r="B178" s="9" t="s">
        <v>27</v>
      </c>
      <c r="C178" s="12">
        <v>46163</v>
      </c>
      <c r="D178" s="9" t="s">
        <v>28</v>
      </c>
      <c r="E178" s="9" t="s">
        <v>29</v>
      </c>
      <c r="F178" s="13">
        <v>75500</v>
      </c>
      <c r="G178" s="39">
        <v>560</v>
      </c>
      <c r="H178" s="45">
        <v>439.57</v>
      </c>
      <c r="I178" s="45">
        <v>201.5</v>
      </c>
      <c r="J178" s="40">
        <f>IF(D178="Short",H178-I178,I178-H178)</f>
        <v>238.07</v>
      </c>
      <c r="K178" s="40">
        <f>J178*G178</f>
        <v>133319.19999999998</v>
      </c>
      <c r="L178" s="40">
        <f>IF(D178="Short",G178*H178,G178*I178)</f>
        <v>246159.19999999998</v>
      </c>
      <c r="M178" s="40">
        <f>IF(D178="Short",G178*I178,H178*G178)</f>
        <v>112840</v>
      </c>
      <c r="N178" s="40">
        <f>L178+M178</f>
        <v>358999.19999999995</v>
      </c>
      <c r="O178" s="40">
        <f>N178*0.000134</f>
        <v>48.105892799999992</v>
      </c>
      <c r="P178" s="40">
        <f t="shared" si="2"/>
        <v>133271.09410719998</v>
      </c>
      <c r="Q178" s="14"/>
      <c r="R178" s="14"/>
      <c r="S178" s="14"/>
    </row>
    <row r="179" spans="1:19" x14ac:dyDescent="0.25">
      <c r="A179" s="51">
        <v>46161</v>
      </c>
      <c r="B179" s="9" t="s">
        <v>27</v>
      </c>
      <c r="C179" s="12">
        <v>46163</v>
      </c>
      <c r="D179" s="9" t="s">
        <v>28</v>
      </c>
      <c r="E179" s="9" t="s">
        <v>32</v>
      </c>
      <c r="F179" s="13">
        <v>75700</v>
      </c>
      <c r="G179" s="39">
        <v>120</v>
      </c>
      <c r="H179" s="45">
        <v>529.29</v>
      </c>
      <c r="I179" s="45">
        <v>522.5</v>
      </c>
      <c r="J179" s="40">
        <f>IF(D179="Short",H179-I179,I179-H179)</f>
        <v>6.7899999999999636</v>
      </c>
      <c r="K179" s="40">
        <f>J179*G179</f>
        <v>814.79999999999563</v>
      </c>
      <c r="L179" s="40">
        <f>IF(D179="Short",G179*H179,G179*I179)</f>
        <v>63514.799999999996</v>
      </c>
      <c r="M179" s="40">
        <f>IF(D179="Short",G179*I179,H179*G179)</f>
        <v>62700</v>
      </c>
      <c r="N179" s="40">
        <f>L179+M179</f>
        <v>126214.79999999999</v>
      </c>
      <c r="O179" s="40">
        <f>N179*0.000134</f>
        <v>16.9127832</v>
      </c>
      <c r="P179" s="40">
        <f t="shared" si="2"/>
        <v>797.8872167999956</v>
      </c>
      <c r="Q179" s="14"/>
      <c r="R179" s="14"/>
      <c r="S179" s="14"/>
    </row>
    <row r="180" spans="1:19" x14ac:dyDescent="0.25">
      <c r="A180" s="51">
        <v>46161</v>
      </c>
      <c r="B180" s="9" t="s">
        <v>27</v>
      </c>
      <c r="C180" s="12">
        <v>46163</v>
      </c>
      <c r="D180" s="9" t="s">
        <v>30</v>
      </c>
      <c r="E180" s="9" t="s">
        <v>32</v>
      </c>
      <c r="F180" s="13">
        <v>75400</v>
      </c>
      <c r="G180" s="39">
        <v>180</v>
      </c>
      <c r="H180" s="45">
        <v>420.32</v>
      </c>
      <c r="I180" s="45">
        <v>354.25</v>
      </c>
      <c r="J180" s="40">
        <f>IF(D180="Short",H180-I180,I180-H180)</f>
        <v>-66.069999999999993</v>
      </c>
      <c r="K180" s="40">
        <f>J180*G180</f>
        <v>-11892.599999999999</v>
      </c>
      <c r="L180" s="40">
        <f>IF(D180="Short",G180*H180,G180*I180)</f>
        <v>63765</v>
      </c>
      <c r="M180" s="40">
        <f>IF(D180="Short",G180*I180,H180*G180)</f>
        <v>75657.600000000006</v>
      </c>
      <c r="N180" s="40">
        <f>L180+M180</f>
        <v>139422.6</v>
      </c>
      <c r="O180" s="40">
        <f>N180*0.000134</f>
        <v>18.682628400000002</v>
      </c>
      <c r="P180" s="40">
        <f t="shared" si="2"/>
        <v>-11911.282628399998</v>
      </c>
      <c r="Q180" s="14"/>
      <c r="R180" s="14"/>
      <c r="S180" s="14"/>
    </row>
    <row r="181" spans="1:19" x14ac:dyDescent="0.25">
      <c r="A181" s="51">
        <v>46161</v>
      </c>
      <c r="B181" s="9" t="s">
        <v>27</v>
      </c>
      <c r="C181" s="12">
        <v>46163</v>
      </c>
      <c r="D181" s="9" t="s">
        <v>30</v>
      </c>
      <c r="E181" s="9" t="s">
        <v>29</v>
      </c>
      <c r="F181" s="13">
        <v>75400</v>
      </c>
      <c r="G181" s="39">
        <v>180</v>
      </c>
      <c r="H181" s="45">
        <v>634.23</v>
      </c>
      <c r="I181" s="45">
        <v>680.96</v>
      </c>
      <c r="J181" s="40">
        <f>IF(D181="Short",H181-I181,I181-H181)</f>
        <v>46.730000000000018</v>
      </c>
      <c r="K181" s="40">
        <f>J181*G181</f>
        <v>8411.4000000000033</v>
      </c>
      <c r="L181" s="40">
        <f>IF(D181="Short",G181*H181,G181*I181)</f>
        <v>122572.8</v>
      </c>
      <c r="M181" s="40">
        <f>IF(D181="Short",G181*I181,H181*G181)</f>
        <v>114161.40000000001</v>
      </c>
      <c r="N181" s="40">
        <f>L181+M181</f>
        <v>236734.2</v>
      </c>
      <c r="O181" s="40">
        <f>N181*0.000134</f>
        <v>31.722382800000002</v>
      </c>
      <c r="P181" s="40">
        <f t="shared" si="2"/>
        <v>8379.6776172000027</v>
      </c>
      <c r="Q181" s="14"/>
      <c r="R181" s="14"/>
      <c r="S181" s="14"/>
    </row>
    <row r="182" spans="1:19" x14ac:dyDescent="0.25">
      <c r="A182" s="51">
        <v>46161</v>
      </c>
      <c r="B182" s="9" t="s">
        <v>31</v>
      </c>
      <c r="C182" s="12">
        <v>46161</v>
      </c>
      <c r="D182" s="9" t="s">
        <v>28</v>
      </c>
      <c r="E182" s="9" t="s">
        <v>32</v>
      </c>
      <c r="F182" s="13">
        <v>23500</v>
      </c>
      <c r="G182" s="39">
        <v>650</v>
      </c>
      <c r="H182" s="45">
        <v>6.35</v>
      </c>
      <c r="I182" s="45">
        <v>6.3</v>
      </c>
      <c r="J182" s="40">
        <f>IF(D182="Short",H182-I182,I182-H182)</f>
        <v>4.9999999999999822E-2</v>
      </c>
      <c r="K182" s="40">
        <f>J182*G182</f>
        <v>32.499999999999886</v>
      </c>
      <c r="L182" s="40">
        <f>IF(D182="Short",G182*H182,G182*I182)</f>
        <v>4127.5</v>
      </c>
      <c r="M182" s="40">
        <f>IF(D182="Short",G182*I182,H182*G182)</f>
        <v>4095</v>
      </c>
      <c r="N182" s="40">
        <f>L182+M182</f>
        <v>8222.5</v>
      </c>
      <c r="O182" s="40">
        <f>N182*0.000134</f>
        <v>1.101815</v>
      </c>
      <c r="P182" s="40">
        <f t="shared" si="2"/>
        <v>31.398184999999888</v>
      </c>
      <c r="Q182" s="14"/>
      <c r="R182" s="14"/>
      <c r="S182" s="14"/>
    </row>
    <row r="183" spans="1:19" x14ac:dyDescent="0.25">
      <c r="A183" s="51">
        <v>46161</v>
      </c>
      <c r="B183" s="9" t="s">
        <v>31</v>
      </c>
      <c r="C183" s="12">
        <v>46161</v>
      </c>
      <c r="D183" s="9" t="s">
        <v>30</v>
      </c>
      <c r="E183" s="9" t="s">
        <v>29</v>
      </c>
      <c r="F183" s="13">
        <v>23550</v>
      </c>
      <c r="G183" s="39">
        <v>130</v>
      </c>
      <c r="H183" s="45">
        <v>182.5</v>
      </c>
      <c r="I183" s="45">
        <v>207.85</v>
      </c>
      <c r="J183" s="40">
        <f>IF(D183="Short",H183-I183,I183-H183)</f>
        <v>25.349999999999994</v>
      </c>
      <c r="K183" s="40">
        <f>J183*G183</f>
        <v>3295.4999999999991</v>
      </c>
      <c r="L183" s="40">
        <f>IF(D183="Short",G183*H183,G183*I183)</f>
        <v>27020.5</v>
      </c>
      <c r="M183" s="40">
        <f>IF(D183="Short",G183*I183,H183*G183)</f>
        <v>23725</v>
      </c>
      <c r="N183" s="40">
        <f>L183+M183</f>
        <v>50745.5</v>
      </c>
      <c r="O183" s="40">
        <f>N183*0.000134</f>
        <v>6.7998970000000005</v>
      </c>
      <c r="P183" s="40">
        <f t="shared" si="2"/>
        <v>3288.7001029999992</v>
      </c>
      <c r="Q183" s="14"/>
      <c r="R183" s="14"/>
      <c r="S183" s="14"/>
    </row>
    <row r="184" spans="1:19" x14ac:dyDescent="0.25">
      <c r="A184" s="51">
        <v>46161</v>
      </c>
      <c r="B184" s="9" t="s">
        <v>27</v>
      </c>
      <c r="C184" s="12">
        <v>46163</v>
      </c>
      <c r="D184" s="9" t="s">
        <v>28</v>
      </c>
      <c r="E184" s="9" t="s">
        <v>29</v>
      </c>
      <c r="F184" s="13">
        <v>77000</v>
      </c>
      <c r="G184" s="39">
        <v>100</v>
      </c>
      <c r="H184" s="45">
        <v>84.4</v>
      </c>
      <c r="I184" s="45">
        <v>86.34</v>
      </c>
      <c r="J184" s="40">
        <f>IF(D184="Short",H184-I184,I184-H184)</f>
        <v>-1.9399999999999977</v>
      </c>
      <c r="K184" s="40">
        <f>J184*G184</f>
        <v>-193.99999999999977</v>
      </c>
      <c r="L184" s="40">
        <f>IF(D184="Short",G184*H184,G184*I184)</f>
        <v>8440</v>
      </c>
      <c r="M184" s="40">
        <f>IF(D184="Short",G184*I184,H184*G184)</f>
        <v>8634</v>
      </c>
      <c r="N184" s="40">
        <f>L184+M184</f>
        <v>17074</v>
      </c>
      <c r="O184" s="40">
        <f>N184*0.000134</f>
        <v>2.2879160000000001</v>
      </c>
      <c r="P184" s="40">
        <f t="shared" si="2"/>
        <v>-196.28791599999977</v>
      </c>
      <c r="Q184" s="14"/>
      <c r="R184" s="14"/>
      <c r="S184" s="14"/>
    </row>
    <row r="185" spans="1:19" x14ac:dyDescent="0.25">
      <c r="A185" s="51">
        <v>46161</v>
      </c>
      <c r="B185" s="9" t="s">
        <v>27</v>
      </c>
      <c r="C185" s="12">
        <v>46163</v>
      </c>
      <c r="D185" s="9" t="s">
        <v>28</v>
      </c>
      <c r="E185" s="9" t="s">
        <v>32</v>
      </c>
      <c r="F185" s="13">
        <v>75600</v>
      </c>
      <c r="G185" s="39">
        <v>120</v>
      </c>
      <c r="H185" s="45">
        <v>474.67</v>
      </c>
      <c r="I185" s="45">
        <v>1049.9000000000001</v>
      </c>
      <c r="J185" s="40">
        <f>IF(D185="Short",H185-I185,I185-H185)</f>
        <v>-575.23</v>
      </c>
      <c r="K185" s="40">
        <f>J185*G185</f>
        <v>-69027.600000000006</v>
      </c>
      <c r="L185" s="40">
        <f>IF(D185="Short",G185*H185,G185*I185)</f>
        <v>56960.4</v>
      </c>
      <c r="M185" s="40">
        <f>IF(D185="Short",G185*I185,H185*G185)</f>
        <v>125988.00000000001</v>
      </c>
      <c r="N185" s="40">
        <f>L185+M185</f>
        <v>182948.40000000002</v>
      </c>
      <c r="O185" s="40">
        <f>N185*0.000134</f>
        <v>24.515085600000003</v>
      </c>
      <c r="P185" s="40">
        <f t="shared" si="2"/>
        <v>-69052.115085600002</v>
      </c>
      <c r="Q185" s="14"/>
      <c r="R185" s="14"/>
      <c r="S185" s="14"/>
    </row>
    <row r="186" spans="1:19" x14ac:dyDescent="0.25">
      <c r="A186" s="51">
        <v>46162</v>
      </c>
      <c r="B186" s="9" t="s">
        <v>31</v>
      </c>
      <c r="C186" s="12">
        <v>46168</v>
      </c>
      <c r="D186" s="9" t="s">
        <v>28</v>
      </c>
      <c r="E186" s="9" t="s">
        <v>32</v>
      </c>
      <c r="F186" s="13">
        <v>23700</v>
      </c>
      <c r="G186" s="39">
        <v>65</v>
      </c>
      <c r="H186" s="45">
        <v>265.94</v>
      </c>
      <c r="I186" s="45">
        <v>105.28</v>
      </c>
      <c r="J186" s="40">
        <f>IF(D186="Short",H186-I186,I186-H186)</f>
        <v>160.66</v>
      </c>
      <c r="K186" s="40">
        <f>J186*G186</f>
        <v>10442.9</v>
      </c>
      <c r="L186" s="40">
        <f>IF(D186="Short",G186*H186,G186*I186)</f>
        <v>17286.099999999999</v>
      </c>
      <c r="M186" s="40">
        <f>IF(D186="Short",G186*I186,H186*G186)</f>
        <v>6843.2</v>
      </c>
      <c r="N186" s="40">
        <f>L186+M186</f>
        <v>24129.3</v>
      </c>
      <c r="O186" s="40">
        <f>N186*0.000134</f>
        <v>3.2333262</v>
      </c>
      <c r="P186" s="40">
        <f t="shared" si="2"/>
        <v>10439.6666738</v>
      </c>
      <c r="Q186" s="14"/>
      <c r="R186" s="14"/>
      <c r="S186" s="14"/>
    </row>
    <row r="187" spans="1:19" x14ac:dyDescent="0.25">
      <c r="A187" s="51">
        <v>46162</v>
      </c>
      <c r="B187" s="9" t="s">
        <v>31</v>
      </c>
      <c r="C187" s="12">
        <v>46168</v>
      </c>
      <c r="D187" s="9" t="s">
        <v>30</v>
      </c>
      <c r="E187" s="9" t="s">
        <v>32</v>
      </c>
      <c r="F187" s="13">
        <v>22800</v>
      </c>
      <c r="G187" s="39">
        <v>1820</v>
      </c>
      <c r="H187" s="45">
        <v>23.81</v>
      </c>
      <c r="I187" s="45">
        <v>3.85</v>
      </c>
      <c r="J187" s="40">
        <f>IF(D187="Short",H187-I187,I187-H187)</f>
        <v>-19.959999999999997</v>
      </c>
      <c r="K187" s="40">
        <f>J187*G187</f>
        <v>-36327.199999999997</v>
      </c>
      <c r="L187" s="40">
        <f>IF(D187="Short",G187*H187,G187*I187)</f>
        <v>7007</v>
      </c>
      <c r="M187" s="40">
        <f>IF(D187="Short",G187*I187,H187*G187)</f>
        <v>43334.2</v>
      </c>
      <c r="N187" s="40">
        <f>L187+M187</f>
        <v>50341.2</v>
      </c>
      <c r="O187" s="40">
        <f>N187*0.000134</f>
        <v>6.7457208</v>
      </c>
      <c r="P187" s="40">
        <f t="shared" si="2"/>
        <v>-36333.945720799995</v>
      </c>
      <c r="Q187" s="14"/>
      <c r="R187" s="14"/>
      <c r="S187" s="14"/>
    </row>
    <row r="188" spans="1:19" x14ac:dyDescent="0.25">
      <c r="A188" s="51">
        <v>46162</v>
      </c>
      <c r="B188" s="9" t="s">
        <v>27</v>
      </c>
      <c r="C188" s="12">
        <v>46163</v>
      </c>
      <c r="D188" s="9" t="s">
        <v>28</v>
      </c>
      <c r="E188" s="9" t="s">
        <v>32</v>
      </c>
      <c r="F188" s="13">
        <v>73000</v>
      </c>
      <c r="G188" s="39">
        <v>800</v>
      </c>
      <c r="H188" s="45">
        <v>7.15</v>
      </c>
      <c r="I188" s="45">
        <v>6.68</v>
      </c>
      <c r="J188" s="40">
        <f>IF(D188="Short",H188-I188,I188-H188)</f>
        <v>0.47000000000000064</v>
      </c>
      <c r="K188" s="40">
        <f>J188*G188</f>
        <v>376.00000000000051</v>
      </c>
      <c r="L188" s="40">
        <f>IF(D188="Short",G188*H188,G188*I188)</f>
        <v>5720</v>
      </c>
      <c r="M188" s="40">
        <f>IF(D188="Short",G188*I188,H188*G188)</f>
        <v>5344</v>
      </c>
      <c r="N188" s="40">
        <f>L188+M188</f>
        <v>11064</v>
      </c>
      <c r="O188" s="40">
        <f>N188*0.000134</f>
        <v>1.4825760000000001</v>
      </c>
      <c r="P188" s="40">
        <f t="shared" si="2"/>
        <v>374.51742400000052</v>
      </c>
      <c r="Q188" s="14"/>
      <c r="R188" s="14"/>
      <c r="S188" s="14"/>
    </row>
    <row r="189" spans="1:19" x14ac:dyDescent="0.25">
      <c r="A189" s="51">
        <v>46162</v>
      </c>
      <c r="B189" s="9" t="s">
        <v>31</v>
      </c>
      <c r="C189" s="12">
        <v>46168</v>
      </c>
      <c r="D189" s="9" t="s">
        <v>28</v>
      </c>
      <c r="E189" s="9" t="s">
        <v>29</v>
      </c>
      <c r="F189" s="13">
        <v>24300</v>
      </c>
      <c r="G189" s="39">
        <v>3900</v>
      </c>
      <c r="H189" s="45">
        <v>21.08</v>
      </c>
      <c r="I189" s="45">
        <v>16.8</v>
      </c>
      <c r="J189" s="40">
        <f>IF(D189="Short",H189-I189,I189-H189)</f>
        <v>4.2799999999999976</v>
      </c>
      <c r="K189" s="40">
        <f>J189*G189</f>
        <v>16691.999999999989</v>
      </c>
      <c r="L189" s="40">
        <f>IF(D189="Short",G189*H189,G189*I189)</f>
        <v>82212</v>
      </c>
      <c r="M189" s="40">
        <f>IF(D189="Short",G189*I189,H189*G189)</f>
        <v>65520</v>
      </c>
      <c r="N189" s="40">
        <f>L189+M189</f>
        <v>147732</v>
      </c>
      <c r="O189" s="40">
        <f>N189*0.000134</f>
        <v>19.796088000000001</v>
      </c>
      <c r="P189" s="40">
        <f t="shared" si="2"/>
        <v>16672.20391199999</v>
      </c>
      <c r="Q189" s="14"/>
      <c r="R189" s="14"/>
      <c r="S189" s="14"/>
    </row>
    <row r="190" spans="1:19" x14ac:dyDescent="0.25">
      <c r="A190" s="51">
        <v>46162</v>
      </c>
      <c r="B190" s="9" t="s">
        <v>27</v>
      </c>
      <c r="C190" s="12">
        <v>46163</v>
      </c>
      <c r="D190" s="9" t="s">
        <v>28</v>
      </c>
      <c r="E190" s="9" t="s">
        <v>29</v>
      </c>
      <c r="F190" s="13">
        <v>76700</v>
      </c>
      <c r="G190" s="39">
        <v>1900</v>
      </c>
      <c r="H190" s="45">
        <v>17.649999999999999</v>
      </c>
      <c r="I190" s="45">
        <v>19.73</v>
      </c>
      <c r="J190" s="40">
        <f>IF(D190="Short",H190-I190,I190-H190)</f>
        <v>-2.0800000000000018</v>
      </c>
      <c r="K190" s="40">
        <f>J190*G190</f>
        <v>-3952.0000000000036</v>
      </c>
      <c r="L190" s="40">
        <f>IF(D190="Short",G190*H190,G190*I190)</f>
        <v>33535</v>
      </c>
      <c r="M190" s="40">
        <f>IF(D190="Short",G190*I190,H190*G190)</f>
        <v>37487</v>
      </c>
      <c r="N190" s="40">
        <f>L190+M190</f>
        <v>71022</v>
      </c>
      <c r="O190" s="40">
        <f>N190*0.000134</f>
        <v>9.5169480000000011</v>
      </c>
      <c r="P190" s="40">
        <f t="shared" si="2"/>
        <v>-3961.5169480000036</v>
      </c>
      <c r="Q190" s="14"/>
      <c r="R190" s="14"/>
      <c r="S190" s="14"/>
    </row>
    <row r="191" spans="1:19" x14ac:dyDescent="0.25">
      <c r="A191" s="51">
        <v>46162</v>
      </c>
      <c r="B191" s="9" t="s">
        <v>27</v>
      </c>
      <c r="C191" s="12">
        <v>46163</v>
      </c>
      <c r="D191" s="9" t="s">
        <v>28</v>
      </c>
      <c r="E191" s="9" t="s">
        <v>32</v>
      </c>
      <c r="F191" s="13">
        <v>75400</v>
      </c>
      <c r="G191" s="39">
        <v>240</v>
      </c>
      <c r="H191" s="45">
        <v>828.83</v>
      </c>
      <c r="I191" s="45">
        <v>135.5</v>
      </c>
      <c r="J191" s="40">
        <f>IF(D191="Short",H191-I191,I191-H191)</f>
        <v>693.33</v>
      </c>
      <c r="K191" s="40">
        <f>J191*G191</f>
        <v>166399.20000000001</v>
      </c>
      <c r="L191" s="40">
        <f>IF(D191="Short",G191*H191,G191*I191)</f>
        <v>198919.2</v>
      </c>
      <c r="M191" s="40">
        <f>IF(D191="Short",G191*I191,H191*G191)</f>
        <v>32520</v>
      </c>
      <c r="N191" s="40">
        <f>L191+M191</f>
        <v>231439.2</v>
      </c>
      <c r="O191" s="40">
        <f>N191*0.000134</f>
        <v>31.012852800000001</v>
      </c>
      <c r="P191" s="40">
        <f t="shared" si="2"/>
        <v>166368.18714720002</v>
      </c>
      <c r="Q191" s="14"/>
      <c r="R191" s="14"/>
      <c r="S191" s="14"/>
    </row>
    <row r="192" spans="1:19" x14ac:dyDescent="0.25">
      <c r="A192" s="51">
        <v>46162</v>
      </c>
      <c r="B192" s="9" t="s">
        <v>27</v>
      </c>
      <c r="C192" s="12">
        <v>46163</v>
      </c>
      <c r="D192" s="9" t="s">
        <v>30</v>
      </c>
      <c r="E192" s="9" t="s">
        <v>29</v>
      </c>
      <c r="F192" s="13">
        <v>74700</v>
      </c>
      <c r="G192" s="39">
        <v>120</v>
      </c>
      <c r="H192" s="45">
        <v>677.14</v>
      </c>
      <c r="I192" s="45">
        <v>395.77</v>
      </c>
      <c r="J192" s="40">
        <f>IF(D192="Short",H192-I192,I192-H192)</f>
        <v>-281.37</v>
      </c>
      <c r="K192" s="40">
        <f>J192*G192</f>
        <v>-33764.400000000001</v>
      </c>
      <c r="L192" s="40">
        <f>IF(D192="Short",G192*H192,G192*I192)</f>
        <v>47492.399999999994</v>
      </c>
      <c r="M192" s="40">
        <f>IF(D192="Short",G192*I192,H192*G192)</f>
        <v>81256.800000000003</v>
      </c>
      <c r="N192" s="40">
        <f>L192+M192</f>
        <v>128749.2</v>
      </c>
      <c r="O192" s="40">
        <f>N192*0.000134</f>
        <v>17.252392799999999</v>
      </c>
      <c r="P192" s="40">
        <f t="shared" si="2"/>
        <v>-33781.652392800002</v>
      </c>
      <c r="Q192" s="14"/>
      <c r="R192" s="14"/>
      <c r="S192" s="14"/>
    </row>
    <row r="193" spans="1:19" x14ac:dyDescent="0.25">
      <c r="A193" s="51">
        <v>46162</v>
      </c>
      <c r="B193" s="9" t="s">
        <v>31</v>
      </c>
      <c r="C193" s="12">
        <v>46168</v>
      </c>
      <c r="D193" s="9" t="s">
        <v>30</v>
      </c>
      <c r="E193" s="9" t="s">
        <v>29</v>
      </c>
      <c r="F193" s="13">
        <v>23450</v>
      </c>
      <c r="G193" s="39">
        <v>390</v>
      </c>
      <c r="H193" s="45">
        <v>322.06</v>
      </c>
      <c r="I193" s="45">
        <v>225.87</v>
      </c>
      <c r="J193" s="40">
        <f>IF(D193="Short",H193-I193,I193-H193)</f>
        <v>-96.19</v>
      </c>
      <c r="K193" s="40">
        <f>J193*G193</f>
        <v>-37514.1</v>
      </c>
      <c r="L193" s="40">
        <f>IF(D193="Short",G193*H193,G193*I193)</f>
        <v>88089.3</v>
      </c>
      <c r="M193" s="40">
        <f>IF(D193="Short",G193*I193,H193*G193)</f>
        <v>125603.4</v>
      </c>
      <c r="N193" s="40">
        <f>L193+M193</f>
        <v>213692.7</v>
      </c>
      <c r="O193" s="40">
        <f>N193*0.000134</f>
        <v>28.634821800000001</v>
      </c>
      <c r="P193" s="40">
        <f t="shared" si="2"/>
        <v>-37542.734821799997</v>
      </c>
      <c r="Q193" s="14"/>
      <c r="R193" s="14"/>
      <c r="S193" s="14"/>
    </row>
    <row r="194" spans="1:19" x14ac:dyDescent="0.25">
      <c r="A194" s="51">
        <v>46162</v>
      </c>
      <c r="B194" s="9" t="s">
        <v>27</v>
      </c>
      <c r="C194" s="12">
        <v>46163</v>
      </c>
      <c r="D194" s="9" t="s">
        <v>30</v>
      </c>
      <c r="E194" s="9" t="s">
        <v>32</v>
      </c>
      <c r="F194" s="13">
        <v>73600</v>
      </c>
      <c r="G194" s="39">
        <v>1200</v>
      </c>
      <c r="H194" s="45">
        <v>24.81</v>
      </c>
      <c r="I194" s="45">
        <v>0.1</v>
      </c>
      <c r="J194" s="40">
        <f>IF(D194="Short",H194-I194,I194-H194)</f>
        <v>-24.709999999999997</v>
      </c>
      <c r="K194" s="40">
        <f>J194*G194</f>
        <v>-29651.999999999996</v>
      </c>
      <c r="L194" s="40">
        <f>IF(D194="Short",G194*H194,G194*I194)</f>
        <v>120</v>
      </c>
      <c r="M194" s="40">
        <f>IF(D194="Short",G194*I194,H194*G194)</f>
        <v>29772</v>
      </c>
      <c r="N194" s="40">
        <f>L194+M194</f>
        <v>29892</v>
      </c>
      <c r="O194" s="40">
        <f>N194*0.000134</f>
        <v>4.005528</v>
      </c>
      <c r="P194" s="40">
        <f>K194-O194</f>
        <v>-29656.005527999998</v>
      </c>
      <c r="Q194" s="14"/>
      <c r="R194" s="14"/>
      <c r="S194" s="14"/>
    </row>
    <row r="195" spans="1:19" x14ac:dyDescent="0.25">
      <c r="A195" s="51">
        <v>46162</v>
      </c>
      <c r="B195" s="9" t="s">
        <v>31</v>
      </c>
      <c r="C195" s="12">
        <v>46168</v>
      </c>
      <c r="D195" s="9" t="s">
        <v>30</v>
      </c>
      <c r="E195" s="9" t="s">
        <v>29</v>
      </c>
      <c r="F195" s="13">
        <v>23400</v>
      </c>
      <c r="G195" s="39">
        <v>1950</v>
      </c>
      <c r="H195" s="45">
        <v>332.26</v>
      </c>
      <c r="I195" s="45">
        <v>245.95</v>
      </c>
      <c r="J195" s="40">
        <f>IF(D195="Short",H195-I195,I195-H195)</f>
        <v>-86.31</v>
      </c>
      <c r="K195" s="40">
        <f>J195*G195</f>
        <v>-168304.5</v>
      </c>
      <c r="L195" s="40">
        <f>IF(D195="Short",G195*H195,G195*I195)</f>
        <v>479602.5</v>
      </c>
      <c r="M195" s="40">
        <f>IF(D195="Short",G195*I195,H195*G195)</f>
        <v>647907</v>
      </c>
      <c r="N195" s="40">
        <f>L195+M195</f>
        <v>1127509.5</v>
      </c>
      <c r="O195" s="40">
        <f>N195*0.000134</f>
        <v>151.08627300000001</v>
      </c>
      <c r="P195" s="40">
        <f>K195-O195</f>
        <v>-168455.58627299999</v>
      </c>
      <c r="Q195" s="14"/>
      <c r="R195" s="14"/>
      <c r="S195" s="14"/>
    </row>
    <row r="196" spans="1:19" x14ac:dyDescent="0.25">
      <c r="A196" s="51">
        <v>46162</v>
      </c>
      <c r="B196" s="9" t="s">
        <v>27</v>
      </c>
      <c r="C196" s="12">
        <v>46163</v>
      </c>
      <c r="D196" s="9" t="s">
        <v>30</v>
      </c>
      <c r="E196" s="9" t="s">
        <v>29</v>
      </c>
      <c r="F196" s="13">
        <v>75400</v>
      </c>
      <c r="G196" s="39">
        <v>920</v>
      </c>
      <c r="H196" s="45">
        <v>319.35000000000002</v>
      </c>
      <c r="I196" s="45">
        <v>275.69</v>
      </c>
      <c r="J196" s="40">
        <f>IF(D196="Short",H196-I196,I196-H196)</f>
        <v>-43.660000000000025</v>
      </c>
      <c r="K196" s="40">
        <f>J196*G196</f>
        <v>-40167.200000000026</v>
      </c>
      <c r="L196" s="40">
        <f>IF(D196="Short",G196*H196,G196*I196)</f>
        <v>253634.8</v>
      </c>
      <c r="M196" s="40">
        <f>IF(D196="Short",G196*I196,H196*G196)</f>
        <v>293802</v>
      </c>
      <c r="N196" s="40">
        <f>L196+M196</f>
        <v>547436.80000000005</v>
      </c>
      <c r="O196" s="40">
        <f>N196*0.000134</f>
        <v>73.356531200000006</v>
      </c>
      <c r="P196" s="40">
        <f>K196-O196</f>
        <v>-40240.556531200025</v>
      </c>
      <c r="Q196" s="14"/>
      <c r="R196" s="14"/>
      <c r="S196" s="14"/>
    </row>
    <row r="197" spans="1:19" x14ac:dyDescent="0.25">
      <c r="A197" s="51">
        <v>46162</v>
      </c>
      <c r="B197" s="9" t="s">
        <v>31</v>
      </c>
      <c r="C197" s="12">
        <v>46168</v>
      </c>
      <c r="D197" s="9" t="s">
        <v>30</v>
      </c>
      <c r="E197" s="9" t="s">
        <v>29</v>
      </c>
      <c r="F197" s="13">
        <v>23700</v>
      </c>
      <c r="G197" s="39">
        <v>1560</v>
      </c>
      <c r="H197" s="45">
        <v>194.18</v>
      </c>
      <c r="I197" s="45">
        <v>189.81</v>
      </c>
      <c r="J197" s="40">
        <f>IF(D197="Short",H197-I197,I197-H197)</f>
        <v>-4.3700000000000045</v>
      </c>
      <c r="K197" s="40">
        <f>J197*G197</f>
        <v>-6817.2000000000071</v>
      </c>
      <c r="L197" s="40">
        <f>IF(D197="Short",G197*H197,G197*I197)</f>
        <v>296103.59999999998</v>
      </c>
      <c r="M197" s="40">
        <f>IF(D197="Short",G197*I197,H197*G197)</f>
        <v>302920.8</v>
      </c>
      <c r="N197" s="40">
        <f>L197+M197</f>
        <v>599024.39999999991</v>
      </c>
      <c r="O197" s="40">
        <f>N197*0.000134</f>
        <v>80.269269599999987</v>
      </c>
      <c r="P197" s="40">
        <f>K197-O197</f>
        <v>-6897.4692696000075</v>
      </c>
      <c r="Q197" s="14"/>
      <c r="R197" s="14"/>
      <c r="S197" s="14"/>
    </row>
    <row r="198" spans="1:19" x14ac:dyDescent="0.25">
      <c r="A198" s="51">
        <v>46162</v>
      </c>
      <c r="B198" s="9" t="s">
        <v>31</v>
      </c>
      <c r="C198" s="12">
        <v>46168</v>
      </c>
      <c r="D198" s="9" t="s">
        <v>28</v>
      </c>
      <c r="E198" s="9" t="s">
        <v>29</v>
      </c>
      <c r="F198" s="13">
        <v>23650</v>
      </c>
      <c r="G198" s="39">
        <v>3120</v>
      </c>
      <c r="H198" s="45">
        <v>212.94</v>
      </c>
      <c r="I198" s="45">
        <v>197.98</v>
      </c>
      <c r="J198" s="40">
        <f>IF(D198="Short",H198-I198,I198-H198)</f>
        <v>14.960000000000008</v>
      </c>
      <c r="K198" s="40">
        <f>J198*G198</f>
        <v>46675.200000000026</v>
      </c>
      <c r="L198" s="40">
        <f>IF(D198="Short",G198*H198,G198*I198)</f>
        <v>664372.80000000005</v>
      </c>
      <c r="M198" s="40">
        <f>IF(D198="Short",G198*I198,H198*G198)</f>
        <v>617697.6</v>
      </c>
      <c r="N198" s="40">
        <f>L198+M198</f>
        <v>1282070.3999999999</v>
      </c>
      <c r="O198" s="40">
        <f>N198*0.000134</f>
        <v>171.79743360000001</v>
      </c>
      <c r="P198" s="40">
        <f>K198-O198</f>
        <v>46503.402566400029</v>
      </c>
      <c r="Q198" s="14"/>
      <c r="R198" s="14"/>
      <c r="S198" s="14"/>
    </row>
    <row r="199" spans="1:19" x14ac:dyDescent="0.25">
      <c r="A199" s="51">
        <v>46162</v>
      </c>
      <c r="B199" s="9" t="s">
        <v>27</v>
      </c>
      <c r="C199" s="12">
        <v>46163</v>
      </c>
      <c r="D199" s="9" t="s">
        <v>28</v>
      </c>
      <c r="E199" s="9" t="s">
        <v>32</v>
      </c>
      <c r="F199" s="13">
        <v>75700</v>
      </c>
      <c r="G199" s="39">
        <v>140</v>
      </c>
      <c r="H199" s="45">
        <v>529.29</v>
      </c>
      <c r="I199" s="45">
        <v>1056.3699999999999</v>
      </c>
      <c r="J199" s="40">
        <f>IF(D199="Short",H199-I199,I199-H199)</f>
        <v>-527.07999999999993</v>
      </c>
      <c r="K199" s="40">
        <f>J199*G199</f>
        <v>-73791.199999999983</v>
      </c>
      <c r="L199" s="40">
        <f>IF(D199="Short",G199*H199,G199*I199)</f>
        <v>74100.599999999991</v>
      </c>
      <c r="M199" s="40">
        <f>IF(D199="Short",G199*I199,H199*G199)</f>
        <v>147891.79999999999</v>
      </c>
      <c r="N199" s="40">
        <f>L199+M199</f>
        <v>221992.39999999997</v>
      </c>
      <c r="O199" s="40">
        <f>N199*0.000134</f>
        <v>29.746981599999998</v>
      </c>
      <c r="P199" s="40">
        <f>K199-O199</f>
        <v>-73820.946981599976</v>
      </c>
      <c r="Q199" s="14"/>
      <c r="R199" s="14"/>
      <c r="S199" s="14"/>
    </row>
    <row r="200" spans="1:19" x14ac:dyDescent="0.25">
      <c r="A200" s="51">
        <v>46162</v>
      </c>
      <c r="B200" s="9" t="s">
        <v>27</v>
      </c>
      <c r="C200" s="12">
        <v>46163</v>
      </c>
      <c r="D200" s="9" t="s">
        <v>28</v>
      </c>
      <c r="E200" s="9" t="s">
        <v>32</v>
      </c>
      <c r="F200" s="13">
        <v>75400</v>
      </c>
      <c r="G200" s="39">
        <v>260</v>
      </c>
      <c r="H200" s="45">
        <v>828.83</v>
      </c>
      <c r="I200" s="45">
        <v>839.48</v>
      </c>
      <c r="J200" s="40">
        <f>IF(D200="Short",H200-I200,I200-H200)</f>
        <v>-10.649999999999977</v>
      </c>
      <c r="K200" s="40">
        <f>J200*G200</f>
        <v>-2768.9999999999941</v>
      </c>
      <c r="L200" s="40">
        <f>IF(D200="Short",G200*H200,G200*I200)</f>
        <v>215495.80000000002</v>
      </c>
      <c r="M200" s="40">
        <f>IF(D200="Short",G200*I200,H200*G200)</f>
        <v>218264.80000000002</v>
      </c>
      <c r="N200" s="40">
        <f>L200+M200</f>
        <v>433760.60000000003</v>
      </c>
      <c r="O200" s="40">
        <f>N200*0.000134</f>
        <v>58.12392040000001</v>
      </c>
      <c r="P200" s="40">
        <f>K200-O200</f>
        <v>-2827.1239203999939</v>
      </c>
      <c r="Q200" s="14"/>
      <c r="R200" s="14"/>
      <c r="S200" s="14"/>
    </row>
    <row r="201" spans="1:19" x14ac:dyDescent="0.25">
      <c r="A201" s="51">
        <v>46162</v>
      </c>
      <c r="B201" s="9" t="s">
        <v>27</v>
      </c>
      <c r="C201" s="12">
        <v>46163</v>
      </c>
      <c r="D201" s="9" t="s">
        <v>28</v>
      </c>
      <c r="E201" s="9" t="s">
        <v>32</v>
      </c>
      <c r="F201" s="13">
        <v>75200</v>
      </c>
      <c r="G201" s="39">
        <v>580</v>
      </c>
      <c r="H201" s="45">
        <v>504.04</v>
      </c>
      <c r="I201" s="45">
        <v>127.57</v>
      </c>
      <c r="J201" s="40">
        <f>IF(D201="Short",H201-I201,I201-H201)</f>
        <v>376.47</v>
      </c>
      <c r="K201" s="40">
        <f>J201*G201</f>
        <v>218352.6</v>
      </c>
      <c r="L201" s="40">
        <f>IF(D201="Short",G201*H201,G201*I201)</f>
        <v>292343.2</v>
      </c>
      <c r="M201" s="40">
        <f>IF(D201="Short",G201*I201,H201*G201)</f>
        <v>73990.599999999991</v>
      </c>
      <c r="N201" s="40">
        <f>L201+M201</f>
        <v>366333.8</v>
      </c>
      <c r="O201" s="40">
        <f>N201*0.000134</f>
        <v>49.088729200000003</v>
      </c>
      <c r="P201" s="40">
        <f>K201-O201</f>
        <v>218303.51127079999</v>
      </c>
      <c r="Q201" s="14"/>
      <c r="R201" s="14"/>
      <c r="S201" s="14"/>
    </row>
    <row r="202" spans="1:19" x14ac:dyDescent="0.25">
      <c r="A202" s="51">
        <v>46162</v>
      </c>
      <c r="B202" s="9" t="s">
        <v>27</v>
      </c>
      <c r="C202" s="12">
        <v>46163</v>
      </c>
      <c r="D202" s="9" t="s">
        <v>28</v>
      </c>
      <c r="E202" s="9" t="s">
        <v>32</v>
      </c>
      <c r="F202" s="13">
        <v>75100</v>
      </c>
      <c r="G202" s="39">
        <v>580</v>
      </c>
      <c r="H202" s="45">
        <v>385.95</v>
      </c>
      <c r="I202" s="45">
        <v>119.93</v>
      </c>
      <c r="J202" s="40">
        <f>IF(D202="Short",H202-I202,I202-H202)</f>
        <v>266.02</v>
      </c>
      <c r="K202" s="40">
        <f>J202*G202</f>
        <v>154291.59999999998</v>
      </c>
      <c r="L202" s="40">
        <f>IF(D202="Short",G202*H202,G202*I202)</f>
        <v>223851</v>
      </c>
      <c r="M202" s="40">
        <f>IF(D202="Short",G202*I202,H202*G202)</f>
        <v>69559.400000000009</v>
      </c>
      <c r="N202" s="40">
        <f>L202+M202</f>
        <v>293410.40000000002</v>
      </c>
      <c r="O202" s="40">
        <f>N202*0.000134</f>
        <v>39.316993600000004</v>
      </c>
      <c r="P202" s="40">
        <f>K202-O202</f>
        <v>154252.28300639999</v>
      </c>
      <c r="Q202" s="14"/>
      <c r="R202" s="14"/>
      <c r="S202" s="14"/>
    </row>
    <row r="203" spans="1:19" x14ac:dyDescent="0.25">
      <c r="A203" s="51">
        <v>46162</v>
      </c>
      <c r="B203" s="9" t="s">
        <v>27</v>
      </c>
      <c r="C203" s="12">
        <v>46163</v>
      </c>
      <c r="D203" s="9" t="s">
        <v>30</v>
      </c>
      <c r="E203" s="9" t="s">
        <v>29</v>
      </c>
      <c r="F203" s="13">
        <v>75200</v>
      </c>
      <c r="G203" s="39">
        <v>400</v>
      </c>
      <c r="H203" s="45">
        <v>363.09</v>
      </c>
      <c r="I203" s="45">
        <v>454.76</v>
      </c>
      <c r="J203" s="40">
        <f>IF(D203="Short",H203-I203,I203-H203)</f>
        <v>91.670000000000016</v>
      </c>
      <c r="K203" s="40">
        <f>J203*G203</f>
        <v>36668.000000000007</v>
      </c>
      <c r="L203" s="40">
        <f>IF(D203="Short",G203*H203,G203*I203)</f>
        <v>181904</v>
      </c>
      <c r="M203" s="40">
        <f>IF(D203="Short",G203*I203,H203*G203)</f>
        <v>145236</v>
      </c>
      <c r="N203" s="40">
        <f>L203+M203</f>
        <v>327140</v>
      </c>
      <c r="O203" s="40">
        <f>N203*0.000134</f>
        <v>43.836759999999998</v>
      </c>
      <c r="P203" s="40">
        <f>K203-O203</f>
        <v>36624.163240000009</v>
      </c>
      <c r="Q203" s="14"/>
      <c r="R203" s="14"/>
      <c r="S203" s="14"/>
    </row>
    <row r="204" spans="1:19" x14ac:dyDescent="0.25">
      <c r="A204" s="51">
        <v>46162</v>
      </c>
      <c r="B204" s="9" t="s">
        <v>31</v>
      </c>
      <c r="C204" s="12">
        <v>46168</v>
      </c>
      <c r="D204" s="9" t="s">
        <v>28</v>
      </c>
      <c r="E204" s="9" t="s">
        <v>32</v>
      </c>
      <c r="F204" s="13">
        <v>23650</v>
      </c>
      <c r="G204" s="39">
        <v>2990</v>
      </c>
      <c r="H204" s="45">
        <v>221.16</v>
      </c>
      <c r="I204" s="45">
        <v>343.67</v>
      </c>
      <c r="J204" s="40">
        <f>IF(D204="Short",H204-I204,I204-H204)</f>
        <v>-122.51000000000002</v>
      </c>
      <c r="K204" s="40">
        <f>J204*G204</f>
        <v>-366304.90000000008</v>
      </c>
      <c r="L204" s="40">
        <f>IF(D204="Short",G204*H204,G204*I204)</f>
        <v>661268.4</v>
      </c>
      <c r="M204" s="40">
        <f>IF(D204="Short",G204*I204,H204*G204)</f>
        <v>1027573.3</v>
      </c>
      <c r="N204" s="40">
        <f>L204+M204</f>
        <v>1688841.7000000002</v>
      </c>
      <c r="O204" s="40">
        <f>N204*0.000134</f>
        <v>226.30478780000004</v>
      </c>
      <c r="P204" s="40">
        <f>K204-O204</f>
        <v>-366531.20478780009</v>
      </c>
      <c r="Q204" s="14"/>
      <c r="R204" s="14"/>
      <c r="S204" s="14"/>
    </row>
    <row r="205" spans="1:19" x14ac:dyDescent="0.25">
      <c r="A205" s="51">
        <v>46162</v>
      </c>
      <c r="B205" s="9" t="s">
        <v>31</v>
      </c>
      <c r="C205" s="12">
        <v>46168</v>
      </c>
      <c r="D205" s="9" t="s">
        <v>28</v>
      </c>
      <c r="E205" s="9" t="s">
        <v>32</v>
      </c>
      <c r="F205" s="13">
        <v>23600</v>
      </c>
      <c r="G205" s="39">
        <v>2795</v>
      </c>
      <c r="H205" s="45">
        <v>224.69</v>
      </c>
      <c r="I205" s="45">
        <v>161.47</v>
      </c>
      <c r="J205" s="40">
        <f>IF(D205="Short",H205-I205,I205-H205)</f>
        <v>63.22</v>
      </c>
      <c r="K205" s="40">
        <f>J205*G205</f>
        <v>176699.9</v>
      </c>
      <c r="L205" s="40">
        <f>IF(D205="Short",G205*H205,G205*I205)</f>
        <v>628008.55000000005</v>
      </c>
      <c r="M205" s="40">
        <f>IF(D205="Short",G205*I205,H205*G205)</f>
        <v>451308.65</v>
      </c>
      <c r="N205" s="40">
        <f>L205+M205</f>
        <v>1079317.2000000002</v>
      </c>
      <c r="O205" s="40">
        <f>N205*0.000134</f>
        <v>144.62850480000003</v>
      </c>
      <c r="P205" s="40">
        <f>K205-O205</f>
        <v>176555.2714952</v>
      </c>
      <c r="Q205" s="14"/>
      <c r="R205" s="14"/>
      <c r="S205" s="14"/>
    </row>
    <row r="206" spans="1:19" x14ac:dyDescent="0.25">
      <c r="A206" s="51">
        <v>46162</v>
      </c>
      <c r="B206" s="9" t="s">
        <v>31</v>
      </c>
      <c r="C206" s="12">
        <v>46168</v>
      </c>
      <c r="D206" s="9" t="s">
        <v>30</v>
      </c>
      <c r="E206" s="9" t="s">
        <v>29</v>
      </c>
      <c r="F206" s="13">
        <v>23600</v>
      </c>
      <c r="G206" s="39">
        <v>455</v>
      </c>
      <c r="H206" s="45">
        <v>217.39</v>
      </c>
      <c r="I206" s="45">
        <v>197.45</v>
      </c>
      <c r="J206" s="40">
        <f>IF(D206="Short",H206-I206,I206-H206)</f>
        <v>-19.939999999999998</v>
      </c>
      <c r="K206" s="40">
        <f>J206*G206</f>
        <v>-9072.6999999999989</v>
      </c>
      <c r="L206" s="40">
        <f>IF(D206="Short",G206*H206,G206*I206)</f>
        <v>89839.75</v>
      </c>
      <c r="M206" s="40">
        <f>IF(D206="Short",G206*I206,H206*G206)</f>
        <v>98912.45</v>
      </c>
      <c r="N206" s="40">
        <f>L206+M206</f>
        <v>188752.2</v>
      </c>
      <c r="O206" s="40">
        <f>N206*0.000134</f>
        <v>25.292794800000003</v>
      </c>
      <c r="P206" s="40">
        <f>K206-O206</f>
        <v>-9097.9927947999986</v>
      </c>
      <c r="Q206" s="14"/>
      <c r="R206" s="14"/>
      <c r="S206" s="14"/>
    </row>
    <row r="207" spans="1:19" x14ac:dyDescent="0.25">
      <c r="A207" s="51">
        <v>46162</v>
      </c>
      <c r="B207" s="9" t="s">
        <v>31</v>
      </c>
      <c r="C207" s="12">
        <v>46168</v>
      </c>
      <c r="D207" s="9" t="s">
        <v>30</v>
      </c>
      <c r="E207" s="9" t="s">
        <v>29</v>
      </c>
      <c r="F207" s="13">
        <v>23550</v>
      </c>
      <c r="G207" s="39">
        <v>845</v>
      </c>
      <c r="H207" s="45">
        <v>234.88</v>
      </c>
      <c r="I207" s="45">
        <v>304.52</v>
      </c>
      <c r="J207" s="40">
        <f>IF(D207="Short",H207-I207,I207-H207)</f>
        <v>69.639999999999986</v>
      </c>
      <c r="K207" s="40">
        <f>J207*G207</f>
        <v>58845.799999999988</v>
      </c>
      <c r="L207" s="40">
        <f>IF(D207="Short",G207*H207,G207*I207)</f>
        <v>257319.4</v>
      </c>
      <c r="M207" s="40">
        <f>IF(D207="Short",G207*I207,H207*G207)</f>
        <v>198473.60000000001</v>
      </c>
      <c r="N207" s="40">
        <f>L207+M207</f>
        <v>455793</v>
      </c>
      <c r="O207" s="40">
        <f>N207*0.000134</f>
        <v>61.076262</v>
      </c>
      <c r="P207" s="40">
        <f>K207-O207</f>
        <v>58784.723737999986</v>
      </c>
      <c r="Q207" s="14"/>
      <c r="R207" s="14"/>
      <c r="S207" s="14"/>
    </row>
    <row r="208" spans="1:19" x14ac:dyDescent="0.25">
      <c r="A208" s="51">
        <v>46162</v>
      </c>
      <c r="B208" s="9" t="s">
        <v>27</v>
      </c>
      <c r="C208" s="12">
        <v>46163</v>
      </c>
      <c r="D208" s="9" t="s">
        <v>30</v>
      </c>
      <c r="E208" s="9" t="s">
        <v>29</v>
      </c>
      <c r="F208" s="13">
        <v>74600</v>
      </c>
      <c r="G208" s="39">
        <v>280</v>
      </c>
      <c r="H208" s="45">
        <v>731.8</v>
      </c>
      <c r="I208" s="45">
        <v>432.89</v>
      </c>
      <c r="J208" s="40">
        <f>IF(D208="Short",H208-I208,I208-H208)</f>
        <v>-298.90999999999997</v>
      </c>
      <c r="K208" s="40">
        <f>J208*G208</f>
        <v>-83694.799999999988</v>
      </c>
      <c r="L208" s="40">
        <f>IF(D208="Short",G208*H208,G208*I208)</f>
        <v>121209.2</v>
      </c>
      <c r="M208" s="40">
        <f>IF(D208="Short",G208*I208,H208*G208)</f>
        <v>204904</v>
      </c>
      <c r="N208" s="40">
        <f>L208+M208</f>
        <v>326113.2</v>
      </c>
      <c r="O208" s="40">
        <f>N208*0.000134</f>
        <v>43.699168800000002</v>
      </c>
      <c r="P208" s="40">
        <f>K208-O208</f>
        <v>-83738.499168799986</v>
      </c>
      <c r="Q208" s="14"/>
      <c r="R208" s="14"/>
      <c r="S208" s="14"/>
    </row>
    <row r="209" spans="1:19" x14ac:dyDescent="0.25">
      <c r="A209" s="51">
        <v>46162</v>
      </c>
      <c r="B209" s="9" t="s">
        <v>27</v>
      </c>
      <c r="C209" s="12">
        <v>46163</v>
      </c>
      <c r="D209" s="9" t="s">
        <v>30</v>
      </c>
      <c r="E209" s="9" t="s">
        <v>29</v>
      </c>
      <c r="F209" s="13">
        <v>75100</v>
      </c>
      <c r="G209" s="39">
        <v>120</v>
      </c>
      <c r="H209" s="45">
        <v>365.82</v>
      </c>
      <c r="I209" s="45">
        <v>271.2</v>
      </c>
      <c r="J209" s="40">
        <f>IF(D209="Short",H209-I209,I209-H209)</f>
        <v>-94.62</v>
      </c>
      <c r="K209" s="40">
        <f>J209*G209</f>
        <v>-11354.400000000001</v>
      </c>
      <c r="L209" s="40">
        <f>IF(D209="Short",G209*H209,G209*I209)</f>
        <v>32544</v>
      </c>
      <c r="M209" s="40">
        <f>IF(D209="Short",G209*I209,H209*G209)</f>
        <v>43898.400000000001</v>
      </c>
      <c r="N209" s="40">
        <f>L209+M209</f>
        <v>76442.399999999994</v>
      </c>
      <c r="O209" s="40">
        <f>N209*0.000134</f>
        <v>10.2432816</v>
      </c>
      <c r="P209" s="40">
        <f>K209-O209</f>
        <v>-11364.643281600002</v>
      </c>
      <c r="Q209" s="14"/>
      <c r="R209" s="14"/>
      <c r="S209" s="14"/>
    </row>
    <row r="210" spans="1:19" x14ac:dyDescent="0.25">
      <c r="A210" s="51">
        <v>46162</v>
      </c>
      <c r="B210" s="9" t="s">
        <v>31</v>
      </c>
      <c r="C210" s="12">
        <v>46168</v>
      </c>
      <c r="D210" s="9" t="s">
        <v>28</v>
      </c>
      <c r="E210" s="9" t="s">
        <v>32</v>
      </c>
      <c r="F210" s="13">
        <v>23650</v>
      </c>
      <c r="G210" s="39">
        <v>1235</v>
      </c>
      <c r="H210" s="45">
        <v>257.14</v>
      </c>
      <c r="I210" s="45">
        <v>191.99</v>
      </c>
      <c r="J210" s="40">
        <f>IF(D210="Short",H210-I210,I210-H210)</f>
        <v>65.149999999999977</v>
      </c>
      <c r="K210" s="40">
        <f>J210*G210</f>
        <v>80460.249999999971</v>
      </c>
      <c r="L210" s="40">
        <f>IF(D210="Short",G210*H210,G210*I210)</f>
        <v>317567.89999999997</v>
      </c>
      <c r="M210" s="40">
        <f>IF(D210="Short",G210*I210,H210*G210)</f>
        <v>237107.65000000002</v>
      </c>
      <c r="N210" s="40">
        <f>L210+M210</f>
        <v>554675.55000000005</v>
      </c>
      <c r="O210" s="40">
        <f>N210*0.000134</f>
        <v>74.32652370000001</v>
      </c>
      <c r="P210" s="40">
        <f>K210-O210</f>
        <v>80385.923476299969</v>
      </c>
      <c r="Q210" s="14"/>
      <c r="R210" s="14"/>
      <c r="S210" s="14"/>
    </row>
    <row r="211" spans="1:19" x14ac:dyDescent="0.25">
      <c r="A211" s="51">
        <v>46162</v>
      </c>
      <c r="B211" s="9" t="s">
        <v>27</v>
      </c>
      <c r="C211" s="12">
        <v>46163</v>
      </c>
      <c r="D211" s="9" t="s">
        <v>30</v>
      </c>
      <c r="E211" s="9" t="s">
        <v>29</v>
      </c>
      <c r="F211" s="13">
        <v>75000</v>
      </c>
      <c r="G211" s="39">
        <v>260</v>
      </c>
      <c r="H211" s="45">
        <v>377.35</v>
      </c>
      <c r="I211" s="45">
        <v>609.47</v>
      </c>
      <c r="J211" s="40">
        <f>IF(D211="Short",H211-I211,I211-H211)</f>
        <v>232.12</v>
      </c>
      <c r="K211" s="40">
        <f>J211*G211</f>
        <v>60351.200000000004</v>
      </c>
      <c r="L211" s="40">
        <f>IF(D211="Short",G211*H211,G211*I211)</f>
        <v>158462.20000000001</v>
      </c>
      <c r="M211" s="40">
        <f>IF(D211="Short",G211*I211,H211*G211)</f>
        <v>98111</v>
      </c>
      <c r="N211" s="40">
        <f>L211+M211</f>
        <v>256573.2</v>
      </c>
      <c r="O211" s="40">
        <f>N211*0.000134</f>
        <v>34.380808800000004</v>
      </c>
      <c r="P211" s="40">
        <f>K211-O211</f>
        <v>60316.819191200004</v>
      </c>
      <c r="Q211" s="14"/>
      <c r="R211" s="14"/>
      <c r="S211" s="14"/>
    </row>
    <row r="212" spans="1:19" x14ac:dyDescent="0.25">
      <c r="A212" s="51">
        <v>46162</v>
      </c>
      <c r="B212" s="9" t="s">
        <v>31</v>
      </c>
      <c r="C212" s="12">
        <v>46168</v>
      </c>
      <c r="D212" s="9" t="s">
        <v>30</v>
      </c>
      <c r="E212" s="9" t="s">
        <v>32</v>
      </c>
      <c r="F212" s="13">
        <v>22800</v>
      </c>
      <c r="G212" s="39">
        <v>1495</v>
      </c>
      <c r="H212" s="45">
        <v>25.77</v>
      </c>
      <c r="I212" s="45">
        <v>41.91</v>
      </c>
      <c r="J212" s="40">
        <f>IF(D212="Short",H212-I212,I212-H212)</f>
        <v>16.139999999999997</v>
      </c>
      <c r="K212" s="40">
        <f>J212*G212</f>
        <v>24129.299999999996</v>
      </c>
      <c r="L212" s="40">
        <f>IF(D212="Short",G212*H212,G212*I212)</f>
        <v>62655.45</v>
      </c>
      <c r="M212" s="40">
        <f>IF(D212="Short",G212*I212,H212*G212)</f>
        <v>38526.15</v>
      </c>
      <c r="N212" s="40">
        <f>L212+M212</f>
        <v>101181.6</v>
      </c>
      <c r="O212" s="40">
        <f>N212*0.000134</f>
        <v>13.558334400000001</v>
      </c>
      <c r="P212" s="40">
        <f>K212-O212</f>
        <v>24115.741665599995</v>
      </c>
      <c r="Q212" s="14"/>
      <c r="R212" s="14"/>
      <c r="S212" s="14"/>
    </row>
    <row r="213" spans="1:19" x14ac:dyDescent="0.25">
      <c r="A213" s="51">
        <v>46162</v>
      </c>
      <c r="B213" s="9" t="s">
        <v>27</v>
      </c>
      <c r="C213" s="12">
        <v>46163</v>
      </c>
      <c r="D213" s="9" t="s">
        <v>28</v>
      </c>
      <c r="E213" s="9" t="s">
        <v>29</v>
      </c>
      <c r="F213" s="13">
        <v>74700</v>
      </c>
      <c r="G213" s="39">
        <v>380</v>
      </c>
      <c r="H213" s="45">
        <v>395.77</v>
      </c>
      <c r="I213" s="45">
        <v>914.7</v>
      </c>
      <c r="J213" s="40">
        <f>IF(D213="Short",H213-I213,I213-H213)</f>
        <v>-518.93000000000006</v>
      </c>
      <c r="K213" s="40">
        <f>J213*G213</f>
        <v>-197193.40000000002</v>
      </c>
      <c r="L213" s="40">
        <f>IF(D213="Short",G213*H213,G213*I213)</f>
        <v>150392.6</v>
      </c>
      <c r="M213" s="40">
        <f>IF(D213="Short",G213*I213,H213*G213)</f>
        <v>347586</v>
      </c>
      <c r="N213" s="40">
        <f>L213+M213</f>
        <v>497978.6</v>
      </c>
      <c r="O213" s="40">
        <f>N213*0.000134</f>
        <v>66.729132399999997</v>
      </c>
      <c r="P213" s="40">
        <f>K213-O213</f>
        <v>-197260.12913240003</v>
      </c>
      <c r="Q213" s="14"/>
      <c r="R213" s="14"/>
      <c r="S213" s="14"/>
    </row>
    <row r="214" spans="1:19" x14ac:dyDescent="0.25">
      <c r="A214" s="51">
        <v>46162</v>
      </c>
      <c r="B214" s="9" t="s">
        <v>31</v>
      </c>
      <c r="C214" s="12">
        <v>46168</v>
      </c>
      <c r="D214" s="9" t="s">
        <v>28</v>
      </c>
      <c r="E214" s="9" t="s">
        <v>29</v>
      </c>
      <c r="F214" s="13">
        <v>23450</v>
      </c>
      <c r="G214" s="39">
        <v>845</v>
      </c>
      <c r="H214" s="45">
        <v>225.87</v>
      </c>
      <c r="I214" s="45">
        <v>382.39</v>
      </c>
      <c r="J214" s="40">
        <f>IF(D214="Short",H214-I214,I214-H214)</f>
        <v>-156.51999999999998</v>
      </c>
      <c r="K214" s="40">
        <f>J214*G214</f>
        <v>-132259.4</v>
      </c>
      <c r="L214" s="40">
        <f>IF(D214="Short",G214*H214,G214*I214)</f>
        <v>190860.15</v>
      </c>
      <c r="M214" s="40">
        <f>IF(D214="Short",G214*I214,H214*G214)</f>
        <v>323119.55</v>
      </c>
      <c r="N214" s="40">
        <f>L214+M214</f>
        <v>513979.69999999995</v>
      </c>
      <c r="O214" s="40">
        <f>N214*0.000134</f>
        <v>68.873279799999992</v>
      </c>
      <c r="P214" s="40">
        <f>K214-O214</f>
        <v>-132328.27327979999</v>
      </c>
      <c r="Q214" s="14"/>
      <c r="R214" s="14"/>
      <c r="S214" s="14"/>
    </row>
    <row r="215" spans="1:19" x14ac:dyDescent="0.25">
      <c r="A215" s="51">
        <v>46162</v>
      </c>
      <c r="B215" s="9" t="s">
        <v>31</v>
      </c>
      <c r="C215" s="12">
        <v>46168</v>
      </c>
      <c r="D215" s="9" t="s">
        <v>28</v>
      </c>
      <c r="E215" s="9" t="s">
        <v>29</v>
      </c>
      <c r="F215" s="13">
        <v>23400</v>
      </c>
      <c r="G215" s="39">
        <v>65</v>
      </c>
      <c r="H215" s="45">
        <v>245.95</v>
      </c>
      <c r="I215" s="45">
        <v>329.05</v>
      </c>
      <c r="J215" s="40">
        <f>IF(D215="Short",H215-I215,I215-H215)</f>
        <v>-83.100000000000023</v>
      </c>
      <c r="K215" s="40">
        <f>J215*G215</f>
        <v>-5401.5000000000018</v>
      </c>
      <c r="L215" s="40">
        <f>IF(D215="Short",G215*H215,G215*I215)</f>
        <v>15986.75</v>
      </c>
      <c r="M215" s="40">
        <f>IF(D215="Short",G215*I215,H215*G215)</f>
        <v>21388.25</v>
      </c>
      <c r="N215" s="40">
        <f>L215+M215</f>
        <v>37375</v>
      </c>
      <c r="O215" s="40">
        <f>N215*0.000134</f>
        <v>5.0082500000000003</v>
      </c>
      <c r="P215" s="40">
        <f>K215-O215</f>
        <v>-5406.5082500000017</v>
      </c>
      <c r="Q215" s="14"/>
      <c r="R215" s="14"/>
      <c r="S215" s="14"/>
    </row>
    <row r="216" spans="1:19" x14ac:dyDescent="0.25">
      <c r="A216" s="51">
        <v>46163</v>
      </c>
      <c r="B216" s="9" t="s">
        <v>27</v>
      </c>
      <c r="C216" s="12">
        <v>46169</v>
      </c>
      <c r="D216" s="9" t="s">
        <v>28</v>
      </c>
      <c r="E216" s="9" t="s">
        <v>32</v>
      </c>
      <c r="F216" s="13">
        <v>75200</v>
      </c>
      <c r="G216" s="39">
        <v>300</v>
      </c>
      <c r="H216" s="45">
        <v>622.14</v>
      </c>
      <c r="I216" s="45">
        <v>384.46</v>
      </c>
      <c r="J216" s="40">
        <f>IF(D216="Short",H216-I216,I216-H216)</f>
        <v>237.68</v>
      </c>
      <c r="K216" s="40">
        <f>J216*G216</f>
        <v>71304</v>
      </c>
      <c r="L216" s="40">
        <f>IF(D216="Short",G216*H216,G216*I216)</f>
        <v>186642</v>
      </c>
      <c r="M216" s="40">
        <f>IF(D216="Short",G216*I216,H216*G216)</f>
        <v>115338</v>
      </c>
      <c r="N216" s="40">
        <f>L216+M216</f>
        <v>301980</v>
      </c>
      <c r="O216" s="40">
        <f>N216*0.000134</f>
        <v>40.465319999999998</v>
      </c>
      <c r="P216" s="40">
        <f>K216-O216</f>
        <v>71263.534679999997</v>
      </c>
      <c r="Q216" s="14"/>
      <c r="R216" s="14"/>
      <c r="S216" s="14"/>
    </row>
    <row r="217" spans="1:19" x14ac:dyDescent="0.25">
      <c r="A217" s="51">
        <v>46163</v>
      </c>
      <c r="B217" s="9" t="s">
        <v>27</v>
      </c>
      <c r="C217" s="12">
        <v>46169</v>
      </c>
      <c r="D217" s="9" t="s">
        <v>28</v>
      </c>
      <c r="E217" s="9" t="s">
        <v>29</v>
      </c>
      <c r="F217" s="13">
        <v>75200</v>
      </c>
      <c r="G217" s="39">
        <v>600</v>
      </c>
      <c r="H217" s="45">
        <v>611.11</v>
      </c>
      <c r="I217" s="45">
        <v>775.79</v>
      </c>
      <c r="J217" s="40">
        <f>IF(D217="Short",H217-I217,I217-H217)</f>
        <v>-164.67999999999995</v>
      </c>
      <c r="K217" s="40">
        <f>J217*G217</f>
        <v>-98807.999999999971</v>
      </c>
      <c r="L217" s="40">
        <f>IF(D217="Short",G217*H217,G217*I217)</f>
        <v>366666</v>
      </c>
      <c r="M217" s="40">
        <f>IF(D217="Short",G217*I217,H217*G217)</f>
        <v>465474</v>
      </c>
      <c r="N217" s="40">
        <f>L217+M217</f>
        <v>832140</v>
      </c>
      <c r="O217" s="40">
        <f>N217*0.000134</f>
        <v>111.50676</v>
      </c>
      <c r="P217" s="40">
        <f>K217-O217</f>
        <v>-98919.506759999975</v>
      </c>
      <c r="Q217" s="14"/>
      <c r="R217" s="14"/>
      <c r="S217" s="14"/>
    </row>
    <row r="218" spans="1:19" x14ac:dyDescent="0.25">
      <c r="A218" s="51">
        <v>46163</v>
      </c>
      <c r="B218" s="9" t="s">
        <v>27</v>
      </c>
      <c r="C218" s="12">
        <v>46169</v>
      </c>
      <c r="D218" s="9" t="s">
        <v>28</v>
      </c>
      <c r="E218" s="9" t="s">
        <v>29</v>
      </c>
      <c r="F218" s="13">
        <v>75300</v>
      </c>
      <c r="G218" s="39">
        <v>580</v>
      </c>
      <c r="H218" s="45">
        <v>588.32000000000005</v>
      </c>
      <c r="I218" s="45">
        <v>758.45</v>
      </c>
      <c r="J218" s="40">
        <f>IF(D218="Short",H218-I218,I218-H218)</f>
        <v>-170.13</v>
      </c>
      <c r="K218" s="40">
        <f>J218*G218</f>
        <v>-98675.4</v>
      </c>
      <c r="L218" s="40">
        <f>IF(D218="Short",G218*H218,G218*I218)</f>
        <v>341225.60000000003</v>
      </c>
      <c r="M218" s="40">
        <f>IF(D218="Short",G218*I218,H218*G218)</f>
        <v>439901</v>
      </c>
      <c r="N218" s="40">
        <f>L218+M218</f>
        <v>781126.60000000009</v>
      </c>
      <c r="O218" s="40">
        <f>N218*0.000134</f>
        <v>104.67096440000002</v>
      </c>
      <c r="P218" s="40">
        <f>K218-O218</f>
        <v>-98780.070964399987</v>
      </c>
      <c r="Q218" s="14"/>
      <c r="R218" s="14"/>
      <c r="S218" s="14"/>
    </row>
    <row r="219" spans="1:19" x14ac:dyDescent="0.25">
      <c r="A219" s="51">
        <v>46163</v>
      </c>
      <c r="B219" s="9" t="s">
        <v>31</v>
      </c>
      <c r="C219" s="12">
        <v>46168</v>
      </c>
      <c r="D219" s="9" t="s">
        <v>28</v>
      </c>
      <c r="E219" s="9" t="s">
        <v>32</v>
      </c>
      <c r="F219" s="13">
        <v>23650</v>
      </c>
      <c r="G219" s="39">
        <v>130</v>
      </c>
      <c r="H219" s="45">
        <v>168.17</v>
      </c>
      <c r="I219" s="45">
        <v>92.98</v>
      </c>
      <c r="J219" s="40">
        <f>IF(D219="Short",H219-I219,I219-H219)</f>
        <v>75.189999999999984</v>
      </c>
      <c r="K219" s="40">
        <f>J219*G219</f>
        <v>9774.6999999999971</v>
      </c>
      <c r="L219" s="40">
        <f>IF(D219="Short",G219*H219,G219*I219)</f>
        <v>21862.1</v>
      </c>
      <c r="M219" s="40">
        <f>IF(D219="Short",G219*I219,H219*G219)</f>
        <v>12087.4</v>
      </c>
      <c r="N219" s="40">
        <f>L219+M219</f>
        <v>33949.5</v>
      </c>
      <c r="O219" s="40">
        <f>N219*0.000134</f>
        <v>4.5492330000000001</v>
      </c>
      <c r="P219" s="40">
        <f>K219-O219</f>
        <v>9770.1507669999974</v>
      </c>
      <c r="Q219" s="14"/>
      <c r="R219" s="14"/>
      <c r="S219" s="14"/>
    </row>
    <row r="220" spans="1:19" x14ac:dyDescent="0.25">
      <c r="A220" s="51">
        <v>46163</v>
      </c>
      <c r="B220" s="9" t="s">
        <v>31</v>
      </c>
      <c r="C220" s="12">
        <v>46168</v>
      </c>
      <c r="D220" s="9" t="s">
        <v>28</v>
      </c>
      <c r="E220" s="9" t="s">
        <v>29</v>
      </c>
      <c r="F220" s="13">
        <v>23600</v>
      </c>
      <c r="G220" s="39">
        <v>910</v>
      </c>
      <c r="H220" s="45">
        <v>197.45</v>
      </c>
      <c r="I220" s="45">
        <v>268.33</v>
      </c>
      <c r="J220" s="40">
        <f>IF(D220="Short",H220-I220,I220-H220)</f>
        <v>-70.88</v>
      </c>
      <c r="K220" s="40">
        <f>J220*G220</f>
        <v>-64500.799999999996</v>
      </c>
      <c r="L220" s="40">
        <f>IF(D220="Short",G220*H220,G220*I220)</f>
        <v>179679.5</v>
      </c>
      <c r="M220" s="40">
        <f>IF(D220="Short",G220*I220,H220*G220)</f>
        <v>244180.3</v>
      </c>
      <c r="N220" s="40">
        <f>L220+M220</f>
        <v>423859.8</v>
      </c>
      <c r="O220" s="40">
        <f>N220*0.000134</f>
        <v>56.797213200000002</v>
      </c>
      <c r="P220" s="40">
        <f>K220-O220</f>
        <v>-64557.597213199995</v>
      </c>
      <c r="Q220" s="14"/>
      <c r="R220" s="14"/>
      <c r="S220" s="14"/>
    </row>
    <row r="221" spans="1:19" x14ac:dyDescent="0.25">
      <c r="A221" s="51">
        <v>46163</v>
      </c>
      <c r="B221" s="9" t="s">
        <v>31</v>
      </c>
      <c r="C221" s="12">
        <v>46168</v>
      </c>
      <c r="D221" s="9" t="s">
        <v>30</v>
      </c>
      <c r="E221" s="9" t="s">
        <v>29</v>
      </c>
      <c r="F221" s="13">
        <v>24200</v>
      </c>
      <c r="G221" s="39">
        <v>1950</v>
      </c>
      <c r="H221" s="45">
        <v>20.03</v>
      </c>
      <c r="I221" s="45">
        <v>26.05</v>
      </c>
      <c r="J221" s="40">
        <f>IF(D221="Short",H221-I221,I221-H221)</f>
        <v>6.02</v>
      </c>
      <c r="K221" s="40">
        <f>J221*G221</f>
        <v>11739</v>
      </c>
      <c r="L221" s="40">
        <f>IF(D221="Short",G221*H221,G221*I221)</f>
        <v>50797.5</v>
      </c>
      <c r="M221" s="40">
        <f>IF(D221="Short",G221*I221,H221*G221)</f>
        <v>39058.5</v>
      </c>
      <c r="N221" s="40">
        <f>L221+M221</f>
        <v>89856</v>
      </c>
      <c r="O221" s="40">
        <f>N221*0.000134</f>
        <v>12.040704</v>
      </c>
      <c r="P221" s="40">
        <f>K221-O221</f>
        <v>11726.959296000001</v>
      </c>
      <c r="Q221" s="14"/>
      <c r="R221" s="14"/>
      <c r="S221" s="14"/>
    </row>
    <row r="222" spans="1:19" x14ac:dyDescent="0.25">
      <c r="A222" s="51">
        <v>46163</v>
      </c>
      <c r="B222" s="9" t="s">
        <v>31</v>
      </c>
      <c r="C222" s="12">
        <v>46168</v>
      </c>
      <c r="D222" s="9" t="s">
        <v>30</v>
      </c>
      <c r="E222" s="9" t="s">
        <v>32</v>
      </c>
      <c r="F222" s="13">
        <v>23600</v>
      </c>
      <c r="G222" s="39">
        <v>260</v>
      </c>
      <c r="H222" s="45">
        <v>161.47</v>
      </c>
      <c r="I222" s="45">
        <v>120</v>
      </c>
      <c r="J222" s="40">
        <f>IF(D222="Short",H222-I222,I222-H222)</f>
        <v>-41.47</v>
      </c>
      <c r="K222" s="40">
        <f>J222*G222</f>
        <v>-10782.199999999999</v>
      </c>
      <c r="L222" s="40">
        <f>IF(D222="Short",G222*H222,G222*I222)</f>
        <v>31200</v>
      </c>
      <c r="M222" s="40">
        <f>IF(D222="Short",G222*I222,H222*G222)</f>
        <v>41982.2</v>
      </c>
      <c r="N222" s="40">
        <f>L222+M222</f>
        <v>73182.2</v>
      </c>
      <c r="O222" s="40">
        <f>N222*0.000134</f>
        <v>9.8064148000000007</v>
      </c>
      <c r="P222" s="40">
        <f>K222-O222</f>
        <v>-10792.006414799998</v>
      </c>
      <c r="Q222" s="14"/>
      <c r="R222" s="14"/>
      <c r="S222" s="14"/>
    </row>
    <row r="223" spans="1:19" x14ac:dyDescent="0.25">
      <c r="A223" s="51">
        <v>46163</v>
      </c>
      <c r="B223" s="9" t="s">
        <v>27</v>
      </c>
      <c r="C223" s="12">
        <v>46169</v>
      </c>
      <c r="D223" s="9" t="s">
        <v>30</v>
      </c>
      <c r="E223" s="9" t="s">
        <v>32</v>
      </c>
      <c r="F223" s="13">
        <v>75100</v>
      </c>
      <c r="G223" s="39">
        <v>80</v>
      </c>
      <c r="H223" s="45">
        <v>723.21</v>
      </c>
      <c r="I223" s="45">
        <v>458.89</v>
      </c>
      <c r="J223" s="40">
        <f>IF(D223="Short",H223-I223,I223-H223)</f>
        <v>-264.32000000000005</v>
      </c>
      <c r="K223" s="40">
        <f>J223*G223</f>
        <v>-21145.600000000006</v>
      </c>
      <c r="L223" s="40">
        <f>IF(D223="Short",G223*H223,G223*I223)</f>
        <v>36711.199999999997</v>
      </c>
      <c r="M223" s="40">
        <f>IF(D223="Short",G223*I223,H223*G223)</f>
        <v>57856.800000000003</v>
      </c>
      <c r="N223" s="40">
        <f>L223+M223</f>
        <v>94568</v>
      </c>
      <c r="O223" s="40">
        <f>N223*0.000134</f>
        <v>12.672112</v>
      </c>
      <c r="P223" s="40">
        <f>K223-O223</f>
        <v>-21158.272112000006</v>
      </c>
      <c r="Q223" s="14"/>
      <c r="R223" s="14"/>
      <c r="S223" s="14"/>
    </row>
    <row r="224" spans="1:19" x14ac:dyDescent="0.25">
      <c r="A224" s="51">
        <v>46163</v>
      </c>
      <c r="B224" s="9" t="s">
        <v>31</v>
      </c>
      <c r="C224" s="12">
        <v>46168</v>
      </c>
      <c r="D224" s="9" t="s">
        <v>28</v>
      </c>
      <c r="E224" s="9" t="s">
        <v>29</v>
      </c>
      <c r="F224" s="13">
        <v>23650</v>
      </c>
      <c r="G224" s="39">
        <v>910</v>
      </c>
      <c r="H224" s="45">
        <v>160.35</v>
      </c>
      <c r="I224" s="45">
        <v>223.36</v>
      </c>
      <c r="J224" s="40">
        <f>IF(D224="Short",H224-I224,I224-H224)</f>
        <v>-63.010000000000019</v>
      </c>
      <c r="K224" s="40">
        <f>J224*G224</f>
        <v>-57339.10000000002</v>
      </c>
      <c r="L224" s="40">
        <f>IF(D224="Short",G224*H224,G224*I224)</f>
        <v>145918.5</v>
      </c>
      <c r="M224" s="40">
        <f>IF(D224="Short",G224*I224,H224*G224)</f>
        <v>203257.60000000001</v>
      </c>
      <c r="N224" s="40">
        <f>L224+M224</f>
        <v>349176.1</v>
      </c>
      <c r="O224" s="40">
        <f>N224*0.000134</f>
        <v>46.789597399999998</v>
      </c>
      <c r="P224" s="40">
        <f>K224-O224</f>
        <v>-57385.889597400019</v>
      </c>
      <c r="Q224" s="14"/>
      <c r="R224" s="14"/>
      <c r="S224" s="14"/>
    </row>
    <row r="225" spans="1:19" x14ac:dyDescent="0.25">
      <c r="A225" s="51">
        <v>46163</v>
      </c>
      <c r="B225" s="9" t="s">
        <v>27</v>
      </c>
      <c r="C225" s="12">
        <v>46169</v>
      </c>
      <c r="D225" s="9" t="s">
        <v>30</v>
      </c>
      <c r="E225" s="9" t="s">
        <v>32</v>
      </c>
      <c r="F225" s="13">
        <v>75500</v>
      </c>
      <c r="G225" s="39">
        <v>100</v>
      </c>
      <c r="H225" s="45">
        <v>660.35</v>
      </c>
      <c r="I225" s="45">
        <v>558.75</v>
      </c>
      <c r="J225" s="40">
        <f>IF(D225="Short",H225-I225,I225-H225)</f>
        <v>-101.60000000000002</v>
      </c>
      <c r="K225" s="40">
        <f>J225*G225</f>
        <v>-10160.000000000002</v>
      </c>
      <c r="L225" s="40">
        <f>IF(D225="Short",G225*H225,G225*I225)</f>
        <v>55875</v>
      </c>
      <c r="M225" s="40">
        <f>IF(D225="Short",G225*I225,H225*G225)</f>
        <v>66035</v>
      </c>
      <c r="N225" s="40">
        <f>L225+M225</f>
        <v>121910</v>
      </c>
      <c r="O225" s="40">
        <f>N225*0.000134</f>
        <v>16.335940000000001</v>
      </c>
      <c r="P225" s="40">
        <f>K225-O225</f>
        <v>-10176.335940000003</v>
      </c>
      <c r="Q225" s="14"/>
      <c r="R225" s="14"/>
      <c r="S225" s="14"/>
    </row>
    <row r="226" spans="1:19" x14ac:dyDescent="0.25">
      <c r="A226" s="51">
        <v>46163</v>
      </c>
      <c r="B226" s="9" t="s">
        <v>31</v>
      </c>
      <c r="C226" s="12">
        <v>46168</v>
      </c>
      <c r="D226" s="9" t="s">
        <v>28</v>
      </c>
      <c r="E226" s="9" t="s">
        <v>29</v>
      </c>
      <c r="F226" s="13">
        <v>23700</v>
      </c>
      <c r="G226" s="39">
        <v>910</v>
      </c>
      <c r="H226" s="45">
        <v>189.81</v>
      </c>
      <c r="I226" s="45">
        <v>173.18</v>
      </c>
      <c r="J226" s="40">
        <f>IF(D226="Short",H226-I226,I226-H226)</f>
        <v>16.629999999999995</v>
      </c>
      <c r="K226" s="40">
        <f>J226*G226</f>
        <v>15133.299999999996</v>
      </c>
      <c r="L226" s="40">
        <f>IF(D226="Short",G226*H226,G226*I226)</f>
        <v>172727.1</v>
      </c>
      <c r="M226" s="40">
        <f>IF(D226="Short",G226*I226,H226*G226)</f>
        <v>157593.80000000002</v>
      </c>
      <c r="N226" s="40">
        <f>L226+M226</f>
        <v>330320.90000000002</v>
      </c>
      <c r="O226" s="40">
        <f>N226*0.000134</f>
        <v>44.263000600000005</v>
      </c>
      <c r="P226" s="40">
        <f>K226-O226</f>
        <v>15089.036999399996</v>
      </c>
      <c r="Q226" s="14"/>
      <c r="R226" s="14"/>
      <c r="S226" s="14"/>
    </row>
    <row r="227" spans="1:19" x14ac:dyDescent="0.25">
      <c r="A227" s="51">
        <v>46163</v>
      </c>
      <c r="B227" s="9" t="s">
        <v>31</v>
      </c>
      <c r="C227" s="12">
        <v>46168</v>
      </c>
      <c r="D227" s="9" t="s">
        <v>28</v>
      </c>
      <c r="E227" s="9" t="s">
        <v>32</v>
      </c>
      <c r="F227" s="13">
        <v>23850</v>
      </c>
      <c r="G227" s="39">
        <v>1235</v>
      </c>
      <c r="H227" s="45">
        <v>225.74</v>
      </c>
      <c r="I227" s="45">
        <v>5.8</v>
      </c>
      <c r="J227" s="40">
        <f>IF(D227="Short",H227-I227,I227-H227)</f>
        <v>219.94</v>
      </c>
      <c r="K227" s="40">
        <f>J227*G227</f>
        <v>271625.90000000002</v>
      </c>
      <c r="L227" s="40">
        <f>IF(D227="Short",G227*H227,G227*I227)</f>
        <v>278788.90000000002</v>
      </c>
      <c r="M227" s="40">
        <f>IF(D227="Short",G227*I227,H227*G227)</f>
        <v>7163</v>
      </c>
      <c r="N227" s="40">
        <f>L227+M227</f>
        <v>285951.90000000002</v>
      </c>
      <c r="O227" s="40">
        <f>N227*0.000134</f>
        <v>38.317554600000001</v>
      </c>
      <c r="P227" s="40">
        <f>K227-O227</f>
        <v>271587.58244540001</v>
      </c>
      <c r="Q227" s="14"/>
      <c r="R227" s="14"/>
      <c r="S227" s="14"/>
    </row>
    <row r="228" spans="1:19" x14ac:dyDescent="0.25">
      <c r="A228" s="51">
        <v>46163</v>
      </c>
      <c r="B228" s="9" t="s">
        <v>27</v>
      </c>
      <c r="C228" s="12">
        <v>46163</v>
      </c>
      <c r="D228" s="9" t="s">
        <v>28</v>
      </c>
      <c r="E228" s="9" t="s">
        <v>32</v>
      </c>
      <c r="F228" s="13">
        <v>75900</v>
      </c>
      <c r="G228" s="39">
        <v>560</v>
      </c>
      <c r="H228" s="45">
        <v>468</v>
      </c>
      <c r="I228" s="45">
        <v>644.37</v>
      </c>
      <c r="J228" s="40">
        <f>IF(D228="Short",H228-I228,I228-H228)</f>
        <v>-176.37</v>
      </c>
      <c r="K228" s="40">
        <f>J228*G228</f>
        <v>-98767.2</v>
      </c>
      <c r="L228" s="40">
        <f>IF(D228="Short",G228*H228,G228*I228)</f>
        <v>262080</v>
      </c>
      <c r="M228" s="40">
        <f>IF(D228="Short",G228*I228,H228*G228)</f>
        <v>360847.2</v>
      </c>
      <c r="N228" s="40">
        <f>L228+M228</f>
        <v>622927.19999999995</v>
      </c>
      <c r="O228" s="40">
        <f>N228*0.000134</f>
        <v>83.472244799999999</v>
      </c>
      <c r="P228" s="40">
        <f>K228-O228</f>
        <v>-98850.672244799993</v>
      </c>
      <c r="Q228" s="14"/>
      <c r="R228" s="14"/>
      <c r="S228" s="14"/>
    </row>
    <row r="229" spans="1:19" x14ac:dyDescent="0.25">
      <c r="A229" s="51">
        <v>46163</v>
      </c>
      <c r="B229" s="9" t="s">
        <v>27</v>
      </c>
      <c r="C229" s="12">
        <v>46163</v>
      </c>
      <c r="D229" s="9" t="s">
        <v>28</v>
      </c>
      <c r="E229" s="9" t="s">
        <v>29</v>
      </c>
      <c r="F229" s="13">
        <v>75100</v>
      </c>
      <c r="G229" s="39">
        <v>320</v>
      </c>
      <c r="H229" s="45">
        <v>271.2</v>
      </c>
      <c r="I229" s="45">
        <v>124.4</v>
      </c>
      <c r="J229" s="40">
        <f>IF(D229="Short",H229-I229,I229-H229)</f>
        <v>146.79999999999998</v>
      </c>
      <c r="K229" s="40">
        <f>J229*G229</f>
        <v>46975.999999999993</v>
      </c>
      <c r="L229" s="40">
        <f>IF(D229="Short",G229*H229,G229*I229)</f>
        <v>86784</v>
      </c>
      <c r="M229" s="40">
        <f>IF(D229="Short",G229*I229,H229*G229)</f>
        <v>39808</v>
      </c>
      <c r="N229" s="40">
        <f>L229+M229</f>
        <v>126592</v>
      </c>
      <c r="O229" s="40">
        <f>N229*0.000134</f>
        <v>16.963328000000001</v>
      </c>
      <c r="P229" s="40">
        <f>K229-O229</f>
        <v>46959.036671999995</v>
      </c>
      <c r="Q229" s="14"/>
      <c r="R229" s="14"/>
      <c r="S229" s="14"/>
    </row>
    <row r="230" spans="1:19" x14ac:dyDescent="0.25">
      <c r="A230" s="51">
        <v>46163</v>
      </c>
      <c r="B230" s="9" t="s">
        <v>27</v>
      </c>
      <c r="C230" s="12">
        <v>46163</v>
      </c>
      <c r="D230" s="9" t="s">
        <v>28</v>
      </c>
      <c r="E230" s="9" t="s">
        <v>32</v>
      </c>
      <c r="F230" s="13">
        <v>74600</v>
      </c>
      <c r="G230" s="39">
        <v>300</v>
      </c>
      <c r="H230" s="45">
        <v>6.14</v>
      </c>
      <c r="I230" s="45">
        <v>12.55</v>
      </c>
      <c r="J230" s="40">
        <f>IF(D230="Short",H230-I230,I230-H230)</f>
        <v>-6.410000000000001</v>
      </c>
      <c r="K230" s="40">
        <f>J230*G230</f>
        <v>-1923.0000000000002</v>
      </c>
      <c r="L230" s="40">
        <f>IF(D230="Short",G230*H230,G230*I230)</f>
        <v>1842</v>
      </c>
      <c r="M230" s="40">
        <f>IF(D230="Short",G230*I230,H230*G230)</f>
        <v>3765</v>
      </c>
      <c r="N230" s="40">
        <f>L230+M230</f>
        <v>5607</v>
      </c>
      <c r="O230" s="40">
        <f>N230*0.000134</f>
        <v>0.75133800000000006</v>
      </c>
      <c r="P230" s="40">
        <f>K230-O230</f>
        <v>-1923.7513380000003</v>
      </c>
      <c r="Q230" s="14"/>
      <c r="R230" s="14"/>
      <c r="S230" s="14"/>
    </row>
    <row r="231" spans="1:19" x14ac:dyDescent="0.25">
      <c r="A231" s="51">
        <v>46163</v>
      </c>
      <c r="B231" s="9" t="s">
        <v>31</v>
      </c>
      <c r="C231" s="12">
        <v>46168</v>
      </c>
      <c r="D231" s="9" t="s">
        <v>30</v>
      </c>
      <c r="E231" s="9" t="s">
        <v>32</v>
      </c>
      <c r="F231" s="13">
        <v>23650</v>
      </c>
      <c r="G231" s="39">
        <v>975</v>
      </c>
      <c r="H231" s="45">
        <v>191.99</v>
      </c>
      <c r="I231" s="45">
        <v>168.17</v>
      </c>
      <c r="J231" s="40">
        <f>IF(D231="Short",H231-I231,I231-H231)</f>
        <v>-23.820000000000022</v>
      </c>
      <c r="K231" s="40">
        <f>J231*G231</f>
        <v>-23224.500000000022</v>
      </c>
      <c r="L231" s="40">
        <f>IF(D231="Short",G231*H231,G231*I231)</f>
        <v>163965.75</v>
      </c>
      <c r="M231" s="40">
        <f>IF(D231="Short",G231*I231,H231*G231)</f>
        <v>187190.25</v>
      </c>
      <c r="N231" s="40">
        <f>L231+M231</f>
        <v>351156</v>
      </c>
      <c r="O231" s="40">
        <f>N231*0.000134</f>
        <v>47.054904000000001</v>
      </c>
      <c r="P231" s="40">
        <f>K231-O231</f>
        <v>-23271.554904000022</v>
      </c>
      <c r="Q231" s="14"/>
      <c r="R231" s="14"/>
      <c r="S231" s="14"/>
    </row>
    <row r="232" spans="1:19" x14ac:dyDescent="0.25">
      <c r="A232" s="51">
        <v>46163</v>
      </c>
      <c r="B232" s="9" t="s">
        <v>27</v>
      </c>
      <c r="C232" s="12">
        <v>46163</v>
      </c>
      <c r="D232" s="9" t="s">
        <v>28</v>
      </c>
      <c r="E232" s="9" t="s">
        <v>29</v>
      </c>
      <c r="F232" s="13">
        <v>75300</v>
      </c>
      <c r="G232" s="39">
        <v>620</v>
      </c>
      <c r="H232" s="45">
        <v>153.6</v>
      </c>
      <c r="I232" s="45">
        <v>5.07</v>
      </c>
      <c r="J232" s="40">
        <f>IF(D232="Short",H232-I232,I232-H232)</f>
        <v>148.53</v>
      </c>
      <c r="K232" s="40">
        <f>J232*G232</f>
        <v>92088.6</v>
      </c>
      <c r="L232" s="40">
        <f>IF(D232="Short",G232*H232,G232*I232)</f>
        <v>95232</v>
      </c>
      <c r="M232" s="40">
        <f>IF(D232="Short",G232*I232,H232*G232)</f>
        <v>3143.4</v>
      </c>
      <c r="N232" s="40">
        <f>L232+M232</f>
        <v>98375.4</v>
      </c>
      <c r="O232" s="40">
        <f>N232*0.000134</f>
        <v>13.182303599999999</v>
      </c>
      <c r="P232" s="40">
        <f>K232-O232</f>
        <v>92075.417696400007</v>
      </c>
      <c r="Q232" s="14"/>
      <c r="R232" s="14"/>
      <c r="S232" s="14"/>
    </row>
    <row r="233" spans="1:19" x14ac:dyDescent="0.25">
      <c r="A233" s="51">
        <v>46163</v>
      </c>
      <c r="B233" s="9" t="s">
        <v>27</v>
      </c>
      <c r="C233" s="12">
        <v>46163</v>
      </c>
      <c r="D233" s="9" t="s">
        <v>28</v>
      </c>
      <c r="E233" s="9" t="s">
        <v>29</v>
      </c>
      <c r="F233" s="13">
        <v>75400</v>
      </c>
      <c r="G233" s="39">
        <v>300</v>
      </c>
      <c r="H233" s="45">
        <v>275.69</v>
      </c>
      <c r="I233" s="45">
        <v>26.22</v>
      </c>
      <c r="J233" s="40">
        <f>IF(D233="Short",H233-I233,I233-H233)</f>
        <v>249.47</v>
      </c>
      <c r="K233" s="40">
        <f>J233*G233</f>
        <v>74841</v>
      </c>
      <c r="L233" s="40">
        <f>IF(D233="Short",G233*H233,G233*I233)</f>
        <v>82707</v>
      </c>
      <c r="M233" s="40">
        <f>IF(D233="Short",G233*I233,H233*G233)</f>
        <v>7866</v>
      </c>
      <c r="N233" s="40">
        <f>L233+M233</f>
        <v>90573</v>
      </c>
      <c r="O233" s="40">
        <f>N233*0.000134</f>
        <v>12.136782</v>
      </c>
      <c r="P233" s="40">
        <f>K233-O233</f>
        <v>74828.863217999999</v>
      </c>
      <c r="Q233" s="14"/>
      <c r="R233" s="14"/>
      <c r="S233" s="14"/>
    </row>
    <row r="234" spans="1:19" x14ac:dyDescent="0.25">
      <c r="A234" s="51">
        <v>46163</v>
      </c>
      <c r="B234" s="9" t="s">
        <v>27</v>
      </c>
      <c r="C234" s="12">
        <v>46163</v>
      </c>
      <c r="D234" s="9" t="s">
        <v>28</v>
      </c>
      <c r="E234" s="9" t="s">
        <v>29</v>
      </c>
      <c r="F234" s="13">
        <v>75500</v>
      </c>
      <c r="G234" s="39">
        <v>20</v>
      </c>
      <c r="H234" s="45">
        <v>0.25</v>
      </c>
      <c r="I234" s="45">
        <v>89.29</v>
      </c>
      <c r="J234" s="40">
        <f>IF(D234="Short",H234-I234,I234-H234)</f>
        <v>-89.04</v>
      </c>
      <c r="K234" s="40">
        <f>J234*G234</f>
        <v>-1780.8000000000002</v>
      </c>
      <c r="L234" s="40">
        <f>IF(D234="Short",G234*H234,G234*I234)</f>
        <v>5</v>
      </c>
      <c r="M234" s="40">
        <f>IF(D234="Short",G234*I234,H234*G234)</f>
        <v>1785.8000000000002</v>
      </c>
      <c r="N234" s="40">
        <f>L234+M234</f>
        <v>1790.8000000000002</v>
      </c>
      <c r="O234" s="40">
        <f>N234*0.000134</f>
        <v>0.23996720000000002</v>
      </c>
      <c r="P234" s="40">
        <f>K234-O234</f>
        <v>-1781.0399672000001</v>
      </c>
      <c r="Q234" s="14"/>
      <c r="R234" s="14"/>
      <c r="S234" s="14"/>
    </row>
    <row r="235" spans="1:19" x14ac:dyDescent="0.25">
      <c r="A235" s="51">
        <v>46163</v>
      </c>
      <c r="B235" s="9" t="s">
        <v>27</v>
      </c>
      <c r="C235" s="12">
        <v>46163</v>
      </c>
      <c r="D235" s="9" t="s">
        <v>28</v>
      </c>
      <c r="E235" s="9" t="s">
        <v>32</v>
      </c>
      <c r="F235" s="13">
        <v>75200</v>
      </c>
      <c r="G235" s="39">
        <v>880</v>
      </c>
      <c r="H235" s="45">
        <v>48.42</v>
      </c>
      <c r="I235" s="45">
        <v>127.57</v>
      </c>
      <c r="J235" s="40">
        <f>IF(D235="Short",H235-I235,I235-H235)</f>
        <v>-79.149999999999991</v>
      </c>
      <c r="K235" s="40">
        <f>J235*G235</f>
        <v>-69651.999999999985</v>
      </c>
      <c r="L235" s="40">
        <f>IF(D235="Short",G235*H235,G235*I235)</f>
        <v>42609.599999999999</v>
      </c>
      <c r="M235" s="40">
        <f>IF(D235="Short",G235*I235,H235*G235)</f>
        <v>112261.59999999999</v>
      </c>
      <c r="N235" s="40">
        <f>L235+M235</f>
        <v>154871.19999999998</v>
      </c>
      <c r="O235" s="40">
        <f>N235*0.000134</f>
        <v>20.752740799999998</v>
      </c>
      <c r="P235" s="40">
        <f>K235-O235</f>
        <v>-69672.752740799988</v>
      </c>
      <c r="Q235" s="14"/>
      <c r="R235" s="14"/>
      <c r="S235" s="14"/>
    </row>
    <row r="236" spans="1:19" x14ac:dyDescent="0.25">
      <c r="A236" s="51">
        <v>46163</v>
      </c>
      <c r="B236" s="9" t="s">
        <v>27</v>
      </c>
      <c r="C236" s="12">
        <v>46163</v>
      </c>
      <c r="D236" s="9" t="s">
        <v>30</v>
      </c>
      <c r="E236" s="9" t="s">
        <v>32</v>
      </c>
      <c r="F236" s="13">
        <v>75500</v>
      </c>
      <c r="G236" s="39">
        <v>120</v>
      </c>
      <c r="H236" s="45">
        <v>206.64</v>
      </c>
      <c r="I236" s="45">
        <v>291</v>
      </c>
      <c r="J236" s="40">
        <f>IF(D236="Short",H236-I236,I236-H236)</f>
        <v>84.360000000000014</v>
      </c>
      <c r="K236" s="40">
        <f>J236*G236</f>
        <v>10123.200000000001</v>
      </c>
      <c r="L236" s="40">
        <f>IF(D236="Short",G236*H236,G236*I236)</f>
        <v>34920</v>
      </c>
      <c r="M236" s="40">
        <f>IF(D236="Short",G236*I236,H236*G236)</f>
        <v>24796.799999999999</v>
      </c>
      <c r="N236" s="40">
        <f>L236+M236</f>
        <v>59716.800000000003</v>
      </c>
      <c r="O236" s="40">
        <f>N236*0.000134</f>
        <v>8.0020512000000004</v>
      </c>
      <c r="P236" s="40">
        <f>K236-O236</f>
        <v>10115.197948800002</v>
      </c>
      <c r="Q236" s="14"/>
      <c r="R236" s="14"/>
      <c r="S236" s="14"/>
    </row>
    <row r="237" spans="1:19" x14ac:dyDescent="0.25">
      <c r="A237" s="51">
        <v>46163</v>
      </c>
      <c r="B237" s="9" t="s">
        <v>27</v>
      </c>
      <c r="C237" s="12">
        <v>46169</v>
      </c>
      <c r="D237" s="9" t="s">
        <v>30</v>
      </c>
      <c r="E237" s="9" t="s">
        <v>32</v>
      </c>
      <c r="F237" s="13">
        <v>75200</v>
      </c>
      <c r="G237" s="39">
        <v>280</v>
      </c>
      <c r="H237" s="45">
        <v>669.22</v>
      </c>
      <c r="I237" s="45">
        <v>622.14</v>
      </c>
      <c r="J237" s="40">
        <f>IF(D237="Short",H237-I237,I237-H237)</f>
        <v>-47.080000000000041</v>
      </c>
      <c r="K237" s="40">
        <f>J237*G237</f>
        <v>-13182.400000000012</v>
      </c>
      <c r="L237" s="40">
        <f>IF(D237="Short",G237*H237,G237*I237)</f>
        <v>174199.19999999998</v>
      </c>
      <c r="M237" s="40">
        <f>IF(D237="Short",G237*I237,H237*G237)</f>
        <v>187381.6</v>
      </c>
      <c r="N237" s="40">
        <f>L237+M237</f>
        <v>361580.79999999999</v>
      </c>
      <c r="O237" s="40">
        <f>N237*0.000134</f>
        <v>48.451827199999997</v>
      </c>
      <c r="P237" s="40">
        <f>K237-O237</f>
        <v>-13230.851827200013</v>
      </c>
      <c r="Q237" s="14"/>
      <c r="R237" s="14"/>
      <c r="S237" s="14"/>
    </row>
    <row r="238" spans="1:19" x14ac:dyDescent="0.25">
      <c r="A238" s="51">
        <v>46163</v>
      </c>
      <c r="B238" s="9" t="s">
        <v>27</v>
      </c>
      <c r="C238" s="12">
        <v>46163</v>
      </c>
      <c r="D238" s="9" t="s">
        <v>28</v>
      </c>
      <c r="E238" s="9" t="s">
        <v>32</v>
      </c>
      <c r="F238" s="13">
        <v>75400</v>
      </c>
      <c r="G238" s="39">
        <v>220</v>
      </c>
      <c r="H238" s="45">
        <v>211.37</v>
      </c>
      <c r="I238" s="45">
        <v>135.5</v>
      </c>
      <c r="J238" s="40">
        <f>IF(D238="Short",H238-I238,I238-H238)</f>
        <v>75.87</v>
      </c>
      <c r="K238" s="40">
        <f>J238*G238</f>
        <v>16691.400000000001</v>
      </c>
      <c r="L238" s="40">
        <f>IF(D238="Short",G238*H238,G238*I238)</f>
        <v>46501.4</v>
      </c>
      <c r="M238" s="40">
        <f>IF(D238="Short",G238*I238,H238*G238)</f>
        <v>29810</v>
      </c>
      <c r="N238" s="40">
        <f>L238+M238</f>
        <v>76311.399999999994</v>
      </c>
      <c r="O238" s="40">
        <f>N238*0.000134</f>
        <v>10.225727599999999</v>
      </c>
      <c r="P238" s="40">
        <f>K238-O238</f>
        <v>16681.174272400003</v>
      </c>
      <c r="Q238" s="14"/>
      <c r="R238" s="14"/>
      <c r="S238" s="14"/>
    </row>
    <row r="239" spans="1:19" x14ac:dyDescent="0.25">
      <c r="A239" s="51">
        <v>46163</v>
      </c>
      <c r="B239" s="9" t="s">
        <v>27</v>
      </c>
      <c r="C239" s="12">
        <v>46163</v>
      </c>
      <c r="D239" s="9" t="s">
        <v>28</v>
      </c>
      <c r="E239" s="9" t="s">
        <v>32</v>
      </c>
      <c r="F239" s="13">
        <v>75300</v>
      </c>
      <c r="G239" s="39">
        <v>440</v>
      </c>
      <c r="H239" s="45">
        <v>119.2</v>
      </c>
      <c r="I239" s="45">
        <v>203.24</v>
      </c>
      <c r="J239" s="40">
        <f>IF(D239="Short",H239-I239,I239-H239)</f>
        <v>-84.04</v>
      </c>
      <c r="K239" s="40">
        <f>J239*G239</f>
        <v>-36977.600000000006</v>
      </c>
      <c r="L239" s="40">
        <f>IF(D239="Short",G239*H239,G239*I239)</f>
        <v>52448</v>
      </c>
      <c r="M239" s="40">
        <f>IF(D239="Short",G239*I239,H239*G239)</f>
        <v>89425.600000000006</v>
      </c>
      <c r="N239" s="40">
        <f>L239+M239</f>
        <v>141873.60000000001</v>
      </c>
      <c r="O239" s="40">
        <f>N239*0.000134</f>
        <v>19.0110624</v>
      </c>
      <c r="P239" s="40">
        <f>K239-O239</f>
        <v>-36996.611062400007</v>
      </c>
      <c r="Q239" s="14"/>
      <c r="R239" s="14"/>
      <c r="S239" s="14"/>
    </row>
    <row r="240" spans="1:19" x14ac:dyDescent="0.25">
      <c r="A240" s="51">
        <v>46163</v>
      </c>
      <c r="B240" s="9" t="s">
        <v>27</v>
      </c>
      <c r="C240" s="12">
        <v>46163</v>
      </c>
      <c r="D240" s="9" t="s">
        <v>28</v>
      </c>
      <c r="E240" s="9" t="s">
        <v>32</v>
      </c>
      <c r="F240" s="13">
        <v>75100</v>
      </c>
      <c r="G240" s="39">
        <v>320</v>
      </c>
      <c r="H240" s="45">
        <v>37.83</v>
      </c>
      <c r="I240" s="45">
        <v>119.93</v>
      </c>
      <c r="J240" s="40">
        <f>IF(D240="Short",H240-I240,I240-H240)</f>
        <v>-82.100000000000009</v>
      </c>
      <c r="K240" s="40">
        <f>J240*G240</f>
        <v>-26272.000000000004</v>
      </c>
      <c r="L240" s="40">
        <f>IF(D240="Short",G240*H240,G240*I240)</f>
        <v>12105.599999999999</v>
      </c>
      <c r="M240" s="40">
        <f>IF(D240="Short",G240*I240,H240*G240)</f>
        <v>38377.600000000006</v>
      </c>
      <c r="N240" s="40">
        <f>L240+M240</f>
        <v>50483.200000000004</v>
      </c>
      <c r="O240" s="40">
        <f>N240*0.000134</f>
        <v>6.7647488000000005</v>
      </c>
      <c r="P240" s="40">
        <f>K240-O240</f>
        <v>-26278.764748800004</v>
      </c>
      <c r="Q240" s="14"/>
      <c r="R240" s="14"/>
      <c r="S240" s="14"/>
    </row>
    <row r="241" spans="1:19" x14ac:dyDescent="0.25">
      <c r="A241" s="51">
        <v>46163</v>
      </c>
      <c r="B241" s="9" t="s">
        <v>31</v>
      </c>
      <c r="C241" s="12">
        <v>46168</v>
      </c>
      <c r="D241" s="9" t="s">
        <v>28</v>
      </c>
      <c r="E241" s="9" t="s">
        <v>32</v>
      </c>
      <c r="F241" s="13">
        <v>23700</v>
      </c>
      <c r="G241" s="39">
        <v>1495</v>
      </c>
      <c r="H241" s="45">
        <v>265.94</v>
      </c>
      <c r="I241" s="45">
        <v>186.43</v>
      </c>
      <c r="J241" s="40">
        <f>IF(D241="Short",H241-I241,I241-H241)</f>
        <v>79.509999999999991</v>
      </c>
      <c r="K241" s="40">
        <f>J241*G241</f>
        <v>118867.44999999998</v>
      </c>
      <c r="L241" s="40">
        <f>IF(D241="Short",G241*H241,G241*I241)</f>
        <v>397580.3</v>
      </c>
      <c r="M241" s="40">
        <f>IF(D241="Short",G241*I241,H241*G241)</f>
        <v>278712.85000000003</v>
      </c>
      <c r="N241" s="40">
        <f>L241+M241</f>
        <v>676293.15</v>
      </c>
      <c r="O241" s="40">
        <f>N241*0.000134</f>
        <v>90.623282100000011</v>
      </c>
      <c r="P241" s="40">
        <f>K241-O241</f>
        <v>118776.82671789998</v>
      </c>
      <c r="Q241" s="14"/>
      <c r="R241" s="14"/>
      <c r="S241" s="14"/>
    </row>
    <row r="242" spans="1:19" x14ac:dyDescent="0.25">
      <c r="A242" s="51">
        <v>46163</v>
      </c>
      <c r="B242" s="9" t="s">
        <v>31</v>
      </c>
      <c r="C242" s="12">
        <v>46168</v>
      </c>
      <c r="D242" s="9" t="s">
        <v>28</v>
      </c>
      <c r="E242" s="9" t="s">
        <v>32</v>
      </c>
      <c r="F242" s="13">
        <v>23600</v>
      </c>
      <c r="G242" s="39">
        <v>130</v>
      </c>
      <c r="H242" s="45">
        <v>144.4</v>
      </c>
      <c r="I242" s="45">
        <v>161.47</v>
      </c>
      <c r="J242" s="40">
        <f>IF(D242="Short",H242-I242,I242-H242)</f>
        <v>-17.069999999999993</v>
      </c>
      <c r="K242" s="40">
        <f>J242*G242</f>
        <v>-2219.099999999999</v>
      </c>
      <c r="L242" s="40">
        <f>IF(D242="Short",G242*H242,G242*I242)</f>
        <v>18772</v>
      </c>
      <c r="M242" s="40">
        <f>IF(D242="Short",G242*I242,H242*G242)</f>
        <v>20991.1</v>
      </c>
      <c r="N242" s="40">
        <f>L242+M242</f>
        <v>39763.1</v>
      </c>
      <c r="O242" s="40">
        <f>N242*0.000134</f>
        <v>5.3282553999999998</v>
      </c>
      <c r="P242" s="40">
        <f>K242-O242</f>
        <v>-2224.4282553999992</v>
      </c>
      <c r="Q242" s="14"/>
      <c r="R242" s="14"/>
      <c r="S242" s="14"/>
    </row>
    <row r="243" spans="1:19" x14ac:dyDescent="0.25">
      <c r="A243" s="51">
        <v>46163</v>
      </c>
      <c r="B243" s="9" t="s">
        <v>31</v>
      </c>
      <c r="C243" s="12">
        <v>46168</v>
      </c>
      <c r="D243" s="9" t="s">
        <v>28</v>
      </c>
      <c r="E243" s="9" t="s">
        <v>29</v>
      </c>
      <c r="F243" s="13">
        <v>23650</v>
      </c>
      <c r="G243" s="39">
        <v>455</v>
      </c>
      <c r="H243" s="45">
        <v>212.94</v>
      </c>
      <c r="I243" s="45">
        <v>235.64</v>
      </c>
      <c r="J243" s="40">
        <f>IF(D243="Short",H243-I243,I243-H243)</f>
        <v>-22.699999999999989</v>
      </c>
      <c r="K243" s="40">
        <f>J243*G243</f>
        <v>-10328.499999999995</v>
      </c>
      <c r="L243" s="40">
        <f>IF(D243="Short",G243*H243,G243*I243)</f>
        <v>96887.7</v>
      </c>
      <c r="M243" s="40">
        <f>IF(D243="Short",G243*I243,H243*G243)</f>
        <v>107216.2</v>
      </c>
      <c r="N243" s="40">
        <f>L243+M243</f>
        <v>204103.9</v>
      </c>
      <c r="O243" s="40">
        <f>N243*0.000134</f>
        <v>27.349922599999999</v>
      </c>
      <c r="P243" s="40">
        <f>K243-O243</f>
        <v>-10355.849922599995</v>
      </c>
      <c r="Q243" s="14"/>
      <c r="R243" s="14"/>
      <c r="S243" s="14"/>
    </row>
    <row r="244" spans="1:19" x14ac:dyDescent="0.25">
      <c r="A244" s="51">
        <v>46163</v>
      </c>
      <c r="B244" s="9" t="s">
        <v>31</v>
      </c>
      <c r="C244" s="12">
        <v>46168</v>
      </c>
      <c r="D244" s="9" t="s">
        <v>30</v>
      </c>
      <c r="E244" s="9" t="s">
        <v>29</v>
      </c>
      <c r="F244" s="13">
        <v>23700</v>
      </c>
      <c r="G244" s="39">
        <v>910</v>
      </c>
      <c r="H244" s="45">
        <v>150.4</v>
      </c>
      <c r="I244" s="45">
        <v>189.81</v>
      </c>
      <c r="J244" s="40">
        <f>IF(D244="Short",H244-I244,I244-H244)</f>
        <v>39.409999999999997</v>
      </c>
      <c r="K244" s="40">
        <f>J244*G244</f>
        <v>35863.1</v>
      </c>
      <c r="L244" s="40">
        <f>IF(D244="Short",G244*H244,G244*I244)</f>
        <v>172727.1</v>
      </c>
      <c r="M244" s="40">
        <f>IF(D244="Short",G244*I244,H244*G244)</f>
        <v>136864</v>
      </c>
      <c r="N244" s="40">
        <f>L244+M244</f>
        <v>309591.09999999998</v>
      </c>
      <c r="O244" s="40">
        <f>N244*0.000134</f>
        <v>41.4852074</v>
      </c>
      <c r="P244" s="40">
        <f>K244-O244</f>
        <v>35821.614792599998</v>
      </c>
      <c r="Q244" s="14"/>
      <c r="R244" s="14"/>
      <c r="S244" s="14"/>
    </row>
    <row r="245" spans="1:19" x14ac:dyDescent="0.25">
      <c r="A245" s="51">
        <v>46163</v>
      </c>
      <c r="B245" s="9" t="s">
        <v>31</v>
      </c>
      <c r="C245" s="12">
        <v>46168</v>
      </c>
      <c r="D245" s="9" t="s">
        <v>30</v>
      </c>
      <c r="E245" s="9" t="s">
        <v>32</v>
      </c>
      <c r="F245" s="13">
        <v>22800</v>
      </c>
      <c r="G245" s="39">
        <v>3120</v>
      </c>
      <c r="H245" s="45">
        <v>23.81</v>
      </c>
      <c r="I245" s="45">
        <v>11.4</v>
      </c>
      <c r="J245" s="40">
        <f>IF(D245="Short",H245-I245,I245-H245)</f>
        <v>-12.409999999999998</v>
      </c>
      <c r="K245" s="40">
        <f>J245*G245</f>
        <v>-38719.199999999997</v>
      </c>
      <c r="L245" s="40">
        <f>IF(D245="Short",G245*H245,G245*I245)</f>
        <v>35568</v>
      </c>
      <c r="M245" s="40">
        <f>IF(D245="Short",G245*I245,H245*G245)</f>
        <v>74287.199999999997</v>
      </c>
      <c r="N245" s="40">
        <f>L245+M245</f>
        <v>109855.2</v>
      </c>
      <c r="O245" s="40">
        <f>N245*0.000134</f>
        <v>14.720596800000001</v>
      </c>
      <c r="P245" s="40">
        <f>K245-O245</f>
        <v>-38733.920596799995</v>
      </c>
      <c r="Q245" s="14"/>
      <c r="R245" s="14"/>
      <c r="S245" s="14"/>
    </row>
    <row r="246" spans="1:19" x14ac:dyDescent="0.25">
      <c r="A246" s="51">
        <v>46163</v>
      </c>
      <c r="B246" s="9" t="s">
        <v>27</v>
      </c>
      <c r="C246" s="12">
        <v>46169</v>
      </c>
      <c r="D246" s="9" t="s">
        <v>28</v>
      </c>
      <c r="E246" s="9" t="s">
        <v>32</v>
      </c>
      <c r="F246" s="13">
        <v>75300</v>
      </c>
      <c r="G246" s="39">
        <v>120</v>
      </c>
      <c r="H246" s="45">
        <v>640.33000000000004</v>
      </c>
      <c r="I246" s="45">
        <v>699.22</v>
      </c>
      <c r="J246" s="40">
        <f>IF(D246="Short",H246-I246,I246-H246)</f>
        <v>-58.889999999999986</v>
      </c>
      <c r="K246" s="40">
        <f>J246*G246</f>
        <v>-7066.7999999999984</v>
      </c>
      <c r="L246" s="40">
        <f>IF(D246="Short",G246*H246,G246*I246)</f>
        <v>76839.600000000006</v>
      </c>
      <c r="M246" s="40">
        <f>IF(D246="Short",G246*I246,H246*G246)</f>
        <v>83906.400000000009</v>
      </c>
      <c r="N246" s="40">
        <f>L246+M246</f>
        <v>160746</v>
      </c>
      <c r="O246" s="40">
        <f>N246*0.000134</f>
        <v>21.539964000000001</v>
      </c>
      <c r="P246" s="40">
        <f>K246-O246</f>
        <v>-7088.339963999998</v>
      </c>
      <c r="Q246" s="14"/>
      <c r="R246" s="14"/>
      <c r="S246" s="14"/>
    </row>
    <row r="247" spans="1:19" x14ac:dyDescent="0.25">
      <c r="A247" s="51">
        <v>46163</v>
      </c>
      <c r="B247" s="9" t="s">
        <v>31</v>
      </c>
      <c r="C247" s="12">
        <v>46168</v>
      </c>
      <c r="D247" s="9" t="s">
        <v>28</v>
      </c>
      <c r="E247" s="9" t="s">
        <v>32</v>
      </c>
      <c r="F247" s="13">
        <v>23000</v>
      </c>
      <c r="G247" s="39">
        <v>1300</v>
      </c>
      <c r="H247" s="45">
        <v>16.100000000000001</v>
      </c>
      <c r="I247" s="45">
        <v>16.45</v>
      </c>
      <c r="J247" s="40">
        <f>IF(D247="Short",H247-I247,I247-H247)</f>
        <v>-0.34999999999999787</v>
      </c>
      <c r="K247" s="40">
        <f>J247*G247</f>
        <v>-454.99999999999721</v>
      </c>
      <c r="L247" s="40">
        <f>IF(D247="Short",G247*H247,G247*I247)</f>
        <v>20930.000000000004</v>
      </c>
      <c r="M247" s="40">
        <f>IF(D247="Short",G247*I247,H247*G247)</f>
        <v>21385</v>
      </c>
      <c r="N247" s="40">
        <f>L247+M247</f>
        <v>42315</v>
      </c>
      <c r="O247" s="40">
        <f>N247*0.000134</f>
        <v>5.67021</v>
      </c>
      <c r="P247" s="40">
        <f>K247-O247</f>
        <v>-460.67020999999721</v>
      </c>
      <c r="Q247" s="14"/>
      <c r="R247" s="14"/>
      <c r="S247" s="14"/>
    </row>
    <row r="248" spans="1:19" x14ac:dyDescent="0.25">
      <c r="A248" s="51">
        <v>46163</v>
      </c>
      <c r="B248" s="9" t="s">
        <v>27</v>
      </c>
      <c r="C248" s="12">
        <v>46169</v>
      </c>
      <c r="D248" s="9" t="s">
        <v>28</v>
      </c>
      <c r="E248" s="9" t="s">
        <v>32</v>
      </c>
      <c r="F248" s="13">
        <v>75300</v>
      </c>
      <c r="G248" s="39">
        <v>200</v>
      </c>
      <c r="H248" s="45">
        <v>640.33000000000004</v>
      </c>
      <c r="I248" s="45">
        <v>41.43</v>
      </c>
      <c r="J248" s="40">
        <f>IF(D248="Short",H248-I248,I248-H248)</f>
        <v>598.90000000000009</v>
      </c>
      <c r="K248" s="40">
        <f>J248*G248</f>
        <v>119780.00000000001</v>
      </c>
      <c r="L248" s="40">
        <f>IF(D248="Short",G248*H248,G248*I248)</f>
        <v>128066.00000000001</v>
      </c>
      <c r="M248" s="40">
        <f>IF(D248="Short",G248*I248,H248*G248)</f>
        <v>8286</v>
      </c>
      <c r="N248" s="40">
        <f>L248+M248</f>
        <v>136352</v>
      </c>
      <c r="O248" s="40">
        <f>N248*0.000134</f>
        <v>18.271167999999999</v>
      </c>
      <c r="P248" s="40">
        <f>K248-O248</f>
        <v>119761.72883200001</v>
      </c>
      <c r="Q248" s="14"/>
      <c r="R248" s="14"/>
      <c r="S248" s="14"/>
    </row>
    <row r="249" spans="1:19" x14ac:dyDescent="0.25">
      <c r="A249" s="51">
        <v>46164</v>
      </c>
      <c r="B249" s="9" t="s">
        <v>27</v>
      </c>
      <c r="C249" s="12">
        <v>46169</v>
      </c>
      <c r="D249" s="9" t="s">
        <v>28</v>
      </c>
      <c r="E249" s="9" t="s">
        <v>32</v>
      </c>
      <c r="F249" s="13">
        <v>75200</v>
      </c>
      <c r="G249" s="39">
        <v>260</v>
      </c>
      <c r="H249" s="45">
        <v>515.82000000000005</v>
      </c>
      <c r="I249" s="45">
        <v>12.6</v>
      </c>
      <c r="J249" s="40">
        <f>IF(D249="Short",H249-I249,I249-H249)</f>
        <v>503.22</v>
      </c>
      <c r="K249" s="40">
        <f>J249*G249</f>
        <v>130837.20000000001</v>
      </c>
      <c r="L249" s="40">
        <f>IF(D249="Short",G249*H249,G249*I249)</f>
        <v>134113.20000000001</v>
      </c>
      <c r="M249" s="40">
        <f>IF(D249="Short",G249*I249,H249*G249)</f>
        <v>3276</v>
      </c>
      <c r="N249" s="40">
        <f>L249+M249</f>
        <v>137389.20000000001</v>
      </c>
      <c r="O249" s="40">
        <f>N249*0.000134</f>
        <v>18.410152800000002</v>
      </c>
      <c r="P249" s="40">
        <f>K249-O249</f>
        <v>130818.78984720001</v>
      </c>
      <c r="Q249" s="14"/>
      <c r="R249" s="14"/>
      <c r="S249" s="14"/>
    </row>
    <row r="250" spans="1:19" x14ac:dyDescent="0.25">
      <c r="A250" s="51">
        <v>46164</v>
      </c>
      <c r="B250" s="9" t="s">
        <v>31</v>
      </c>
      <c r="C250" s="12">
        <v>46168</v>
      </c>
      <c r="D250" s="9" t="s">
        <v>30</v>
      </c>
      <c r="E250" s="9" t="s">
        <v>32</v>
      </c>
      <c r="F250" s="13">
        <v>23750</v>
      </c>
      <c r="G250" s="39">
        <v>1820</v>
      </c>
      <c r="H250" s="45">
        <v>157.07</v>
      </c>
      <c r="I250" s="45">
        <v>31.12</v>
      </c>
      <c r="J250" s="40">
        <f>IF(D250="Short",H250-I250,I250-H250)</f>
        <v>-125.94999999999999</v>
      </c>
      <c r="K250" s="40">
        <f>J250*G250</f>
        <v>-229228.99999999997</v>
      </c>
      <c r="L250" s="40">
        <f>IF(D250="Short",G250*H250,G250*I250)</f>
        <v>56638.400000000001</v>
      </c>
      <c r="M250" s="40">
        <f>IF(D250="Short",G250*I250,H250*G250)</f>
        <v>285867.39999999997</v>
      </c>
      <c r="N250" s="40">
        <f>L250+M250</f>
        <v>342505.8</v>
      </c>
      <c r="O250" s="40">
        <f>N250*0.000134</f>
        <v>45.895777199999998</v>
      </c>
      <c r="P250" s="40">
        <f>K250-O250</f>
        <v>-229274.89577719997</v>
      </c>
      <c r="Q250" s="14"/>
      <c r="R250" s="14"/>
      <c r="S250" s="14"/>
    </row>
    <row r="251" spans="1:19" x14ac:dyDescent="0.25">
      <c r="A251" s="51">
        <v>46164</v>
      </c>
      <c r="B251" s="9" t="s">
        <v>27</v>
      </c>
      <c r="C251" s="12">
        <v>46169</v>
      </c>
      <c r="D251" s="9" t="s">
        <v>30</v>
      </c>
      <c r="E251" s="9" t="s">
        <v>29</v>
      </c>
      <c r="F251" s="13">
        <v>75600</v>
      </c>
      <c r="G251" s="39">
        <v>600</v>
      </c>
      <c r="H251" s="45">
        <v>506.85</v>
      </c>
      <c r="I251" s="45">
        <v>524.51</v>
      </c>
      <c r="J251" s="40">
        <f>IF(D251="Short",H251-I251,I251-H251)</f>
        <v>17.659999999999968</v>
      </c>
      <c r="K251" s="40">
        <f>J251*G251</f>
        <v>10595.999999999982</v>
      </c>
      <c r="L251" s="40">
        <f>IF(D251="Short",G251*H251,G251*I251)</f>
        <v>314706</v>
      </c>
      <c r="M251" s="40">
        <f>IF(D251="Short",G251*I251,H251*G251)</f>
        <v>304110</v>
      </c>
      <c r="N251" s="40">
        <f>L251+M251</f>
        <v>618816</v>
      </c>
      <c r="O251" s="40">
        <f>N251*0.000134</f>
        <v>82.921344000000005</v>
      </c>
      <c r="P251" s="40">
        <f>K251-O251</f>
        <v>10513.078655999981</v>
      </c>
      <c r="Q251" s="14"/>
      <c r="R251" s="14"/>
      <c r="S251" s="14"/>
    </row>
    <row r="252" spans="1:19" x14ac:dyDescent="0.25">
      <c r="A252" s="51">
        <v>46164</v>
      </c>
      <c r="B252" s="9" t="s">
        <v>27</v>
      </c>
      <c r="C252" s="12">
        <v>46169</v>
      </c>
      <c r="D252" s="9" t="s">
        <v>30</v>
      </c>
      <c r="E252" s="9" t="s">
        <v>29</v>
      </c>
      <c r="F252" s="13">
        <v>75500</v>
      </c>
      <c r="G252" s="39">
        <v>300</v>
      </c>
      <c r="H252" s="45">
        <v>492.52</v>
      </c>
      <c r="I252" s="45">
        <v>546.44000000000005</v>
      </c>
      <c r="J252" s="40">
        <f>IF(D252="Short",H252-I252,I252-H252)</f>
        <v>53.920000000000073</v>
      </c>
      <c r="K252" s="40">
        <f>J252*G252</f>
        <v>16176.000000000022</v>
      </c>
      <c r="L252" s="40">
        <f>IF(D252="Short",G252*H252,G252*I252)</f>
        <v>163932.00000000003</v>
      </c>
      <c r="M252" s="40">
        <f>IF(D252="Short",G252*I252,H252*G252)</f>
        <v>147756</v>
      </c>
      <c r="N252" s="40">
        <f>L252+M252</f>
        <v>311688</v>
      </c>
      <c r="O252" s="40">
        <f>N252*0.000134</f>
        <v>41.766192000000004</v>
      </c>
      <c r="P252" s="40">
        <f>K252-O252</f>
        <v>16134.233808000023</v>
      </c>
      <c r="Q252" s="14"/>
      <c r="R252" s="14"/>
      <c r="S252" s="14"/>
    </row>
    <row r="253" spans="1:19" x14ac:dyDescent="0.25">
      <c r="A253" s="51">
        <v>46164</v>
      </c>
      <c r="B253" s="9" t="s">
        <v>27</v>
      </c>
      <c r="C253" s="12">
        <v>46169</v>
      </c>
      <c r="D253" s="9" t="s">
        <v>30</v>
      </c>
      <c r="E253" s="9" t="s">
        <v>29</v>
      </c>
      <c r="F253" s="13">
        <v>75300</v>
      </c>
      <c r="G253" s="39">
        <v>340</v>
      </c>
      <c r="H253" s="45">
        <v>758.45</v>
      </c>
      <c r="I253" s="45">
        <v>693.03</v>
      </c>
      <c r="J253" s="40">
        <f>IF(D253="Short",H253-I253,I253-H253)</f>
        <v>-65.420000000000073</v>
      </c>
      <c r="K253" s="40">
        <f>J253*G253</f>
        <v>-22242.800000000025</v>
      </c>
      <c r="L253" s="40">
        <f>IF(D253="Short",G253*H253,G253*I253)</f>
        <v>235630.19999999998</v>
      </c>
      <c r="M253" s="40">
        <f>IF(D253="Short",G253*I253,H253*G253)</f>
        <v>257873.00000000003</v>
      </c>
      <c r="N253" s="40">
        <f>L253+M253</f>
        <v>493503.2</v>
      </c>
      <c r="O253" s="40">
        <f>N253*0.000134</f>
        <v>66.129428799999999</v>
      </c>
      <c r="P253" s="40">
        <f>K253-O253</f>
        <v>-22308.929428800024</v>
      </c>
      <c r="Q253" s="14"/>
      <c r="R253" s="14"/>
      <c r="S253" s="14"/>
    </row>
    <row r="254" spans="1:19" x14ac:dyDescent="0.25">
      <c r="A254" s="51">
        <v>46164</v>
      </c>
      <c r="B254" s="9" t="s">
        <v>31</v>
      </c>
      <c r="C254" s="12">
        <v>46168</v>
      </c>
      <c r="D254" s="9" t="s">
        <v>30</v>
      </c>
      <c r="E254" s="9" t="s">
        <v>29</v>
      </c>
      <c r="F254" s="13">
        <v>23750</v>
      </c>
      <c r="G254" s="39">
        <v>1820</v>
      </c>
      <c r="H254" s="45">
        <v>123.72</v>
      </c>
      <c r="I254" s="45">
        <v>145.25</v>
      </c>
      <c r="J254" s="40">
        <f>IF(D254="Short",H254-I254,I254-H254)</f>
        <v>21.53</v>
      </c>
      <c r="K254" s="40">
        <f>J254*G254</f>
        <v>39184.6</v>
      </c>
      <c r="L254" s="40">
        <f>IF(D254="Short",G254*H254,G254*I254)</f>
        <v>264355</v>
      </c>
      <c r="M254" s="40">
        <f>IF(D254="Short",G254*I254,H254*G254)</f>
        <v>225170.4</v>
      </c>
      <c r="N254" s="40">
        <f>L254+M254</f>
        <v>489525.4</v>
      </c>
      <c r="O254" s="40">
        <f>N254*0.000134</f>
        <v>65.596403600000002</v>
      </c>
      <c r="P254" s="40">
        <f>K254-O254</f>
        <v>39119.003596399998</v>
      </c>
      <c r="Q254" s="14"/>
      <c r="R254" s="14"/>
      <c r="S254" s="14"/>
    </row>
    <row r="255" spans="1:19" x14ac:dyDescent="0.25">
      <c r="A255" s="51">
        <v>46164</v>
      </c>
      <c r="B255" s="9" t="s">
        <v>27</v>
      </c>
      <c r="C255" s="12">
        <v>46169</v>
      </c>
      <c r="D255" s="9" t="s">
        <v>28</v>
      </c>
      <c r="E255" s="9" t="s">
        <v>32</v>
      </c>
      <c r="F255" s="13">
        <v>72900</v>
      </c>
      <c r="G255" s="39">
        <v>2400</v>
      </c>
      <c r="H255" s="45">
        <v>39.46</v>
      </c>
      <c r="I255" s="45">
        <v>49.95</v>
      </c>
      <c r="J255" s="40">
        <f>IF(D255="Short",H255-I255,I255-H255)</f>
        <v>-10.490000000000002</v>
      </c>
      <c r="K255" s="40">
        <f>J255*G255</f>
        <v>-25176.000000000004</v>
      </c>
      <c r="L255" s="40">
        <f>IF(D255="Short",G255*H255,G255*I255)</f>
        <v>94704</v>
      </c>
      <c r="M255" s="40">
        <f>IF(D255="Short",G255*I255,H255*G255)</f>
        <v>119880</v>
      </c>
      <c r="N255" s="40">
        <f>L255+M255</f>
        <v>214584</v>
      </c>
      <c r="O255" s="40">
        <f>N255*0.000134</f>
        <v>28.754256000000002</v>
      </c>
      <c r="P255" s="40">
        <f>K255-O255</f>
        <v>-25204.754256000004</v>
      </c>
      <c r="Q255" s="14"/>
      <c r="R255" s="14"/>
      <c r="S255" s="14"/>
    </row>
    <row r="256" spans="1:19" x14ac:dyDescent="0.25">
      <c r="A256" s="51">
        <v>46164</v>
      </c>
      <c r="B256" s="9" t="s">
        <v>31</v>
      </c>
      <c r="C256" s="12">
        <v>46168</v>
      </c>
      <c r="D256" s="9" t="s">
        <v>28</v>
      </c>
      <c r="E256" s="9" t="s">
        <v>32</v>
      </c>
      <c r="F256" s="13">
        <v>23200</v>
      </c>
      <c r="G256" s="39">
        <v>6240</v>
      </c>
      <c r="H256" s="45">
        <v>16.43</v>
      </c>
      <c r="I256" s="45">
        <v>20.399999999999999</v>
      </c>
      <c r="J256" s="40">
        <f>IF(D256="Short",H256-I256,I256-H256)</f>
        <v>-3.9699999999999989</v>
      </c>
      <c r="K256" s="40">
        <f>J256*G256</f>
        <v>-24772.799999999992</v>
      </c>
      <c r="L256" s="40">
        <f>IF(D256="Short",G256*H256,G256*I256)</f>
        <v>102523.2</v>
      </c>
      <c r="M256" s="40">
        <f>IF(D256="Short",G256*I256,H256*G256)</f>
        <v>127295.99999999999</v>
      </c>
      <c r="N256" s="40">
        <f>L256+M256</f>
        <v>229819.19999999998</v>
      </c>
      <c r="O256" s="40">
        <f>N256*0.000134</f>
        <v>30.795772799999998</v>
      </c>
      <c r="P256" s="40">
        <f>K256-O256</f>
        <v>-24803.595772799992</v>
      </c>
      <c r="Q256" s="14"/>
      <c r="R256" s="14"/>
      <c r="S256" s="14"/>
    </row>
    <row r="257" spans="1:19" x14ac:dyDescent="0.25">
      <c r="A257" s="51">
        <v>46164</v>
      </c>
      <c r="B257" s="9" t="s">
        <v>27</v>
      </c>
      <c r="C257" s="12">
        <v>46169</v>
      </c>
      <c r="D257" s="9" t="s">
        <v>28</v>
      </c>
      <c r="E257" s="9" t="s">
        <v>32</v>
      </c>
      <c r="F257" s="13">
        <v>75300</v>
      </c>
      <c r="G257" s="39">
        <v>180</v>
      </c>
      <c r="H257" s="45">
        <v>496.18</v>
      </c>
      <c r="I257" s="45">
        <v>17.510000000000002</v>
      </c>
      <c r="J257" s="40">
        <f>IF(D257="Short",H257-I257,I257-H257)</f>
        <v>478.67</v>
      </c>
      <c r="K257" s="40">
        <f>J257*G257</f>
        <v>86160.6</v>
      </c>
      <c r="L257" s="40">
        <f>IF(D257="Short",G257*H257,G257*I257)</f>
        <v>89312.4</v>
      </c>
      <c r="M257" s="40">
        <f>IF(D257="Short",G257*I257,H257*G257)</f>
        <v>3151.8</v>
      </c>
      <c r="N257" s="40">
        <f>L257+M257</f>
        <v>92464.2</v>
      </c>
      <c r="O257" s="40">
        <f>N257*0.000134</f>
        <v>12.390202800000001</v>
      </c>
      <c r="P257" s="40">
        <f>K257-O257</f>
        <v>86148.209797200005</v>
      </c>
      <c r="Q257" s="14"/>
      <c r="R257" s="14"/>
      <c r="S257" s="14"/>
    </row>
    <row r="258" spans="1:19" x14ac:dyDescent="0.25">
      <c r="A258" s="51">
        <v>46164</v>
      </c>
      <c r="B258" s="9" t="s">
        <v>27</v>
      </c>
      <c r="C258" s="12">
        <v>46169</v>
      </c>
      <c r="D258" s="9" t="s">
        <v>30</v>
      </c>
      <c r="E258" s="9" t="s">
        <v>32</v>
      </c>
      <c r="F258" s="13">
        <v>75400</v>
      </c>
      <c r="G258" s="39">
        <v>280</v>
      </c>
      <c r="H258" s="45">
        <v>540.73</v>
      </c>
      <c r="I258" s="45">
        <v>164.98</v>
      </c>
      <c r="J258" s="40">
        <f>IF(D258="Short",H258-I258,I258-H258)</f>
        <v>-375.75</v>
      </c>
      <c r="K258" s="40">
        <f>J258*G258</f>
        <v>-105210</v>
      </c>
      <c r="L258" s="40">
        <f>IF(D258="Short",G258*H258,G258*I258)</f>
        <v>46194.399999999994</v>
      </c>
      <c r="M258" s="40">
        <f>IF(D258="Short",G258*I258,H258*G258)</f>
        <v>151404.4</v>
      </c>
      <c r="N258" s="40">
        <f>L258+M258</f>
        <v>197598.8</v>
      </c>
      <c r="O258" s="40">
        <f>N258*0.000134</f>
        <v>26.478239200000001</v>
      </c>
      <c r="P258" s="40">
        <f>K258-O258</f>
        <v>-105236.47823920001</v>
      </c>
      <c r="Q258" s="14"/>
      <c r="R258" s="14"/>
      <c r="S258" s="14"/>
    </row>
    <row r="259" spans="1:19" x14ac:dyDescent="0.25">
      <c r="A259" s="51">
        <v>46164</v>
      </c>
      <c r="B259" s="9" t="s">
        <v>27</v>
      </c>
      <c r="C259" s="12">
        <v>46169</v>
      </c>
      <c r="D259" s="9" t="s">
        <v>28</v>
      </c>
      <c r="E259" s="9" t="s">
        <v>32</v>
      </c>
      <c r="F259" s="13">
        <v>75300</v>
      </c>
      <c r="G259" s="39">
        <v>380</v>
      </c>
      <c r="H259" s="45">
        <v>640.33000000000004</v>
      </c>
      <c r="I259" s="45">
        <v>420.08</v>
      </c>
      <c r="J259" s="40">
        <f>IF(D259="Short",H259-I259,I259-H259)</f>
        <v>220.25000000000006</v>
      </c>
      <c r="K259" s="40">
        <f>J259*G259</f>
        <v>83695.000000000015</v>
      </c>
      <c r="L259" s="40">
        <f>IF(D259="Short",G259*H259,G259*I259)</f>
        <v>243325.40000000002</v>
      </c>
      <c r="M259" s="40">
        <f>IF(D259="Short",G259*I259,H259*G259)</f>
        <v>159630.39999999999</v>
      </c>
      <c r="N259" s="40">
        <f>L259+M259</f>
        <v>402955.80000000005</v>
      </c>
      <c r="O259" s="40">
        <f>N259*0.000134</f>
        <v>53.996077200000009</v>
      </c>
      <c r="P259" s="40">
        <f>K259-O259</f>
        <v>83641.00392280001</v>
      </c>
      <c r="Q259" s="14"/>
      <c r="R259" s="14"/>
      <c r="S259" s="14"/>
    </row>
    <row r="260" spans="1:19" x14ac:dyDescent="0.25">
      <c r="A260" s="51">
        <v>46164</v>
      </c>
      <c r="B260" s="9" t="s">
        <v>27</v>
      </c>
      <c r="C260" s="12">
        <v>46169</v>
      </c>
      <c r="D260" s="9" t="s">
        <v>30</v>
      </c>
      <c r="E260" s="9" t="s">
        <v>32</v>
      </c>
      <c r="F260" s="13">
        <v>75700</v>
      </c>
      <c r="G260" s="39">
        <v>20</v>
      </c>
      <c r="H260" s="45">
        <v>604.75</v>
      </c>
      <c r="I260" s="45">
        <v>534.96</v>
      </c>
      <c r="J260" s="40">
        <f>IF(D260="Short",H260-I260,I260-H260)</f>
        <v>-69.789999999999964</v>
      </c>
      <c r="K260" s="40">
        <f>J260*G260</f>
        <v>-1395.7999999999993</v>
      </c>
      <c r="L260" s="40">
        <f>IF(D260="Short",G260*H260,G260*I260)</f>
        <v>10699.2</v>
      </c>
      <c r="M260" s="40">
        <f>IF(D260="Short",G260*I260,H260*G260)</f>
        <v>12095</v>
      </c>
      <c r="N260" s="40">
        <f>L260+M260</f>
        <v>22794.2</v>
      </c>
      <c r="O260" s="40">
        <f>N260*0.000134</f>
        <v>3.0544228000000002</v>
      </c>
      <c r="P260" s="40">
        <f>K260-O260</f>
        <v>-1398.8544227999994</v>
      </c>
      <c r="Q260" s="14"/>
      <c r="R260" s="14"/>
      <c r="S260" s="14"/>
    </row>
    <row r="261" spans="1:19" x14ac:dyDescent="0.25">
      <c r="A261" s="51">
        <v>46164</v>
      </c>
      <c r="B261" s="9" t="s">
        <v>27</v>
      </c>
      <c r="C261" s="12">
        <v>46169</v>
      </c>
      <c r="D261" s="9" t="s">
        <v>30</v>
      </c>
      <c r="E261" s="9" t="s">
        <v>32</v>
      </c>
      <c r="F261" s="13">
        <v>75600</v>
      </c>
      <c r="G261" s="39">
        <v>320</v>
      </c>
      <c r="H261" s="45">
        <v>632.91</v>
      </c>
      <c r="I261" s="45">
        <v>601.58000000000004</v>
      </c>
      <c r="J261" s="40">
        <f>IF(D261="Short",H261-I261,I261-H261)</f>
        <v>-31.329999999999927</v>
      </c>
      <c r="K261" s="40">
        <f>J261*G261</f>
        <v>-10025.599999999977</v>
      </c>
      <c r="L261" s="40">
        <f>IF(D261="Short",G261*H261,G261*I261)</f>
        <v>192505.60000000001</v>
      </c>
      <c r="M261" s="40">
        <f>IF(D261="Short",G261*I261,H261*G261)</f>
        <v>202531.19999999998</v>
      </c>
      <c r="N261" s="40">
        <f>L261+M261</f>
        <v>395036.8</v>
      </c>
      <c r="O261" s="40">
        <f>N261*0.000134</f>
        <v>52.934931200000001</v>
      </c>
      <c r="P261" s="40">
        <f>K261-O261</f>
        <v>-10078.534931199976</v>
      </c>
      <c r="Q261" s="14"/>
      <c r="R261" s="14"/>
      <c r="S261" s="14"/>
    </row>
    <row r="262" spans="1:19" x14ac:dyDescent="0.25">
      <c r="A262" s="51">
        <v>46164</v>
      </c>
      <c r="B262" s="9" t="s">
        <v>27</v>
      </c>
      <c r="C262" s="12">
        <v>46169</v>
      </c>
      <c r="D262" s="9" t="s">
        <v>30</v>
      </c>
      <c r="E262" s="9" t="s">
        <v>32</v>
      </c>
      <c r="F262" s="13">
        <v>75200</v>
      </c>
      <c r="G262" s="39">
        <v>20</v>
      </c>
      <c r="H262" s="45">
        <v>384.46</v>
      </c>
      <c r="I262" s="45">
        <v>515.82000000000005</v>
      </c>
      <c r="J262" s="40">
        <f>IF(D262="Short",H262-I262,I262-H262)</f>
        <v>131.36000000000007</v>
      </c>
      <c r="K262" s="40">
        <f>J262*G262</f>
        <v>2627.2000000000016</v>
      </c>
      <c r="L262" s="40">
        <f>IF(D262="Short",G262*H262,G262*I262)</f>
        <v>10316.400000000001</v>
      </c>
      <c r="M262" s="40">
        <f>IF(D262="Short",G262*I262,H262*G262)</f>
        <v>7689.2</v>
      </c>
      <c r="N262" s="40">
        <f>L262+M262</f>
        <v>18005.600000000002</v>
      </c>
      <c r="O262" s="40">
        <f>N262*0.000134</f>
        <v>2.4127504000000002</v>
      </c>
      <c r="P262" s="40">
        <f>K262-O262</f>
        <v>2624.7872496000018</v>
      </c>
      <c r="Q262" s="14"/>
      <c r="R262" s="14"/>
      <c r="S262" s="14"/>
    </row>
    <row r="263" spans="1:19" x14ac:dyDescent="0.25">
      <c r="A263" s="51">
        <v>46164</v>
      </c>
      <c r="B263" s="9" t="s">
        <v>31</v>
      </c>
      <c r="C263" s="12">
        <v>46168</v>
      </c>
      <c r="D263" s="9" t="s">
        <v>30</v>
      </c>
      <c r="E263" s="9" t="s">
        <v>32</v>
      </c>
      <c r="F263" s="13">
        <v>23750</v>
      </c>
      <c r="G263" s="39">
        <v>1820</v>
      </c>
      <c r="H263" s="45">
        <v>157.07</v>
      </c>
      <c r="I263" s="45">
        <v>149.85</v>
      </c>
      <c r="J263" s="40">
        <f>IF(D263="Short",H263-I263,I263-H263)</f>
        <v>-7.2199999999999989</v>
      </c>
      <c r="K263" s="40">
        <f>J263*G263</f>
        <v>-13140.399999999998</v>
      </c>
      <c r="L263" s="40">
        <f>IF(D263="Short",G263*H263,G263*I263)</f>
        <v>272727</v>
      </c>
      <c r="M263" s="40">
        <f>IF(D263="Short",G263*I263,H263*G263)</f>
        <v>285867.39999999997</v>
      </c>
      <c r="N263" s="40">
        <f>L263+M263</f>
        <v>558594.39999999991</v>
      </c>
      <c r="O263" s="40">
        <f>N263*0.000134</f>
        <v>74.851649599999988</v>
      </c>
      <c r="P263" s="40">
        <f>K263-O263</f>
        <v>-13215.251649599997</v>
      </c>
      <c r="Q263" s="14"/>
      <c r="R263" s="14"/>
      <c r="S263" s="14"/>
    </row>
    <row r="264" spans="1:19" x14ac:dyDescent="0.25">
      <c r="A264" s="51">
        <v>46164</v>
      </c>
      <c r="B264" s="9" t="s">
        <v>31</v>
      </c>
      <c r="C264" s="12">
        <v>46168</v>
      </c>
      <c r="D264" s="9" t="s">
        <v>30</v>
      </c>
      <c r="E264" s="9" t="s">
        <v>32</v>
      </c>
      <c r="F264" s="13">
        <v>23650</v>
      </c>
      <c r="G264" s="39">
        <v>910</v>
      </c>
      <c r="H264" s="45">
        <v>92.98</v>
      </c>
      <c r="I264" s="45">
        <v>133.32</v>
      </c>
      <c r="J264" s="40">
        <f>IF(D264="Short",H264-I264,I264-H264)</f>
        <v>40.339999999999989</v>
      </c>
      <c r="K264" s="40">
        <f>J264*G264</f>
        <v>36709.399999999987</v>
      </c>
      <c r="L264" s="40">
        <f>IF(D264="Short",G264*H264,G264*I264)</f>
        <v>121321.2</v>
      </c>
      <c r="M264" s="40">
        <f>IF(D264="Short",G264*I264,H264*G264)</f>
        <v>84611.8</v>
      </c>
      <c r="N264" s="40">
        <f>L264+M264</f>
        <v>205933</v>
      </c>
      <c r="O264" s="40">
        <f>N264*0.000134</f>
        <v>27.595022</v>
      </c>
      <c r="P264" s="40">
        <f>K264-O264</f>
        <v>36681.804977999986</v>
      </c>
      <c r="Q264" s="14"/>
      <c r="R264" s="14"/>
      <c r="S264" s="14"/>
    </row>
    <row r="265" spans="1:19" x14ac:dyDescent="0.25">
      <c r="A265" s="51">
        <v>46164</v>
      </c>
      <c r="B265" s="9" t="s">
        <v>31</v>
      </c>
      <c r="C265" s="12">
        <v>46168</v>
      </c>
      <c r="D265" s="9" t="s">
        <v>30</v>
      </c>
      <c r="E265" s="9" t="s">
        <v>29</v>
      </c>
      <c r="F265" s="13">
        <v>23800</v>
      </c>
      <c r="G265" s="39">
        <v>910</v>
      </c>
      <c r="H265" s="45">
        <v>157.25</v>
      </c>
      <c r="I265" s="45">
        <v>110.37</v>
      </c>
      <c r="J265" s="40">
        <f>IF(D265="Short",H265-I265,I265-H265)</f>
        <v>-46.879999999999995</v>
      </c>
      <c r="K265" s="40">
        <f>J265*G265</f>
        <v>-42660.799999999996</v>
      </c>
      <c r="L265" s="40">
        <f>IF(D265="Short",G265*H265,G265*I265)</f>
        <v>100436.7</v>
      </c>
      <c r="M265" s="40">
        <f>IF(D265="Short",G265*I265,H265*G265)</f>
        <v>143097.5</v>
      </c>
      <c r="N265" s="40">
        <f>L265+M265</f>
        <v>243534.2</v>
      </c>
      <c r="O265" s="40">
        <f>N265*0.000134</f>
        <v>32.633582799999999</v>
      </c>
      <c r="P265" s="40">
        <f>K265-O265</f>
        <v>-42693.433582799997</v>
      </c>
      <c r="Q265" s="14"/>
      <c r="R265" s="14"/>
      <c r="S265" s="14"/>
    </row>
    <row r="266" spans="1:19" x14ac:dyDescent="0.25">
      <c r="A266" s="51">
        <v>46164</v>
      </c>
      <c r="B266" s="9" t="s">
        <v>31</v>
      </c>
      <c r="C266" s="12">
        <v>46168</v>
      </c>
      <c r="D266" s="9" t="s">
        <v>30</v>
      </c>
      <c r="E266" s="9" t="s">
        <v>29</v>
      </c>
      <c r="F266" s="13">
        <v>23800</v>
      </c>
      <c r="G266" s="39">
        <v>1560</v>
      </c>
      <c r="H266" s="45">
        <v>157.25</v>
      </c>
      <c r="I266" s="45">
        <v>131.24</v>
      </c>
      <c r="J266" s="40">
        <f>IF(D266="Short",H266-I266,I266-H266)</f>
        <v>-26.009999999999991</v>
      </c>
      <c r="K266" s="40">
        <f>J266*G266</f>
        <v>-40575.599999999984</v>
      </c>
      <c r="L266" s="40">
        <f>IF(D266="Short",G266*H266,G266*I266)</f>
        <v>204734.40000000002</v>
      </c>
      <c r="M266" s="40">
        <f>IF(D266="Short",G266*I266,H266*G266)</f>
        <v>245310</v>
      </c>
      <c r="N266" s="40">
        <f>L266+M266</f>
        <v>450044.4</v>
      </c>
      <c r="O266" s="40">
        <f>N266*0.000134</f>
        <v>60.305949600000005</v>
      </c>
      <c r="P266" s="40">
        <f>K266-O266</f>
        <v>-40635.905949599983</v>
      </c>
      <c r="Q266" s="14"/>
      <c r="R266" s="14"/>
      <c r="S266" s="14"/>
    </row>
    <row r="267" spans="1:19" x14ac:dyDescent="0.25">
      <c r="A267" s="51">
        <v>46164</v>
      </c>
      <c r="B267" s="9" t="s">
        <v>31</v>
      </c>
      <c r="C267" s="12">
        <v>46168</v>
      </c>
      <c r="D267" s="9" t="s">
        <v>30</v>
      </c>
      <c r="E267" s="9" t="s">
        <v>32</v>
      </c>
      <c r="F267" s="13">
        <v>23700</v>
      </c>
      <c r="G267" s="39">
        <v>845</v>
      </c>
      <c r="H267" s="45">
        <v>105.28</v>
      </c>
      <c r="I267" s="45">
        <v>152.01</v>
      </c>
      <c r="J267" s="40">
        <f>IF(D267="Short",H267-I267,I267-H267)</f>
        <v>46.72999999999999</v>
      </c>
      <c r="K267" s="40">
        <f>J267*G267</f>
        <v>39486.849999999991</v>
      </c>
      <c r="L267" s="40">
        <f>IF(D267="Short",G267*H267,G267*I267)</f>
        <v>128448.45</v>
      </c>
      <c r="M267" s="40">
        <f>IF(D267="Short",G267*I267,H267*G267)</f>
        <v>88961.600000000006</v>
      </c>
      <c r="N267" s="40">
        <f>L267+M267</f>
        <v>217410.05</v>
      </c>
      <c r="O267" s="40">
        <f>N267*0.000134</f>
        <v>29.132946699999998</v>
      </c>
      <c r="P267" s="40">
        <f>K267-O267</f>
        <v>39457.717053299988</v>
      </c>
      <c r="Q267" s="14"/>
      <c r="R267" s="14"/>
      <c r="S267" s="14"/>
    </row>
    <row r="268" spans="1:19" x14ac:dyDescent="0.25">
      <c r="A268" s="51">
        <v>46164</v>
      </c>
      <c r="B268" s="9" t="s">
        <v>27</v>
      </c>
      <c r="C268" s="12">
        <v>46169</v>
      </c>
      <c r="D268" s="9" t="s">
        <v>30</v>
      </c>
      <c r="E268" s="9" t="s">
        <v>32</v>
      </c>
      <c r="F268" s="13">
        <v>75500</v>
      </c>
      <c r="G268" s="39">
        <v>260</v>
      </c>
      <c r="H268" s="45">
        <v>553.59</v>
      </c>
      <c r="I268" s="45">
        <v>141.08000000000001</v>
      </c>
      <c r="J268" s="40">
        <f>IF(D268="Short",H268-I268,I268-H268)</f>
        <v>-412.51</v>
      </c>
      <c r="K268" s="40">
        <f>J268*G268</f>
        <v>-107252.59999999999</v>
      </c>
      <c r="L268" s="40">
        <f>IF(D268="Short",G268*H268,G268*I268)</f>
        <v>36680.800000000003</v>
      </c>
      <c r="M268" s="40">
        <f>IF(D268="Short",G268*I268,H268*G268)</f>
        <v>143933.4</v>
      </c>
      <c r="N268" s="40">
        <f>L268+M268</f>
        <v>180614.2</v>
      </c>
      <c r="O268" s="40">
        <f>N268*0.000134</f>
        <v>24.202302800000002</v>
      </c>
      <c r="P268" s="40">
        <f>K268-O268</f>
        <v>-107276.80230279999</v>
      </c>
      <c r="Q268" s="14"/>
      <c r="R268" s="14"/>
      <c r="S268" s="14"/>
    </row>
    <row r="269" spans="1:19" x14ac:dyDescent="0.25">
      <c r="A269" s="51">
        <v>46164</v>
      </c>
      <c r="B269" s="9" t="s">
        <v>27</v>
      </c>
      <c r="C269" s="12">
        <v>46169</v>
      </c>
      <c r="D269" s="9" t="s">
        <v>28</v>
      </c>
      <c r="E269" s="9" t="s">
        <v>32</v>
      </c>
      <c r="F269" s="13">
        <v>73400</v>
      </c>
      <c r="G269" s="39">
        <v>100</v>
      </c>
      <c r="H269" s="45">
        <v>62.42</v>
      </c>
      <c r="I269" s="45">
        <v>62.54</v>
      </c>
      <c r="J269" s="40">
        <f>IF(D269="Short",H269-I269,I269-H269)</f>
        <v>-0.11999999999999744</v>
      </c>
      <c r="K269" s="40">
        <f>J269*G269</f>
        <v>-11.999999999999744</v>
      </c>
      <c r="L269" s="40">
        <f>IF(D269="Short",G269*H269,G269*I269)</f>
        <v>6242</v>
      </c>
      <c r="M269" s="40">
        <f>IF(D269="Short",G269*I269,H269*G269)</f>
        <v>6254</v>
      </c>
      <c r="N269" s="40">
        <f>L269+M269</f>
        <v>12496</v>
      </c>
      <c r="O269" s="40">
        <f>N269*0.000134</f>
        <v>1.674464</v>
      </c>
      <c r="P269" s="40">
        <f>K269-O269</f>
        <v>-13.674463999999745</v>
      </c>
      <c r="Q269" s="14"/>
      <c r="R269" s="14"/>
      <c r="S269" s="14"/>
    </row>
    <row r="270" spans="1:19" x14ac:dyDescent="0.25">
      <c r="A270" s="51">
        <v>46164</v>
      </c>
      <c r="B270" s="9" t="s">
        <v>27</v>
      </c>
      <c r="C270" s="12">
        <v>46169</v>
      </c>
      <c r="D270" s="9" t="s">
        <v>30</v>
      </c>
      <c r="E270" s="9" t="s">
        <v>32</v>
      </c>
      <c r="F270" s="13">
        <v>75600</v>
      </c>
      <c r="G270" s="39">
        <v>20</v>
      </c>
      <c r="H270" s="45">
        <v>632.91</v>
      </c>
      <c r="I270" s="45">
        <v>164.55</v>
      </c>
      <c r="J270" s="40">
        <f>IF(D270="Short",H270-I270,I270-H270)</f>
        <v>-468.35999999999996</v>
      </c>
      <c r="K270" s="40">
        <f>J270*G270</f>
        <v>-9367.1999999999989</v>
      </c>
      <c r="L270" s="40">
        <f>IF(D270="Short",G270*H270,G270*I270)</f>
        <v>3291</v>
      </c>
      <c r="M270" s="40">
        <f>IF(D270="Short",G270*I270,H270*G270)</f>
        <v>12658.199999999999</v>
      </c>
      <c r="N270" s="40">
        <f>L270+M270</f>
        <v>15949.199999999999</v>
      </c>
      <c r="O270" s="40">
        <f>N270*0.000134</f>
        <v>2.1371927999999998</v>
      </c>
      <c r="P270" s="40">
        <f>K270-O270</f>
        <v>-9369.3371927999997</v>
      </c>
      <c r="Q270" s="14"/>
      <c r="R270" s="14"/>
      <c r="S270" s="14"/>
    </row>
    <row r="271" spans="1:19" x14ac:dyDescent="0.25">
      <c r="A271" s="51">
        <v>46164</v>
      </c>
      <c r="B271" s="9" t="s">
        <v>27</v>
      </c>
      <c r="C271" s="12">
        <v>46169</v>
      </c>
      <c r="D271" s="9" t="s">
        <v>28</v>
      </c>
      <c r="E271" s="9" t="s">
        <v>29</v>
      </c>
      <c r="F271" s="13">
        <v>77800</v>
      </c>
      <c r="G271" s="39">
        <v>540</v>
      </c>
      <c r="H271" s="45">
        <v>57.81</v>
      </c>
      <c r="I271" s="45">
        <v>62.52</v>
      </c>
      <c r="J271" s="40">
        <f>IF(D271="Short",H271-I271,I271-H271)</f>
        <v>-4.7100000000000009</v>
      </c>
      <c r="K271" s="40">
        <f>J271*G271</f>
        <v>-2543.4000000000005</v>
      </c>
      <c r="L271" s="40">
        <f>IF(D271="Short",G271*H271,G271*I271)</f>
        <v>31217.4</v>
      </c>
      <c r="M271" s="40">
        <f>IF(D271="Short",G271*I271,H271*G271)</f>
        <v>33760.800000000003</v>
      </c>
      <c r="N271" s="40">
        <f>L271+M271</f>
        <v>64978.200000000004</v>
      </c>
      <c r="O271" s="40">
        <f>N271*0.000134</f>
        <v>8.7070788000000015</v>
      </c>
      <c r="P271" s="40">
        <f>K271-O271</f>
        <v>-2552.1070788000006</v>
      </c>
      <c r="Q271" s="14"/>
      <c r="R271" s="14"/>
      <c r="S271" s="14"/>
    </row>
    <row r="272" spans="1:19" x14ac:dyDescent="0.25">
      <c r="A272" s="51">
        <v>46164</v>
      </c>
      <c r="B272" s="9" t="s">
        <v>31</v>
      </c>
      <c r="C272" s="12">
        <v>46168</v>
      </c>
      <c r="D272" s="9" t="s">
        <v>28</v>
      </c>
      <c r="E272" s="9" t="s">
        <v>29</v>
      </c>
      <c r="F272" s="13">
        <v>24200</v>
      </c>
      <c r="G272" s="39">
        <v>650</v>
      </c>
      <c r="H272" s="45">
        <v>26.05</v>
      </c>
      <c r="I272" s="45">
        <v>23</v>
      </c>
      <c r="J272" s="40">
        <f>IF(D272="Short",H272-I272,I272-H272)</f>
        <v>3.0500000000000007</v>
      </c>
      <c r="K272" s="40">
        <f>J272*G272</f>
        <v>1982.5000000000005</v>
      </c>
      <c r="L272" s="40">
        <f>IF(D272="Short",G272*H272,G272*I272)</f>
        <v>16932.5</v>
      </c>
      <c r="M272" s="40">
        <f>IF(D272="Short",G272*I272,H272*G272)</f>
        <v>14950</v>
      </c>
      <c r="N272" s="40">
        <f>L272+M272</f>
        <v>31882.5</v>
      </c>
      <c r="O272" s="40">
        <f>N272*0.000134</f>
        <v>4.2722550000000004</v>
      </c>
      <c r="P272" s="40">
        <f>K272-O272</f>
        <v>1978.2277450000004</v>
      </c>
      <c r="Q272" s="14"/>
      <c r="R272" s="14"/>
      <c r="S272" s="14"/>
    </row>
    <row r="273" spans="1:19" x14ac:dyDescent="0.25">
      <c r="A273" s="51">
        <v>46164</v>
      </c>
      <c r="B273" s="9" t="s">
        <v>27</v>
      </c>
      <c r="C273" s="12">
        <v>46169</v>
      </c>
      <c r="D273" s="9" t="s">
        <v>30</v>
      </c>
      <c r="E273" s="9" t="s">
        <v>32</v>
      </c>
      <c r="F273" s="13">
        <v>75500</v>
      </c>
      <c r="G273" s="39">
        <v>320</v>
      </c>
      <c r="H273" s="45">
        <v>553.59</v>
      </c>
      <c r="I273" s="45">
        <v>558.75</v>
      </c>
      <c r="J273" s="40">
        <f>IF(D273="Short",H273-I273,I273-H273)</f>
        <v>5.1599999999999682</v>
      </c>
      <c r="K273" s="40">
        <f>J273*G273</f>
        <v>1651.1999999999898</v>
      </c>
      <c r="L273" s="40">
        <f>IF(D273="Short",G273*H273,G273*I273)</f>
        <v>178800</v>
      </c>
      <c r="M273" s="40">
        <f>IF(D273="Short",G273*I273,H273*G273)</f>
        <v>177148.80000000002</v>
      </c>
      <c r="N273" s="40">
        <f>L273+M273</f>
        <v>355948.80000000005</v>
      </c>
      <c r="O273" s="40">
        <f>N273*0.000134</f>
        <v>47.697139200000009</v>
      </c>
      <c r="P273" s="40">
        <f>K273-O273</f>
        <v>1603.5028607999898</v>
      </c>
      <c r="Q273" s="14"/>
      <c r="R273" s="14"/>
      <c r="S273" s="14"/>
    </row>
    <row r="274" spans="1:19" x14ac:dyDescent="0.25">
      <c r="A274" s="51">
        <v>46164</v>
      </c>
      <c r="B274" s="9" t="s">
        <v>31</v>
      </c>
      <c r="C274" s="12">
        <v>46168</v>
      </c>
      <c r="D274" s="9" t="s">
        <v>28</v>
      </c>
      <c r="E274" s="9" t="s">
        <v>32</v>
      </c>
      <c r="F274" s="13">
        <v>23700</v>
      </c>
      <c r="G274" s="39">
        <v>1625</v>
      </c>
      <c r="H274" s="45">
        <v>152.01</v>
      </c>
      <c r="I274" s="45">
        <v>19.16</v>
      </c>
      <c r="J274" s="40">
        <f>IF(D274="Short",H274-I274,I274-H274)</f>
        <v>132.85</v>
      </c>
      <c r="K274" s="40">
        <f>J274*G274</f>
        <v>215881.25</v>
      </c>
      <c r="L274" s="40">
        <f>IF(D274="Short",G274*H274,G274*I274)</f>
        <v>247016.24999999997</v>
      </c>
      <c r="M274" s="40">
        <f>IF(D274="Short",G274*I274,H274*G274)</f>
        <v>31135</v>
      </c>
      <c r="N274" s="40">
        <f>L274+M274</f>
        <v>278151.25</v>
      </c>
      <c r="O274" s="40">
        <f>N274*0.000134</f>
        <v>37.272267499999998</v>
      </c>
      <c r="P274" s="40">
        <f>K274-O274</f>
        <v>215843.9777325</v>
      </c>
      <c r="Q274" s="14"/>
      <c r="R274" s="14"/>
      <c r="S274" s="14"/>
    </row>
    <row r="275" spans="1:19" x14ac:dyDescent="0.25">
      <c r="A275" s="51">
        <v>46164</v>
      </c>
      <c r="B275" s="9" t="s">
        <v>27</v>
      </c>
      <c r="C275" s="12">
        <v>46169</v>
      </c>
      <c r="D275" s="9" t="s">
        <v>30</v>
      </c>
      <c r="E275" s="9" t="s">
        <v>29</v>
      </c>
      <c r="F275" s="13">
        <v>75700</v>
      </c>
      <c r="G275" s="39">
        <v>240</v>
      </c>
      <c r="H275" s="45">
        <v>615.76</v>
      </c>
      <c r="I275" s="45">
        <v>157.49</v>
      </c>
      <c r="J275" s="40">
        <f>IF(D275="Short",H275-I275,I275-H275)</f>
        <v>-458.27</v>
      </c>
      <c r="K275" s="40">
        <f>J275*G275</f>
        <v>-109984.79999999999</v>
      </c>
      <c r="L275" s="40">
        <f>IF(D275="Short",G275*H275,G275*I275)</f>
        <v>37797.600000000006</v>
      </c>
      <c r="M275" s="40">
        <f>IF(D275="Short",G275*I275,H275*G275)</f>
        <v>147782.39999999999</v>
      </c>
      <c r="N275" s="40">
        <f>L275+M275</f>
        <v>185580</v>
      </c>
      <c r="O275" s="40">
        <f>N275*0.000134</f>
        <v>24.867720000000002</v>
      </c>
      <c r="P275" s="40">
        <f>K275-O275</f>
        <v>-110009.66771999998</v>
      </c>
      <c r="Q275" s="14"/>
      <c r="R275" s="14"/>
      <c r="S275" s="14"/>
    </row>
    <row r="276" spans="1:19" x14ac:dyDescent="0.25">
      <c r="A276" s="51">
        <v>46164</v>
      </c>
      <c r="B276" s="9" t="s">
        <v>31</v>
      </c>
      <c r="C276" s="12">
        <v>46168</v>
      </c>
      <c r="D276" s="9" t="s">
        <v>28</v>
      </c>
      <c r="E276" s="9" t="s">
        <v>32</v>
      </c>
      <c r="F276" s="13">
        <v>23650</v>
      </c>
      <c r="G276" s="39">
        <v>390</v>
      </c>
      <c r="H276" s="45">
        <v>133.32</v>
      </c>
      <c r="I276" s="45">
        <v>18.57</v>
      </c>
      <c r="J276" s="40">
        <f>IF(D276="Short",H276-I276,I276-H276)</f>
        <v>114.75</v>
      </c>
      <c r="K276" s="40">
        <f>J276*G276</f>
        <v>44752.5</v>
      </c>
      <c r="L276" s="40">
        <f>IF(D276="Short",G276*H276,G276*I276)</f>
        <v>51994.799999999996</v>
      </c>
      <c r="M276" s="40">
        <f>IF(D276="Short",G276*I276,H276*G276)</f>
        <v>7242.3</v>
      </c>
      <c r="N276" s="40">
        <f>L276+M276</f>
        <v>59237.1</v>
      </c>
      <c r="O276" s="40">
        <f>N276*0.000134</f>
        <v>7.9377713999999999</v>
      </c>
      <c r="P276" s="40">
        <f>K276-O276</f>
        <v>44744.5622286</v>
      </c>
      <c r="Q276" s="14"/>
      <c r="R276" s="14"/>
      <c r="S276" s="14"/>
    </row>
    <row r="277" spans="1:19" x14ac:dyDescent="0.25">
      <c r="A277" s="51">
        <v>46164</v>
      </c>
      <c r="B277" s="9" t="s">
        <v>27</v>
      </c>
      <c r="C277" s="12">
        <v>46169</v>
      </c>
      <c r="D277" s="9" t="s">
        <v>28</v>
      </c>
      <c r="E277" s="9" t="s">
        <v>32</v>
      </c>
      <c r="F277" s="13">
        <v>75700</v>
      </c>
      <c r="G277" s="39">
        <v>120</v>
      </c>
      <c r="H277" s="45">
        <v>534.96</v>
      </c>
      <c r="I277" s="45">
        <v>20.7</v>
      </c>
      <c r="J277" s="40">
        <f>IF(D277="Short",H277-I277,I277-H277)</f>
        <v>514.26</v>
      </c>
      <c r="K277" s="40">
        <f>J277*G277</f>
        <v>61711.199999999997</v>
      </c>
      <c r="L277" s="40">
        <f>IF(D277="Short",G277*H277,G277*I277)</f>
        <v>64195.200000000004</v>
      </c>
      <c r="M277" s="40">
        <f>IF(D277="Short",G277*I277,H277*G277)</f>
        <v>2484</v>
      </c>
      <c r="N277" s="40">
        <f>L277+M277</f>
        <v>66679.200000000012</v>
      </c>
      <c r="O277" s="40">
        <f>N277*0.000134</f>
        <v>8.9350128000000026</v>
      </c>
      <c r="P277" s="40">
        <f>K277-O277</f>
        <v>61702.264987199997</v>
      </c>
      <c r="Q277" s="14"/>
      <c r="R277" s="14"/>
      <c r="S277" s="14"/>
    </row>
    <row r="278" spans="1:19" x14ac:dyDescent="0.25">
      <c r="A278" s="51">
        <v>46167</v>
      </c>
      <c r="B278" s="9" t="s">
        <v>31</v>
      </c>
      <c r="C278" s="12">
        <v>46168</v>
      </c>
      <c r="D278" s="9" t="s">
        <v>28</v>
      </c>
      <c r="E278" s="9" t="s">
        <v>32</v>
      </c>
      <c r="F278" s="13">
        <v>23550</v>
      </c>
      <c r="G278" s="39">
        <v>1235</v>
      </c>
      <c r="H278" s="45">
        <v>9.33</v>
      </c>
      <c r="I278" s="45">
        <v>11.97</v>
      </c>
      <c r="J278" s="40">
        <f>IF(D278="Short",H278-I278,I278-H278)</f>
        <v>-2.6400000000000006</v>
      </c>
      <c r="K278" s="40">
        <f>J278*G278</f>
        <v>-3260.4000000000005</v>
      </c>
      <c r="L278" s="40">
        <f>IF(D278="Short",G278*H278,G278*I278)</f>
        <v>11522.55</v>
      </c>
      <c r="M278" s="40">
        <f>IF(D278="Short",G278*I278,H278*G278)</f>
        <v>14782.95</v>
      </c>
      <c r="N278" s="40">
        <f>L278+M278</f>
        <v>26305.5</v>
      </c>
      <c r="O278" s="40">
        <f>N278*0.000134</f>
        <v>3.524937</v>
      </c>
      <c r="P278" s="40">
        <f>K278-O278</f>
        <v>-3263.9249370000007</v>
      </c>
      <c r="Q278" s="14"/>
      <c r="R278" s="14"/>
      <c r="S278" s="14"/>
    </row>
    <row r="279" spans="1:19" x14ac:dyDescent="0.25">
      <c r="A279" s="51">
        <v>46167</v>
      </c>
      <c r="B279" s="9" t="s">
        <v>27</v>
      </c>
      <c r="C279" s="12">
        <v>46169</v>
      </c>
      <c r="D279" s="9" t="s">
        <v>28</v>
      </c>
      <c r="E279" s="9" t="s">
        <v>32</v>
      </c>
      <c r="F279" s="13">
        <v>74600</v>
      </c>
      <c r="G279" s="39">
        <v>320</v>
      </c>
      <c r="H279" s="45">
        <v>41.5</v>
      </c>
      <c r="I279" s="45">
        <v>41.39</v>
      </c>
      <c r="J279" s="40">
        <f>IF(D279="Short",H279-I279,I279-H279)</f>
        <v>0.10999999999999943</v>
      </c>
      <c r="K279" s="40">
        <f>J279*G279</f>
        <v>35.199999999999818</v>
      </c>
      <c r="L279" s="40">
        <f>IF(D279="Short",G279*H279,G279*I279)</f>
        <v>13280</v>
      </c>
      <c r="M279" s="40">
        <f>IF(D279="Short",G279*I279,H279*G279)</f>
        <v>13244.8</v>
      </c>
      <c r="N279" s="40">
        <f>L279+M279</f>
        <v>26524.799999999999</v>
      </c>
      <c r="O279" s="40">
        <f>N279*0.000134</f>
        <v>3.5543232000000002</v>
      </c>
      <c r="P279" s="40">
        <f>K279-O279</f>
        <v>31.645676799999819</v>
      </c>
      <c r="Q279" s="14"/>
      <c r="R279" s="14"/>
      <c r="S279" s="14"/>
    </row>
    <row r="280" spans="1:19" x14ac:dyDescent="0.25">
      <c r="A280" s="51">
        <v>46167</v>
      </c>
      <c r="B280" s="9" t="s">
        <v>27</v>
      </c>
      <c r="C280" s="12">
        <v>46169</v>
      </c>
      <c r="D280" s="9" t="s">
        <v>28</v>
      </c>
      <c r="E280" s="9" t="s">
        <v>32</v>
      </c>
      <c r="F280" s="13">
        <v>74300</v>
      </c>
      <c r="G280" s="39">
        <v>2500</v>
      </c>
      <c r="H280" s="45">
        <v>28.26</v>
      </c>
      <c r="I280" s="45">
        <v>30.45</v>
      </c>
      <c r="J280" s="40">
        <f>IF(D280="Short",H280-I280,I280-H280)</f>
        <v>-2.1899999999999977</v>
      </c>
      <c r="K280" s="40">
        <f>J280*G280</f>
        <v>-5474.9999999999945</v>
      </c>
      <c r="L280" s="40">
        <f>IF(D280="Short",G280*H280,G280*I280)</f>
        <v>70650</v>
      </c>
      <c r="M280" s="40">
        <f>IF(D280="Short",G280*I280,H280*G280)</f>
        <v>76125</v>
      </c>
      <c r="N280" s="40">
        <f>L280+M280</f>
        <v>146775</v>
      </c>
      <c r="O280" s="40">
        <f>N280*0.000134</f>
        <v>19.667850000000001</v>
      </c>
      <c r="P280" s="40">
        <f>K280-O280</f>
        <v>-5494.6678499999944</v>
      </c>
      <c r="Q280" s="14"/>
      <c r="R280" s="14"/>
      <c r="S280" s="14"/>
    </row>
    <row r="281" spans="1:19" x14ac:dyDescent="0.25">
      <c r="A281" s="51">
        <v>46167</v>
      </c>
      <c r="B281" s="9" t="s">
        <v>27</v>
      </c>
      <c r="C281" s="12">
        <v>46169</v>
      </c>
      <c r="D281" s="9" t="s">
        <v>28</v>
      </c>
      <c r="E281" s="9" t="s">
        <v>32</v>
      </c>
      <c r="F281" s="13">
        <v>76200</v>
      </c>
      <c r="G281" s="39">
        <v>1280</v>
      </c>
      <c r="H281" s="45">
        <v>346.13</v>
      </c>
      <c r="I281" s="45">
        <v>243.94</v>
      </c>
      <c r="J281" s="40">
        <f>IF(D281="Short",H281-I281,I281-H281)</f>
        <v>102.19</v>
      </c>
      <c r="K281" s="40">
        <f>J281*G281</f>
        <v>130803.2</v>
      </c>
      <c r="L281" s="40">
        <f>IF(D281="Short",G281*H281,G281*I281)</f>
        <v>443046.40000000002</v>
      </c>
      <c r="M281" s="40">
        <f>IF(D281="Short",G281*I281,H281*G281)</f>
        <v>312243.20000000001</v>
      </c>
      <c r="N281" s="40">
        <f>L281+M281</f>
        <v>755289.60000000009</v>
      </c>
      <c r="O281" s="40">
        <f>N281*0.000134</f>
        <v>101.20880640000001</v>
      </c>
      <c r="P281" s="40">
        <f>K281-O281</f>
        <v>130701.9911936</v>
      </c>
      <c r="Q281" s="14"/>
      <c r="R281" s="14"/>
      <c r="S281" s="14"/>
    </row>
    <row r="282" spans="1:19" x14ac:dyDescent="0.25">
      <c r="A282" s="51">
        <v>46167</v>
      </c>
      <c r="B282" s="9" t="s">
        <v>27</v>
      </c>
      <c r="C282" s="12">
        <v>46169</v>
      </c>
      <c r="D282" s="9" t="s">
        <v>30</v>
      </c>
      <c r="E282" s="9" t="s">
        <v>32</v>
      </c>
      <c r="F282" s="13">
        <v>74600</v>
      </c>
      <c r="G282" s="39">
        <v>900</v>
      </c>
      <c r="H282" s="45">
        <v>41.39</v>
      </c>
      <c r="I282" s="45">
        <v>2.37</v>
      </c>
      <c r="J282" s="40">
        <f>IF(D282="Short",H282-I282,I282-H282)</f>
        <v>-39.020000000000003</v>
      </c>
      <c r="K282" s="40">
        <f>J282*G282</f>
        <v>-35118</v>
      </c>
      <c r="L282" s="40">
        <f>IF(D282="Short",G282*H282,G282*I282)</f>
        <v>2133</v>
      </c>
      <c r="M282" s="40">
        <f>IF(D282="Short",G282*I282,H282*G282)</f>
        <v>37251</v>
      </c>
      <c r="N282" s="40">
        <f>L282+M282</f>
        <v>39384</v>
      </c>
      <c r="O282" s="40">
        <f>N282*0.000134</f>
        <v>5.2774559999999999</v>
      </c>
      <c r="P282" s="40">
        <f>K282-O282</f>
        <v>-35123.277456000003</v>
      </c>
      <c r="Q282" s="14"/>
      <c r="R282" s="14"/>
      <c r="S282" s="14"/>
    </row>
    <row r="283" spans="1:19" x14ac:dyDescent="0.25">
      <c r="A283" s="51">
        <v>46167</v>
      </c>
      <c r="B283" s="9" t="s">
        <v>31</v>
      </c>
      <c r="C283" s="12">
        <v>46168</v>
      </c>
      <c r="D283" s="9" t="s">
        <v>28</v>
      </c>
      <c r="E283" s="9" t="s">
        <v>32</v>
      </c>
      <c r="F283" s="13">
        <v>23700</v>
      </c>
      <c r="G283" s="39">
        <v>1950</v>
      </c>
      <c r="H283" s="45">
        <v>21.33</v>
      </c>
      <c r="I283" s="45">
        <v>19.16</v>
      </c>
      <c r="J283" s="40">
        <f>IF(D283="Short",H283-I283,I283-H283)</f>
        <v>2.1699999999999982</v>
      </c>
      <c r="K283" s="40">
        <f>J283*G283</f>
        <v>4231.4999999999964</v>
      </c>
      <c r="L283" s="40">
        <f>IF(D283="Short",G283*H283,G283*I283)</f>
        <v>41593.5</v>
      </c>
      <c r="M283" s="40">
        <f>IF(D283="Short",G283*I283,H283*G283)</f>
        <v>37362</v>
      </c>
      <c r="N283" s="40">
        <f>L283+M283</f>
        <v>78955.5</v>
      </c>
      <c r="O283" s="40">
        <f>N283*0.000134</f>
        <v>10.580037000000001</v>
      </c>
      <c r="P283" s="40">
        <f>K283-O283</f>
        <v>4220.9199629999966</v>
      </c>
      <c r="Q283" s="14"/>
      <c r="R283" s="14"/>
      <c r="S283" s="14"/>
    </row>
    <row r="284" spans="1:19" x14ac:dyDescent="0.25">
      <c r="A284" s="51">
        <v>46167</v>
      </c>
      <c r="B284" s="9" t="s">
        <v>31</v>
      </c>
      <c r="C284" s="12">
        <v>46168</v>
      </c>
      <c r="D284" s="9" t="s">
        <v>30</v>
      </c>
      <c r="E284" s="9" t="s">
        <v>32</v>
      </c>
      <c r="F284" s="13">
        <v>23700</v>
      </c>
      <c r="G284" s="39">
        <v>2600</v>
      </c>
      <c r="H284" s="45">
        <v>19.16</v>
      </c>
      <c r="I284" s="45">
        <v>0.61</v>
      </c>
      <c r="J284" s="40">
        <f>IF(D284="Short",H284-I284,I284-H284)</f>
        <v>-18.55</v>
      </c>
      <c r="K284" s="40">
        <f>J284*G284</f>
        <v>-48230</v>
      </c>
      <c r="L284" s="40">
        <f>IF(D284="Short",G284*H284,G284*I284)</f>
        <v>1586</v>
      </c>
      <c r="M284" s="40">
        <f>IF(D284="Short",G284*I284,H284*G284)</f>
        <v>49816</v>
      </c>
      <c r="N284" s="40">
        <f>L284+M284</f>
        <v>51402</v>
      </c>
      <c r="O284" s="40">
        <f>N284*0.000134</f>
        <v>6.8878680000000001</v>
      </c>
      <c r="P284" s="40">
        <f>K284-O284</f>
        <v>-48236.887867999998</v>
      </c>
      <c r="Q284" s="14"/>
      <c r="R284" s="14"/>
      <c r="S284" s="14"/>
    </row>
    <row r="285" spans="1:19" x14ac:dyDescent="0.25">
      <c r="A285" s="51">
        <v>46167</v>
      </c>
      <c r="B285" s="9" t="s">
        <v>31</v>
      </c>
      <c r="C285" s="12">
        <v>46168</v>
      </c>
      <c r="D285" s="9" t="s">
        <v>28</v>
      </c>
      <c r="E285" s="9" t="s">
        <v>32</v>
      </c>
      <c r="F285" s="13">
        <v>23950</v>
      </c>
      <c r="G285" s="39">
        <v>4030</v>
      </c>
      <c r="H285" s="45">
        <v>76.099999999999994</v>
      </c>
      <c r="I285" s="45">
        <v>16.12</v>
      </c>
      <c r="J285" s="40">
        <f>IF(D285="Short",H285-I285,I285-H285)</f>
        <v>59.97999999999999</v>
      </c>
      <c r="K285" s="40">
        <f>J285*G285</f>
        <v>241719.39999999997</v>
      </c>
      <c r="L285" s="40">
        <f>IF(D285="Short",G285*H285,G285*I285)</f>
        <v>306683</v>
      </c>
      <c r="M285" s="40">
        <f>IF(D285="Short",G285*I285,H285*G285)</f>
        <v>64963.600000000006</v>
      </c>
      <c r="N285" s="40">
        <f>L285+M285</f>
        <v>371646.6</v>
      </c>
      <c r="O285" s="40">
        <f>N285*0.000134</f>
        <v>49.800644399999996</v>
      </c>
      <c r="P285" s="40">
        <f>K285-O285</f>
        <v>241669.59935559996</v>
      </c>
      <c r="Q285" s="14"/>
      <c r="R285" s="14"/>
      <c r="S285" s="14"/>
    </row>
    <row r="286" spans="1:19" x14ac:dyDescent="0.25">
      <c r="A286" s="51">
        <v>46167</v>
      </c>
      <c r="B286" s="9" t="s">
        <v>31</v>
      </c>
      <c r="C286" s="12">
        <v>46168</v>
      </c>
      <c r="D286" s="9" t="s">
        <v>30</v>
      </c>
      <c r="E286" s="9" t="s">
        <v>32</v>
      </c>
      <c r="F286" s="13">
        <v>23650</v>
      </c>
      <c r="G286" s="39">
        <v>455</v>
      </c>
      <c r="H286" s="45">
        <v>18.57</v>
      </c>
      <c r="I286" s="45">
        <v>21.34</v>
      </c>
      <c r="J286" s="40">
        <f>IF(D286="Short",H286-I286,I286-H286)</f>
        <v>2.7699999999999996</v>
      </c>
      <c r="K286" s="40">
        <f>J286*G286</f>
        <v>1260.3499999999999</v>
      </c>
      <c r="L286" s="40">
        <f>IF(D286="Short",G286*H286,G286*I286)</f>
        <v>9709.7000000000007</v>
      </c>
      <c r="M286" s="40">
        <f>IF(D286="Short",G286*I286,H286*G286)</f>
        <v>8449.35</v>
      </c>
      <c r="N286" s="40">
        <f>L286+M286</f>
        <v>18159.050000000003</v>
      </c>
      <c r="O286" s="40">
        <f>N286*0.000134</f>
        <v>2.4333127000000006</v>
      </c>
      <c r="P286" s="40">
        <f>K286-O286</f>
        <v>1257.9166872999999</v>
      </c>
      <c r="Q286" s="14"/>
      <c r="R286" s="14"/>
      <c r="S286" s="14"/>
    </row>
    <row r="287" spans="1:19" x14ac:dyDescent="0.25">
      <c r="A287" s="51">
        <v>46167</v>
      </c>
      <c r="B287" s="9" t="s">
        <v>31</v>
      </c>
      <c r="C287" s="12">
        <v>46168</v>
      </c>
      <c r="D287" s="9" t="s">
        <v>30</v>
      </c>
      <c r="E287" s="9" t="s">
        <v>32</v>
      </c>
      <c r="F287" s="13">
        <v>23550</v>
      </c>
      <c r="G287" s="39">
        <v>2665</v>
      </c>
      <c r="H287" s="45">
        <v>11.97</v>
      </c>
      <c r="I287" s="45">
        <v>0.71</v>
      </c>
      <c r="J287" s="40">
        <f>IF(D287="Short",H287-I287,I287-H287)</f>
        <v>-11.260000000000002</v>
      </c>
      <c r="K287" s="40">
        <f>J287*G287</f>
        <v>-30007.900000000005</v>
      </c>
      <c r="L287" s="40">
        <f>IF(D287="Short",G287*H287,G287*I287)</f>
        <v>1892.1499999999999</v>
      </c>
      <c r="M287" s="40">
        <f>IF(D287="Short",G287*I287,H287*G287)</f>
        <v>31900.050000000003</v>
      </c>
      <c r="N287" s="40">
        <f>L287+M287</f>
        <v>33792.200000000004</v>
      </c>
      <c r="O287" s="40">
        <f>N287*0.000134</f>
        <v>4.5281548000000011</v>
      </c>
      <c r="P287" s="40">
        <f>K287-O287</f>
        <v>-30012.428154800004</v>
      </c>
      <c r="Q287" s="14"/>
      <c r="R287" s="14"/>
      <c r="S287" s="14"/>
    </row>
    <row r="288" spans="1:19" x14ac:dyDescent="0.25">
      <c r="A288" s="51">
        <v>46167</v>
      </c>
      <c r="B288" s="9" t="s">
        <v>31</v>
      </c>
      <c r="C288" s="12">
        <v>46168</v>
      </c>
      <c r="D288" s="9" t="s">
        <v>28</v>
      </c>
      <c r="E288" s="9" t="s">
        <v>32</v>
      </c>
      <c r="F288" s="13">
        <v>23750</v>
      </c>
      <c r="G288" s="39">
        <v>780</v>
      </c>
      <c r="H288" s="45">
        <v>31.12</v>
      </c>
      <c r="I288" s="45">
        <v>37.4</v>
      </c>
      <c r="J288" s="40">
        <f>IF(D288="Short",H288-I288,I288-H288)</f>
        <v>-6.2799999999999976</v>
      </c>
      <c r="K288" s="40">
        <f>J288*G288</f>
        <v>-4898.3999999999978</v>
      </c>
      <c r="L288" s="40">
        <f>IF(D288="Short",G288*H288,G288*I288)</f>
        <v>24273.600000000002</v>
      </c>
      <c r="M288" s="40">
        <f>IF(D288="Short",G288*I288,H288*G288)</f>
        <v>29172</v>
      </c>
      <c r="N288" s="40">
        <f>L288+M288</f>
        <v>53445.600000000006</v>
      </c>
      <c r="O288" s="40">
        <f>N288*0.000134</f>
        <v>7.1617104000000014</v>
      </c>
      <c r="P288" s="40">
        <f>K288-O288</f>
        <v>-4905.5617103999975</v>
      </c>
      <c r="Q288" s="14"/>
      <c r="R288" s="14"/>
      <c r="S288" s="14"/>
    </row>
    <row r="289" spans="1:19" x14ac:dyDescent="0.25">
      <c r="A289" s="51">
        <v>46167</v>
      </c>
      <c r="B289" s="9" t="s">
        <v>27</v>
      </c>
      <c r="C289" s="12">
        <v>46169</v>
      </c>
      <c r="D289" s="9" t="s">
        <v>30</v>
      </c>
      <c r="E289" s="9" t="s">
        <v>29</v>
      </c>
      <c r="F289" s="13">
        <v>75700</v>
      </c>
      <c r="G289" s="39">
        <v>40</v>
      </c>
      <c r="H289" s="45">
        <v>615.76</v>
      </c>
      <c r="I289" s="45">
        <v>808.25</v>
      </c>
      <c r="J289" s="40">
        <f>IF(D289="Short",H289-I289,I289-H289)</f>
        <v>192.49</v>
      </c>
      <c r="K289" s="40">
        <f>J289*G289</f>
        <v>7699.6</v>
      </c>
      <c r="L289" s="40">
        <f>IF(D289="Short",G289*H289,G289*I289)</f>
        <v>32330</v>
      </c>
      <c r="M289" s="40">
        <f>IF(D289="Short",G289*I289,H289*G289)</f>
        <v>24630.400000000001</v>
      </c>
      <c r="N289" s="40">
        <f>L289+M289</f>
        <v>56960.4</v>
      </c>
      <c r="O289" s="40">
        <f>N289*0.000134</f>
        <v>7.6326936000000005</v>
      </c>
      <c r="P289" s="40">
        <f>K289-O289</f>
        <v>7691.9673064000008</v>
      </c>
      <c r="Q289" s="14"/>
      <c r="R289" s="14"/>
      <c r="S289" s="14"/>
    </row>
    <row r="290" spans="1:19" x14ac:dyDescent="0.25">
      <c r="A290" s="51">
        <v>46168</v>
      </c>
      <c r="B290" s="9" t="s">
        <v>27</v>
      </c>
      <c r="C290" s="12">
        <v>46169</v>
      </c>
      <c r="D290" s="9" t="s">
        <v>30</v>
      </c>
      <c r="E290" s="9" t="s">
        <v>32</v>
      </c>
      <c r="F290" s="13">
        <v>75000</v>
      </c>
      <c r="G290" s="39">
        <v>100</v>
      </c>
      <c r="H290" s="45">
        <v>20.149999999999999</v>
      </c>
      <c r="I290" s="45">
        <v>6.65</v>
      </c>
      <c r="J290" s="40">
        <f>IF(D290="Short",H290-I290,I290-H290)</f>
        <v>-13.499999999999998</v>
      </c>
      <c r="K290" s="40">
        <f>J290*G290</f>
        <v>-1349.9999999999998</v>
      </c>
      <c r="L290" s="40">
        <f>IF(D290="Short",G290*H290,G290*I290)</f>
        <v>665</v>
      </c>
      <c r="M290" s="40">
        <f>IF(D290="Short",G290*I290,H290*G290)</f>
        <v>2014.9999999999998</v>
      </c>
      <c r="N290" s="40">
        <f>L290+M290</f>
        <v>2680</v>
      </c>
      <c r="O290" s="40">
        <f>N290*0.000134</f>
        <v>0.35911999999999999</v>
      </c>
      <c r="P290" s="40">
        <f>K290-O290</f>
        <v>-1350.3591199999998</v>
      </c>
      <c r="Q290" s="14"/>
      <c r="R290" s="14"/>
      <c r="S290" s="14"/>
    </row>
    <row r="291" spans="1:19" x14ac:dyDescent="0.25">
      <c r="A291" s="51">
        <v>46168</v>
      </c>
      <c r="B291" s="9" t="s">
        <v>31</v>
      </c>
      <c r="C291" s="12">
        <v>46175</v>
      </c>
      <c r="D291" s="9" t="s">
        <v>30</v>
      </c>
      <c r="E291" s="9" t="s">
        <v>32</v>
      </c>
      <c r="F291" s="13">
        <v>23900</v>
      </c>
      <c r="G291" s="39">
        <v>455</v>
      </c>
      <c r="H291" s="45">
        <v>168.25</v>
      </c>
      <c r="I291" s="45">
        <v>169.79</v>
      </c>
      <c r="J291" s="40">
        <f>IF(D291="Short",H291-I291,I291-H291)</f>
        <v>1.539999999999992</v>
      </c>
      <c r="K291" s="40">
        <f>J291*G291</f>
        <v>700.69999999999641</v>
      </c>
      <c r="L291" s="40">
        <f>IF(D291="Short",G291*H291,G291*I291)</f>
        <v>77254.45</v>
      </c>
      <c r="M291" s="40">
        <f>IF(D291="Short",G291*I291,H291*G291)</f>
        <v>76553.75</v>
      </c>
      <c r="N291" s="40">
        <f>L291+M291</f>
        <v>153808.20000000001</v>
      </c>
      <c r="O291" s="40">
        <f>N291*0.000134</f>
        <v>20.610298800000002</v>
      </c>
      <c r="P291" s="40">
        <f>K291-O291</f>
        <v>680.0897011999964</v>
      </c>
      <c r="Q291" s="14"/>
      <c r="R291" s="14"/>
      <c r="S291" s="14"/>
    </row>
    <row r="292" spans="1:19" x14ac:dyDescent="0.25">
      <c r="A292" s="51">
        <v>46168</v>
      </c>
      <c r="B292" s="9" t="s">
        <v>31</v>
      </c>
      <c r="C292" s="12">
        <v>46175</v>
      </c>
      <c r="D292" s="9" t="s">
        <v>28</v>
      </c>
      <c r="E292" s="9" t="s">
        <v>32</v>
      </c>
      <c r="F292" s="13">
        <v>23900</v>
      </c>
      <c r="G292" s="39">
        <v>2275</v>
      </c>
      <c r="H292" s="45">
        <v>169.79</v>
      </c>
      <c r="I292" s="45">
        <v>195.32</v>
      </c>
      <c r="J292" s="40">
        <f>IF(D292="Short",H292-I292,I292-H292)</f>
        <v>-25.53</v>
      </c>
      <c r="K292" s="40">
        <f>J292*G292</f>
        <v>-58080.75</v>
      </c>
      <c r="L292" s="40">
        <f>IF(D292="Short",G292*H292,G292*I292)</f>
        <v>386272.25</v>
      </c>
      <c r="M292" s="40">
        <f>IF(D292="Short",G292*I292,H292*G292)</f>
        <v>444353</v>
      </c>
      <c r="N292" s="40">
        <f>L292+M292</f>
        <v>830625.25</v>
      </c>
      <c r="O292" s="40">
        <f>N292*0.000134</f>
        <v>111.30378350000001</v>
      </c>
      <c r="P292" s="40">
        <f>K292-O292</f>
        <v>-58192.0537835</v>
      </c>
      <c r="Q292" s="14"/>
      <c r="R292" s="14"/>
      <c r="S292" s="14"/>
    </row>
    <row r="293" spans="1:19" x14ac:dyDescent="0.25">
      <c r="A293" s="51">
        <v>46168</v>
      </c>
      <c r="B293" s="9" t="s">
        <v>31</v>
      </c>
      <c r="C293" s="12">
        <v>46175</v>
      </c>
      <c r="D293" s="9" t="s">
        <v>30</v>
      </c>
      <c r="E293" s="9" t="s">
        <v>32</v>
      </c>
      <c r="F293" s="13">
        <v>23200</v>
      </c>
      <c r="G293" s="39">
        <v>3900</v>
      </c>
      <c r="H293" s="45">
        <v>16.48</v>
      </c>
      <c r="I293" s="45">
        <v>6.82</v>
      </c>
      <c r="J293" s="40">
        <f>IF(D293="Short",H293-I293,I293-H293)</f>
        <v>-9.66</v>
      </c>
      <c r="K293" s="40">
        <f>J293*G293</f>
        <v>-37674</v>
      </c>
      <c r="L293" s="40">
        <f>IF(D293="Short",G293*H293,G293*I293)</f>
        <v>26598</v>
      </c>
      <c r="M293" s="40">
        <f>IF(D293="Short",G293*I293,H293*G293)</f>
        <v>64272</v>
      </c>
      <c r="N293" s="40">
        <f>L293+M293</f>
        <v>90870</v>
      </c>
      <c r="O293" s="40">
        <f>N293*0.000134</f>
        <v>12.176580000000001</v>
      </c>
      <c r="P293" s="40">
        <f>K293-O293</f>
        <v>-37686.176579999999</v>
      </c>
      <c r="Q293" s="14"/>
      <c r="R293" s="14"/>
      <c r="S293" s="14"/>
    </row>
    <row r="294" spans="1:19" x14ac:dyDescent="0.25">
      <c r="A294" s="51">
        <v>46168</v>
      </c>
      <c r="B294" s="9" t="s">
        <v>27</v>
      </c>
      <c r="C294" s="12">
        <v>46169</v>
      </c>
      <c r="D294" s="9" t="s">
        <v>28</v>
      </c>
      <c r="E294" s="9" t="s">
        <v>32</v>
      </c>
      <c r="F294" s="13">
        <v>75300</v>
      </c>
      <c r="G294" s="39">
        <v>240</v>
      </c>
      <c r="H294" s="45">
        <v>496.18</v>
      </c>
      <c r="I294" s="45">
        <v>41.43</v>
      </c>
      <c r="J294" s="40">
        <f>IF(D294="Short",H294-I294,I294-H294)</f>
        <v>454.75</v>
      </c>
      <c r="K294" s="40">
        <f>J294*G294</f>
        <v>109140</v>
      </c>
      <c r="L294" s="40">
        <f>IF(D294="Short",G294*H294,G294*I294)</f>
        <v>119083.2</v>
      </c>
      <c r="M294" s="40">
        <f>IF(D294="Short",G294*I294,H294*G294)</f>
        <v>9943.2000000000007</v>
      </c>
      <c r="N294" s="40">
        <f>L294+M294</f>
        <v>129026.4</v>
      </c>
      <c r="O294" s="40">
        <f>N294*0.000134</f>
        <v>17.289537599999999</v>
      </c>
      <c r="P294" s="40">
        <f>K294-O294</f>
        <v>109122.71046240001</v>
      </c>
      <c r="Q294" s="14"/>
      <c r="R294" s="14"/>
      <c r="S294" s="14"/>
    </row>
    <row r="295" spans="1:19" x14ac:dyDescent="0.25">
      <c r="A295" s="51">
        <v>46168</v>
      </c>
      <c r="B295" s="9" t="s">
        <v>31</v>
      </c>
      <c r="C295" s="12">
        <v>46168</v>
      </c>
      <c r="D295" s="9" t="s">
        <v>30</v>
      </c>
      <c r="E295" s="9" t="s">
        <v>32</v>
      </c>
      <c r="F295" s="13">
        <v>24000</v>
      </c>
      <c r="G295" s="39">
        <v>4030</v>
      </c>
      <c r="H295" s="45">
        <v>48.15</v>
      </c>
      <c r="I295" s="45">
        <v>31.49</v>
      </c>
      <c r="J295" s="40">
        <f>IF(D295="Short",H295-I295,I295-H295)</f>
        <v>-16.66</v>
      </c>
      <c r="K295" s="40">
        <f>J295*G295</f>
        <v>-67139.8</v>
      </c>
      <c r="L295" s="40">
        <f>IF(D295="Short",G295*H295,G295*I295)</f>
        <v>126904.7</v>
      </c>
      <c r="M295" s="40">
        <f>IF(D295="Short",G295*I295,H295*G295)</f>
        <v>194044.5</v>
      </c>
      <c r="N295" s="40">
        <f>L295+M295</f>
        <v>320949.2</v>
      </c>
      <c r="O295" s="40">
        <f>N295*0.000134</f>
        <v>43.007192800000006</v>
      </c>
      <c r="P295" s="40">
        <f>K295-O295</f>
        <v>-67182.807192799999</v>
      </c>
      <c r="Q295" s="14"/>
      <c r="R295" s="14"/>
      <c r="S295" s="14"/>
    </row>
    <row r="296" spans="1:19" x14ac:dyDescent="0.25">
      <c r="A296" s="51">
        <v>46168</v>
      </c>
      <c r="B296" s="9" t="s">
        <v>27</v>
      </c>
      <c r="C296" s="12">
        <v>46169</v>
      </c>
      <c r="D296" s="9" t="s">
        <v>30</v>
      </c>
      <c r="E296" s="9" t="s">
        <v>32</v>
      </c>
      <c r="F296" s="13">
        <v>74600</v>
      </c>
      <c r="G296" s="39">
        <v>1380</v>
      </c>
      <c r="H296" s="45">
        <v>41.39</v>
      </c>
      <c r="I296" s="45">
        <v>7.37</v>
      </c>
      <c r="J296" s="40">
        <f>IF(D296="Short",H296-I296,I296-H296)</f>
        <v>-34.020000000000003</v>
      </c>
      <c r="K296" s="40">
        <f>J296*G296</f>
        <v>-46947.600000000006</v>
      </c>
      <c r="L296" s="40">
        <f>IF(D296="Short",G296*H296,G296*I296)</f>
        <v>10170.6</v>
      </c>
      <c r="M296" s="40">
        <f>IF(D296="Short",G296*I296,H296*G296)</f>
        <v>57118.200000000004</v>
      </c>
      <c r="N296" s="40">
        <f>L296+M296</f>
        <v>67288.800000000003</v>
      </c>
      <c r="O296" s="40">
        <f>N296*0.000134</f>
        <v>9.0166992000000015</v>
      </c>
      <c r="P296" s="40">
        <f>K296-O296</f>
        <v>-46956.616699200007</v>
      </c>
      <c r="Q296" s="14"/>
      <c r="R296" s="14"/>
      <c r="S296" s="14"/>
    </row>
    <row r="297" spans="1:19" x14ac:dyDescent="0.25">
      <c r="A297" s="51">
        <v>46168</v>
      </c>
      <c r="B297" s="9" t="s">
        <v>31</v>
      </c>
      <c r="C297" s="12">
        <v>46168</v>
      </c>
      <c r="D297" s="9" t="s">
        <v>28</v>
      </c>
      <c r="E297" s="9" t="s">
        <v>32</v>
      </c>
      <c r="F297" s="13">
        <v>23550</v>
      </c>
      <c r="G297" s="39">
        <v>650</v>
      </c>
      <c r="H297" s="45">
        <v>0.71</v>
      </c>
      <c r="I297" s="45">
        <v>0.7</v>
      </c>
      <c r="J297" s="40">
        <f>IF(D297="Short",H297-I297,I297-H297)</f>
        <v>1.0000000000000009E-2</v>
      </c>
      <c r="K297" s="40">
        <f>J297*G297</f>
        <v>6.5000000000000053</v>
      </c>
      <c r="L297" s="40">
        <f>IF(D297="Short",G297*H297,G297*I297)</f>
        <v>461.5</v>
      </c>
      <c r="M297" s="40">
        <f>IF(D297="Short",G297*I297,H297*G297)</f>
        <v>454.99999999999994</v>
      </c>
      <c r="N297" s="40">
        <f>L297+M297</f>
        <v>916.5</v>
      </c>
      <c r="O297" s="40">
        <f>N297*0.000134</f>
        <v>0.122811</v>
      </c>
      <c r="P297" s="40">
        <f>K297-O297</f>
        <v>6.3771890000000049</v>
      </c>
      <c r="Q297" s="14"/>
      <c r="R297" s="14"/>
      <c r="S297" s="14"/>
    </row>
    <row r="298" spans="1:19" x14ac:dyDescent="0.25">
      <c r="A298" s="51">
        <v>46168</v>
      </c>
      <c r="B298" s="9" t="s">
        <v>27</v>
      </c>
      <c r="C298" s="12">
        <v>46169</v>
      </c>
      <c r="D298" s="9" t="s">
        <v>28</v>
      </c>
      <c r="E298" s="9" t="s">
        <v>32</v>
      </c>
      <c r="F298" s="13">
        <v>75200</v>
      </c>
      <c r="G298" s="39">
        <v>520</v>
      </c>
      <c r="H298" s="45">
        <v>22.82</v>
      </c>
      <c r="I298" s="45">
        <v>24.61</v>
      </c>
      <c r="J298" s="40">
        <f>IF(D298="Short",H298-I298,I298-H298)</f>
        <v>-1.7899999999999991</v>
      </c>
      <c r="K298" s="40">
        <f>J298*G298</f>
        <v>-930.7999999999995</v>
      </c>
      <c r="L298" s="40">
        <f>IF(D298="Short",G298*H298,G298*I298)</f>
        <v>11866.4</v>
      </c>
      <c r="M298" s="40">
        <f>IF(D298="Short",G298*I298,H298*G298)</f>
        <v>12797.199999999999</v>
      </c>
      <c r="N298" s="40">
        <f>L298+M298</f>
        <v>24663.599999999999</v>
      </c>
      <c r="O298" s="40">
        <f>N298*0.000134</f>
        <v>3.3049223999999997</v>
      </c>
      <c r="P298" s="40">
        <f>K298-O298</f>
        <v>-934.10492239999951</v>
      </c>
      <c r="Q298" s="14"/>
      <c r="R298" s="14"/>
      <c r="S298" s="14"/>
    </row>
    <row r="299" spans="1:19" x14ac:dyDescent="0.25">
      <c r="A299" s="51">
        <v>46168</v>
      </c>
      <c r="B299" s="9" t="s">
        <v>27</v>
      </c>
      <c r="C299" s="12">
        <v>46169</v>
      </c>
      <c r="D299" s="9" t="s">
        <v>28</v>
      </c>
      <c r="E299" s="9" t="s">
        <v>32</v>
      </c>
      <c r="F299" s="13">
        <v>75300</v>
      </c>
      <c r="G299" s="39">
        <v>300</v>
      </c>
      <c r="H299" s="45">
        <v>28.13</v>
      </c>
      <c r="I299" s="45">
        <v>17.510000000000002</v>
      </c>
      <c r="J299" s="40">
        <f>IF(D299="Short",H299-I299,I299-H299)</f>
        <v>10.619999999999997</v>
      </c>
      <c r="K299" s="40">
        <f>J299*G299</f>
        <v>3185.9999999999991</v>
      </c>
      <c r="L299" s="40">
        <f>IF(D299="Short",G299*H299,G299*I299)</f>
        <v>8439</v>
      </c>
      <c r="M299" s="40">
        <f>IF(D299="Short",G299*I299,H299*G299)</f>
        <v>5253.0000000000009</v>
      </c>
      <c r="N299" s="40">
        <f>L299+M299</f>
        <v>13692</v>
      </c>
      <c r="O299" s="40">
        <f>N299*0.000134</f>
        <v>1.8347280000000001</v>
      </c>
      <c r="P299" s="40">
        <f>K299-O299</f>
        <v>3184.1652719999993</v>
      </c>
      <c r="Q299" s="14"/>
      <c r="R299" s="14"/>
      <c r="S299" s="14"/>
    </row>
    <row r="300" spans="1:19" x14ac:dyDescent="0.25">
      <c r="A300" s="51">
        <v>46168</v>
      </c>
      <c r="B300" s="9" t="s">
        <v>27</v>
      </c>
      <c r="C300" s="12">
        <v>46169</v>
      </c>
      <c r="D300" s="9" t="s">
        <v>30</v>
      </c>
      <c r="E300" s="9" t="s">
        <v>32</v>
      </c>
      <c r="F300" s="13">
        <v>76600</v>
      </c>
      <c r="G300" s="39">
        <v>300</v>
      </c>
      <c r="H300" s="45">
        <v>381.65</v>
      </c>
      <c r="I300" s="45">
        <v>332.4</v>
      </c>
      <c r="J300" s="40">
        <f>IF(D300="Short",H300-I300,I300-H300)</f>
        <v>-49.25</v>
      </c>
      <c r="K300" s="40">
        <f>J300*G300</f>
        <v>-14775</v>
      </c>
      <c r="L300" s="40">
        <f>IF(D300="Short",G300*H300,G300*I300)</f>
        <v>99720</v>
      </c>
      <c r="M300" s="40">
        <f>IF(D300="Short",G300*I300,H300*G300)</f>
        <v>114495</v>
      </c>
      <c r="N300" s="40">
        <f>L300+M300</f>
        <v>214215</v>
      </c>
      <c r="O300" s="40">
        <f>N300*0.000134</f>
        <v>28.704810000000002</v>
      </c>
      <c r="P300" s="40">
        <f>K300-O300</f>
        <v>-14803.704809999999</v>
      </c>
      <c r="Q300" s="14"/>
      <c r="R300" s="14"/>
      <c r="S300" s="14"/>
    </row>
    <row r="301" spans="1:19" x14ac:dyDescent="0.25">
      <c r="A301" s="51">
        <v>46169</v>
      </c>
      <c r="B301" s="9" t="s">
        <v>31</v>
      </c>
      <c r="C301" s="12">
        <v>46175</v>
      </c>
      <c r="D301" s="9" t="s">
        <v>28</v>
      </c>
      <c r="E301" s="9" t="s">
        <v>32</v>
      </c>
      <c r="F301" s="13">
        <v>23400</v>
      </c>
      <c r="G301" s="39">
        <v>8255</v>
      </c>
      <c r="H301" s="45">
        <v>17.059999999999999</v>
      </c>
      <c r="I301" s="45">
        <v>15.86</v>
      </c>
      <c r="J301" s="40">
        <f>IF(D301="Short",H301-I301,I301-H301)</f>
        <v>1.1999999999999993</v>
      </c>
      <c r="K301" s="40">
        <f>J301*G301</f>
        <v>9905.9999999999945</v>
      </c>
      <c r="L301" s="40">
        <f>IF(D301="Short",G301*H301,G301*I301)</f>
        <v>140830.29999999999</v>
      </c>
      <c r="M301" s="40">
        <f>IF(D301="Short",G301*I301,H301*G301)</f>
        <v>130924.29999999999</v>
      </c>
      <c r="N301" s="40">
        <f>L301+M301</f>
        <v>271754.59999999998</v>
      </c>
      <c r="O301" s="40">
        <f>N301*0.000134</f>
        <v>36.415116399999995</v>
      </c>
      <c r="P301" s="40">
        <f>K301-O301</f>
        <v>9869.584883599995</v>
      </c>
      <c r="Q301" s="14"/>
      <c r="R301" s="14"/>
      <c r="S301" s="14"/>
    </row>
    <row r="302" spans="1:19" x14ac:dyDescent="0.25">
      <c r="A302" s="51">
        <v>46169</v>
      </c>
      <c r="B302" s="9" t="s">
        <v>27</v>
      </c>
      <c r="C302" s="12">
        <v>46169</v>
      </c>
      <c r="D302" s="9" t="s">
        <v>28</v>
      </c>
      <c r="E302" s="9" t="s">
        <v>32</v>
      </c>
      <c r="F302" s="13">
        <v>75500</v>
      </c>
      <c r="G302" s="39">
        <v>2900</v>
      </c>
      <c r="H302" s="45">
        <v>8.44</v>
      </c>
      <c r="I302" s="45">
        <v>22.03</v>
      </c>
      <c r="J302" s="40">
        <f>IF(D302="Short",H302-I302,I302-H302)</f>
        <v>-13.590000000000002</v>
      </c>
      <c r="K302" s="40">
        <f>J302*G302</f>
        <v>-39411.000000000007</v>
      </c>
      <c r="L302" s="40">
        <f>IF(D302="Short",G302*H302,G302*I302)</f>
        <v>24476</v>
      </c>
      <c r="M302" s="40">
        <f>IF(D302="Short",G302*I302,H302*G302)</f>
        <v>63887</v>
      </c>
      <c r="N302" s="40">
        <f>L302+M302</f>
        <v>88363</v>
      </c>
      <c r="O302" s="40">
        <f>N302*0.000134</f>
        <v>11.840642000000001</v>
      </c>
      <c r="P302" s="40">
        <f>K302-O302</f>
        <v>-39422.84064200001</v>
      </c>
      <c r="Q302" s="14"/>
      <c r="R302" s="14"/>
      <c r="S302" s="14"/>
    </row>
    <row r="303" spans="1:19" x14ac:dyDescent="0.25">
      <c r="A303" s="51">
        <v>46169</v>
      </c>
      <c r="B303" s="9" t="s">
        <v>27</v>
      </c>
      <c r="C303" s="12">
        <v>46169</v>
      </c>
      <c r="D303" s="9" t="s">
        <v>30</v>
      </c>
      <c r="E303" s="9" t="s">
        <v>32</v>
      </c>
      <c r="F303" s="13">
        <v>76000</v>
      </c>
      <c r="G303" s="39">
        <v>300</v>
      </c>
      <c r="H303" s="45">
        <v>114.08</v>
      </c>
      <c r="I303" s="45">
        <v>143.69</v>
      </c>
      <c r="J303" s="40">
        <f>IF(D303="Short",H303-I303,I303-H303)</f>
        <v>29.61</v>
      </c>
      <c r="K303" s="40">
        <f>J303*G303</f>
        <v>8883</v>
      </c>
      <c r="L303" s="40">
        <f>IF(D303="Short",G303*H303,G303*I303)</f>
        <v>43107</v>
      </c>
      <c r="M303" s="40">
        <f>IF(D303="Short",G303*I303,H303*G303)</f>
        <v>34224</v>
      </c>
      <c r="N303" s="40">
        <f>L303+M303</f>
        <v>77331</v>
      </c>
      <c r="O303" s="40">
        <f>N303*0.000134</f>
        <v>10.362354</v>
      </c>
      <c r="P303" s="40">
        <f>K303-O303</f>
        <v>8872.6376459999992</v>
      </c>
      <c r="Q303" s="14"/>
      <c r="R303" s="14"/>
      <c r="S303" s="14"/>
    </row>
    <row r="304" spans="1:19" x14ac:dyDescent="0.25">
      <c r="A304" s="51">
        <v>46169</v>
      </c>
      <c r="B304" s="9" t="s">
        <v>27</v>
      </c>
      <c r="C304" s="12">
        <v>46169</v>
      </c>
      <c r="D304" s="9" t="s">
        <v>30</v>
      </c>
      <c r="E304" s="9" t="s">
        <v>32</v>
      </c>
      <c r="F304" s="13">
        <v>76200</v>
      </c>
      <c r="G304" s="39">
        <v>980</v>
      </c>
      <c r="H304" s="45">
        <v>333.35</v>
      </c>
      <c r="I304" s="45">
        <v>220.27</v>
      </c>
      <c r="J304" s="40">
        <f>IF(D304="Short",H304-I304,I304-H304)</f>
        <v>-113.08000000000001</v>
      </c>
      <c r="K304" s="40">
        <f>J304*G304</f>
        <v>-110818.40000000001</v>
      </c>
      <c r="L304" s="40">
        <f>IF(D304="Short",G304*H304,G304*I304)</f>
        <v>215864.6</v>
      </c>
      <c r="M304" s="40">
        <f>IF(D304="Short",G304*I304,H304*G304)</f>
        <v>326683</v>
      </c>
      <c r="N304" s="40">
        <f>L304+M304</f>
        <v>542547.6</v>
      </c>
      <c r="O304" s="40">
        <f>N304*0.000134</f>
        <v>72.701378399999996</v>
      </c>
      <c r="P304" s="40">
        <f>K304-O304</f>
        <v>-110891.10137840001</v>
      </c>
      <c r="Q304" s="14"/>
      <c r="R304" s="14"/>
      <c r="S304" s="14"/>
    </row>
    <row r="305" spans="1:19" x14ac:dyDescent="0.25">
      <c r="A305" s="51">
        <v>46169</v>
      </c>
      <c r="B305" s="9" t="s">
        <v>27</v>
      </c>
      <c r="C305" s="12">
        <v>46177</v>
      </c>
      <c r="D305" s="9" t="s">
        <v>28</v>
      </c>
      <c r="E305" s="9" t="s">
        <v>32</v>
      </c>
      <c r="F305" s="13">
        <v>75800</v>
      </c>
      <c r="G305" s="39">
        <v>560</v>
      </c>
      <c r="H305" s="45">
        <v>496.83</v>
      </c>
      <c r="I305" s="45">
        <v>775.11</v>
      </c>
      <c r="J305" s="40">
        <f>IF(D305="Short",H305-I305,I305-H305)</f>
        <v>-278.28000000000003</v>
      </c>
      <c r="K305" s="40">
        <f>J305*G305</f>
        <v>-155836.80000000002</v>
      </c>
      <c r="L305" s="40">
        <f>IF(D305="Short",G305*H305,G305*I305)</f>
        <v>278224.8</v>
      </c>
      <c r="M305" s="40">
        <f>IF(D305="Short",G305*I305,H305*G305)</f>
        <v>434061.60000000003</v>
      </c>
      <c r="N305" s="40">
        <f>L305+M305</f>
        <v>712286.4</v>
      </c>
      <c r="O305" s="40">
        <f>N305*0.000134</f>
        <v>95.446377600000005</v>
      </c>
      <c r="P305" s="40">
        <f>K305-O305</f>
        <v>-155932.24637760001</v>
      </c>
      <c r="Q305" s="14"/>
      <c r="R305" s="14"/>
      <c r="S305" s="14"/>
    </row>
    <row r="306" spans="1:19" x14ac:dyDescent="0.25">
      <c r="A306" s="51">
        <v>46169</v>
      </c>
      <c r="B306" s="9" t="s">
        <v>27</v>
      </c>
      <c r="C306" s="12">
        <v>46177</v>
      </c>
      <c r="D306" s="9" t="s">
        <v>30</v>
      </c>
      <c r="E306" s="9" t="s">
        <v>32</v>
      </c>
      <c r="F306" s="13">
        <v>73500</v>
      </c>
      <c r="G306" s="39">
        <v>100</v>
      </c>
      <c r="H306" s="45">
        <v>39.94</v>
      </c>
      <c r="I306" s="45">
        <v>38.64</v>
      </c>
      <c r="J306" s="40">
        <f>IF(D306="Short",H306-I306,I306-H306)</f>
        <v>-1.2999999999999972</v>
      </c>
      <c r="K306" s="40">
        <f>J306*G306</f>
        <v>-129.99999999999972</v>
      </c>
      <c r="L306" s="40">
        <f>IF(D306="Short",G306*H306,G306*I306)</f>
        <v>3864</v>
      </c>
      <c r="M306" s="40">
        <f>IF(D306="Short",G306*I306,H306*G306)</f>
        <v>3994</v>
      </c>
      <c r="N306" s="40">
        <f>L306+M306</f>
        <v>7858</v>
      </c>
      <c r="O306" s="40">
        <f>N306*0.000134</f>
        <v>1.052972</v>
      </c>
      <c r="P306" s="40">
        <f>K306-O306</f>
        <v>-131.05297199999973</v>
      </c>
      <c r="Q306" s="14"/>
      <c r="R306" s="14"/>
      <c r="S306" s="14"/>
    </row>
    <row r="307" spans="1:19" x14ac:dyDescent="0.25">
      <c r="A307" s="51">
        <v>46169</v>
      </c>
      <c r="B307" s="9" t="s">
        <v>31</v>
      </c>
      <c r="C307" s="12">
        <v>46175</v>
      </c>
      <c r="D307" s="9" t="s">
        <v>30</v>
      </c>
      <c r="E307" s="9" t="s">
        <v>32</v>
      </c>
      <c r="F307" s="13">
        <v>23400</v>
      </c>
      <c r="G307" s="39">
        <v>1560</v>
      </c>
      <c r="H307" s="45">
        <v>15.86</v>
      </c>
      <c r="I307" s="45">
        <v>11.5</v>
      </c>
      <c r="J307" s="40">
        <f>IF(D307="Short",H307-I307,I307-H307)</f>
        <v>-4.3599999999999994</v>
      </c>
      <c r="K307" s="40">
        <f>J307*G307</f>
        <v>-6801.5999999999995</v>
      </c>
      <c r="L307" s="40">
        <f>IF(D307="Short",G307*H307,G307*I307)</f>
        <v>17940</v>
      </c>
      <c r="M307" s="40">
        <f>IF(D307="Short",G307*I307,H307*G307)</f>
        <v>24741.599999999999</v>
      </c>
      <c r="N307" s="40">
        <f>L307+M307</f>
        <v>42681.599999999999</v>
      </c>
      <c r="O307" s="40">
        <f>N307*0.000134</f>
        <v>5.7193344000000002</v>
      </c>
      <c r="P307" s="40">
        <f>K307-O307</f>
        <v>-6807.3193343999992</v>
      </c>
      <c r="Q307" s="14"/>
      <c r="R307" s="14"/>
      <c r="S307" s="14"/>
    </row>
    <row r="308" spans="1:19" x14ac:dyDescent="0.25">
      <c r="A308" s="51">
        <v>46169</v>
      </c>
      <c r="B308" s="9" t="s">
        <v>31</v>
      </c>
      <c r="C308" s="12">
        <v>46175</v>
      </c>
      <c r="D308" s="9" t="s">
        <v>28</v>
      </c>
      <c r="E308" s="9" t="s">
        <v>32</v>
      </c>
      <c r="F308" s="13">
        <v>23900</v>
      </c>
      <c r="G308" s="39">
        <v>1365</v>
      </c>
      <c r="H308" s="45">
        <v>169.79</v>
      </c>
      <c r="I308" s="45">
        <v>151.97</v>
      </c>
      <c r="J308" s="40">
        <f>IF(D308="Short",H308-I308,I308-H308)</f>
        <v>17.819999999999993</v>
      </c>
      <c r="K308" s="40">
        <f>J308*G308</f>
        <v>24324.299999999992</v>
      </c>
      <c r="L308" s="40">
        <f>IF(D308="Short",G308*H308,G308*I308)</f>
        <v>231763.34999999998</v>
      </c>
      <c r="M308" s="40">
        <f>IF(D308="Short",G308*I308,H308*G308)</f>
        <v>207439.05</v>
      </c>
      <c r="N308" s="40">
        <f>L308+M308</f>
        <v>439202.39999999997</v>
      </c>
      <c r="O308" s="40">
        <f>N308*0.000134</f>
        <v>58.853121599999994</v>
      </c>
      <c r="P308" s="40">
        <f>K308-O308</f>
        <v>24265.446878399991</v>
      </c>
      <c r="Q308" s="14"/>
      <c r="R308" s="14"/>
      <c r="S308" s="14"/>
    </row>
    <row r="309" spans="1:19" x14ac:dyDescent="0.25">
      <c r="A309" s="51">
        <v>46169</v>
      </c>
      <c r="B309" s="9" t="s">
        <v>27</v>
      </c>
      <c r="C309" s="12">
        <v>46169</v>
      </c>
      <c r="D309" s="9" t="s">
        <v>30</v>
      </c>
      <c r="E309" s="9" t="s">
        <v>32</v>
      </c>
      <c r="F309" s="13">
        <v>76100</v>
      </c>
      <c r="G309" s="39">
        <v>800</v>
      </c>
      <c r="H309" s="45">
        <v>229.4</v>
      </c>
      <c r="I309" s="45">
        <v>158.97999999999999</v>
      </c>
      <c r="J309" s="40">
        <f>IF(D309="Short",H309-I309,I309-H309)</f>
        <v>-70.420000000000016</v>
      </c>
      <c r="K309" s="40">
        <f>J309*G309</f>
        <v>-56336.000000000015</v>
      </c>
      <c r="L309" s="40">
        <f>IF(D309="Short",G309*H309,G309*I309)</f>
        <v>127183.99999999999</v>
      </c>
      <c r="M309" s="40">
        <f>IF(D309="Short",G309*I309,H309*G309)</f>
        <v>183520</v>
      </c>
      <c r="N309" s="40">
        <f>L309+M309</f>
        <v>310704</v>
      </c>
      <c r="O309" s="40">
        <f>N309*0.000134</f>
        <v>41.634336000000005</v>
      </c>
      <c r="P309" s="40">
        <f>K309-O309</f>
        <v>-56377.634336000017</v>
      </c>
      <c r="Q309" s="14"/>
      <c r="R309" s="14"/>
      <c r="S309" s="14"/>
    </row>
    <row r="310" spans="1:19" x14ac:dyDescent="0.25">
      <c r="A310" s="51">
        <v>46169</v>
      </c>
      <c r="B310" s="9" t="s">
        <v>31</v>
      </c>
      <c r="C310" s="12">
        <v>46175</v>
      </c>
      <c r="D310" s="9" t="s">
        <v>30</v>
      </c>
      <c r="E310" s="9" t="s">
        <v>32</v>
      </c>
      <c r="F310" s="13">
        <v>23950</v>
      </c>
      <c r="G310" s="39">
        <v>2730</v>
      </c>
      <c r="H310" s="45">
        <v>167.86</v>
      </c>
      <c r="I310" s="45">
        <v>146.31</v>
      </c>
      <c r="J310" s="40">
        <f>IF(D310="Short",H310-I310,I310-H310)</f>
        <v>-21.550000000000011</v>
      </c>
      <c r="K310" s="40">
        <f>J310*G310</f>
        <v>-58831.500000000029</v>
      </c>
      <c r="L310" s="40">
        <f>IF(D310="Short",G310*H310,G310*I310)</f>
        <v>399426.3</v>
      </c>
      <c r="M310" s="40">
        <f>IF(D310="Short",G310*I310,H310*G310)</f>
        <v>458257.80000000005</v>
      </c>
      <c r="N310" s="40">
        <f>L310+M310</f>
        <v>857684.10000000009</v>
      </c>
      <c r="O310" s="40">
        <f>N310*0.000134</f>
        <v>114.92966940000002</v>
      </c>
      <c r="P310" s="40">
        <f>K310-O310</f>
        <v>-58946.42966940003</v>
      </c>
      <c r="Q310" s="14"/>
      <c r="R310" s="14"/>
      <c r="S310" s="14"/>
    </row>
    <row r="311" spans="1:19" x14ac:dyDescent="0.25">
      <c r="A311" s="51">
        <v>46169</v>
      </c>
      <c r="B311" s="9" t="s">
        <v>31</v>
      </c>
      <c r="C311" s="12">
        <v>46175</v>
      </c>
      <c r="D311" s="9" t="s">
        <v>28</v>
      </c>
      <c r="E311" s="9" t="s">
        <v>32</v>
      </c>
      <c r="F311" s="13">
        <v>23500</v>
      </c>
      <c r="G311" s="39">
        <v>2925</v>
      </c>
      <c r="H311" s="45">
        <v>29.1</v>
      </c>
      <c r="I311" s="45">
        <v>22.42</v>
      </c>
      <c r="J311" s="40">
        <f>IF(D311="Short",H311-I311,I311-H311)</f>
        <v>6.68</v>
      </c>
      <c r="K311" s="40">
        <f>J311*G311</f>
        <v>19539</v>
      </c>
      <c r="L311" s="40">
        <f>IF(D311="Short",G311*H311,G311*I311)</f>
        <v>85117.5</v>
      </c>
      <c r="M311" s="40">
        <f>IF(D311="Short",G311*I311,H311*G311)</f>
        <v>65578.5</v>
      </c>
      <c r="N311" s="40">
        <f>L311+M311</f>
        <v>150696</v>
      </c>
      <c r="O311" s="40">
        <f>N311*0.000134</f>
        <v>20.193263999999999</v>
      </c>
      <c r="P311" s="40">
        <f>K311-O311</f>
        <v>19518.806735999999</v>
      </c>
      <c r="Q311" s="14"/>
      <c r="R311" s="14"/>
      <c r="S311" s="14"/>
    </row>
    <row r="312" spans="1:19" x14ac:dyDescent="0.25">
      <c r="A312" s="51">
        <v>46169</v>
      </c>
      <c r="B312" s="9" t="s">
        <v>31</v>
      </c>
      <c r="C312" s="12">
        <v>46175</v>
      </c>
      <c r="D312" s="9" t="s">
        <v>28</v>
      </c>
      <c r="E312" s="9" t="s">
        <v>32</v>
      </c>
      <c r="F312" s="13">
        <v>23300</v>
      </c>
      <c r="G312" s="39">
        <v>4225</v>
      </c>
      <c r="H312" s="45">
        <v>9.82</v>
      </c>
      <c r="I312" s="45">
        <v>12.82</v>
      </c>
      <c r="J312" s="40">
        <f>IF(D312="Short",H312-I312,I312-H312)</f>
        <v>-3</v>
      </c>
      <c r="K312" s="40">
        <f>J312*G312</f>
        <v>-12675</v>
      </c>
      <c r="L312" s="40">
        <f>IF(D312="Short",G312*H312,G312*I312)</f>
        <v>41489.5</v>
      </c>
      <c r="M312" s="40">
        <f>IF(D312="Short",G312*I312,H312*G312)</f>
        <v>54164.5</v>
      </c>
      <c r="N312" s="40">
        <f>L312+M312</f>
        <v>95654</v>
      </c>
      <c r="O312" s="40">
        <f>N312*0.000134</f>
        <v>12.817636</v>
      </c>
      <c r="P312" s="40">
        <f>K312-O312</f>
        <v>-12687.817636</v>
      </c>
      <c r="Q312" s="14"/>
      <c r="R312" s="14"/>
      <c r="S312" s="14"/>
    </row>
    <row r="313" spans="1:19" x14ac:dyDescent="0.25">
      <c r="A313" s="51">
        <v>46169</v>
      </c>
      <c r="B313" s="9" t="s">
        <v>31</v>
      </c>
      <c r="C313" s="12">
        <v>46175</v>
      </c>
      <c r="D313" s="9" t="s">
        <v>28</v>
      </c>
      <c r="E313" s="9" t="s">
        <v>32</v>
      </c>
      <c r="F313" s="13">
        <v>23950</v>
      </c>
      <c r="G313" s="39">
        <v>780</v>
      </c>
      <c r="H313" s="45">
        <v>146.31</v>
      </c>
      <c r="I313" s="45">
        <v>159.79</v>
      </c>
      <c r="J313" s="40">
        <f>IF(D313="Short",H313-I313,I313-H313)</f>
        <v>-13.47999999999999</v>
      </c>
      <c r="K313" s="40">
        <f>J313*G313</f>
        <v>-10514.399999999992</v>
      </c>
      <c r="L313" s="40">
        <f>IF(D313="Short",G313*H313,G313*I313)</f>
        <v>114121.8</v>
      </c>
      <c r="M313" s="40">
        <f>IF(D313="Short",G313*I313,H313*G313)</f>
        <v>124636.2</v>
      </c>
      <c r="N313" s="40">
        <f>L313+M313</f>
        <v>238758</v>
      </c>
      <c r="O313" s="40">
        <f>N313*0.000134</f>
        <v>31.993572</v>
      </c>
      <c r="P313" s="40">
        <f>K313-O313</f>
        <v>-10546.393571999992</v>
      </c>
      <c r="Q313" s="14"/>
      <c r="R313" s="14"/>
      <c r="S313" s="14"/>
    </row>
    <row r="314" spans="1:19" x14ac:dyDescent="0.25">
      <c r="A314" s="51">
        <v>46169</v>
      </c>
      <c r="B314" s="9" t="s">
        <v>27</v>
      </c>
      <c r="C314" s="12">
        <v>46169</v>
      </c>
      <c r="D314" s="9" t="s">
        <v>28</v>
      </c>
      <c r="E314" s="9" t="s">
        <v>32</v>
      </c>
      <c r="F314" s="13">
        <v>75900</v>
      </c>
      <c r="G314" s="39">
        <v>100</v>
      </c>
      <c r="H314" s="45">
        <v>46</v>
      </c>
      <c r="I314" s="45">
        <v>46.2</v>
      </c>
      <c r="J314" s="40">
        <f>IF(D314="Short",H314-I314,I314-H314)</f>
        <v>-0.20000000000000284</v>
      </c>
      <c r="K314" s="40">
        <f>J314*G314</f>
        <v>-20.000000000000284</v>
      </c>
      <c r="L314" s="40">
        <f>IF(D314="Short",G314*H314,G314*I314)</f>
        <v>4600</v>
      </c>
      <c r="M314" s="40">
        <f>IF(D314="Short",G314*I314,H314*G314)</f>
        <v>4620</v>
      </c>
      <c r="N314" s="40">
        <f>L314+M314</f>
        <v>9220</v>
      </c>
      <c r="O314" s="40">
        <f>N314*0.000134</f>
        <v>1.2354800000000001</v>
      </c>
      <c r="P314" s="40">
        <f>K314-O314</f>
        <v>-21.235480000000283</v>
      </c>
      <c r="Q314" s="14"/>
      <c r="R314" s="14"/>
      <c r="S314" s="14"/>
    </row>
    <row r="315" spans="1:19" x14ac:dyDescent="0.25">
      <c r="A315" s="51">
        <v>46169</v>
      </c>
      <c r="B315" s="9" t="s">
        <v>27</v>
      </c>
      <c r="C315" s="12">
        <v>46169</v>
      </c>
      <c r="D315" s="9" t="s">
        <v>28</v>
      </c>
      <c r="E315" s="9" t="s">
        <v>32</v>
      </c>
      <c r="F315" s="13">
        <v>75700</v>
      </c>
      <c r="G315" s="39">
        <v>100</v>
      </c>
      <c r="H315" s="45">
        <v>20.399999999999999</v>
      </c>
      <c r="I315" s="45">
        <v>20.7</v>
      </c>
      <c r="J315" s="40">
        <f>IF(D315="Short",H315-I315,I315-H315)</f>
        <v>-0.30000000000000071</v>
      </c>
      <c r="K315" s="40">
        <f>J315*G315</f>
        <v>-30.000000000000071</v>
      </c>
      <c r="L315" s="40">
        <f>IF(D315="Short",G315*H315,G315*I315)</f>
        <v>2039.9999999999998</v>
      </c>
      <c r="M315" s="40">
        <f>IF(D315="Short",G315*I315,H315*G315)</f>
        <v>2070</v>
      </c>
      <c r="N315" s="40">
        <f>L315+M315</f>
        <v>4110</v>
      </c>
      <c r="O315" s="40">
        <f>N315*0.000134</f>
        <v>0.55074000000000001</v>
      </c>
      <c r="P315" s="40">
        <f>K315-O315</f>
        <v>-30.550740000000072</v>
      </c>
      <c r="Q315" s="14"/>
      <c r="R315" s="14"/>
      <c r="S315" s="14"/>
    </row>
    <row r="316" spans="1:19" x14ac:dyDescent="0.25">
      <c r="A316" s="51">
        <v>46169</v>
      </c>
      <c r="B316" s="9" t="s">
        <v>31</v>
      </c>
      <c r="C316" s="12">
        <v>46175</v>
      </c>
      <c r="D316" s="9" t="s">
        <v>28</v>
      </c>
      <c r="E316" s="9" t="s">
        <v>32</v>
      </c>
      <c r="F316" s="13">
        <v>23900</v>
      </c>
      <c r="G316" s="39">
        <v>390</v>
      </c>
      <c r="H316" s="45">
        <v>143.37</v>
      </c>
      <c r="I316" s="45">
        <v>374.73</v>
      </c>
      <c r="J316" s="40">
        <f>IF(D316="Short",H316-I316,I316-H316)</f>
        <v>-231.36</v>
      </c>
      <c r="K316" s="40">
        <f>J316*G316</f>
        <v>-90230.400000000009</v>
      </c>
      <c r="L316" s="40">
        <f>IF(D316="Short",G316*H316,G316*I316)</f>
        <v>55914.3</v>
      </c>
      <c r="M316" s="40">
        <f>IF(D316="Short",G316*I316,H316*G316)</f>
        <v>146144.70000000001</v>
      </c>
      <c r="N316" s="40">
        <f>L316+M316</f>
        <v>202059</v>
      </c>
      <c r="O316" s="40">
        <f>N316*0.000134</f>
        <v>27.075906</v>
      </c>
      <c r="P316" s="40">
        <f>K316-O316</f>
        <v>-90257.475906000007</v>
      </c>
      <c r="Q316" s="14"/>
      <c r="R316" s="14"/>
      <c r="S316" s="14"/>
    </row>
    <row r="317" spans="1:19" x14ac:dyDescent="0.25">
      <c r="A317" s="51">
        <v>46171</v>
      </c>
      <c r="B317" s="9" t="s">
        <v>27</v>
      </c>
      <c r="C317" s="12">
        <v>46177</v>
      </c>
      <c r="D317" s="9" t="s">
        <v>30</v>
      </c>
      <c r="E317" s="9" t="s">
        <v>32</v>
      </c>
      <c r="F317" s="13">
        <v>75800</v>
      </c>
      <c r="G317" s="39">
        <v>280</v>
      </c>
      <c r="H317" s="45">
        <v>775.11</v>
      </c>
      <c r="I317" s="45">
        <v>416.68</v>
      </c>
      <c r="J317" s="40">
        <f>IF(D317="Short",H317-I317,I317-H317)</f>
        <v>-358.43</v>
      </c>
      <c r="K317" s="40">
        <f>J317*G317</f>
        <v>-100360.40000000001</v>
      </c>
      <c r="L317" s="40">
        <f>IF(D317="Short",G317*H317,G317*I317)</f>
        <v>116670.40000000001</v>
      </c>
      <c r="M317" s="40">
        <f>IF(D317="Short",G317*I317,H317*G317)</f>
        <v>217030.80000000002</v>
      </c>
      <c r="N317" s="40">
        <f>L317+M317</f>
        <v>333701.2</v>
      </c>
      <c r="O317" s="40">
        <f>N317*0.000134</f>
        <v>44.715960800000005</v>
      </c>
      <c r="P317" s="40">
        <f>K317-O317</f>
        <v>-100405.1159608</v>
      </c>
      <c r="Q317" s="14"/>
      <c r="R317" s="14"/>
      <c r="S317" s="14"/>
    </row>
    <row r="318" spans="1:19" x14ac:dyDescent="0.25">
      <c r="A318" s="51">
        <v>46171</v>
      </c>
      <c r="B318" s="9" t="s">
        <v>31</v>
      </c>
      <c r="C318" s="12">
        <v>46175</v>
      </c>
      <c r="D318" s="9" t="s">
        <v>30</v>
      </c>
      <c r="E318" s="9" t="s">
        <v>32</v>
      </c>
      <c r="F318" s="13">
        <v>23950</v>
      </c>
      <c r="G318" s="39">
        <v>3640</v>
      </c>
      <c r="H318" s="45">
        <v>159.79</v>
      </c>
      <c r="I318" s="45">
        <v>127.46</v>
      </c>
      <c r="J318" s="40">
        <f>IF(D318="Short",H318-I318,I318-H318)</f>
        <v>-32.33</v>
      </c>
      <c r="K318" s="40">
        <f>J318*G318</f>
        <v>-117681.2</v>
      </c>
      <c r="L318" s="40">
        <f>IF(D318="Short",G318*H318,G318*I318)</f>
        <v>463954.39999999997</v>
      </c>
      <c r="M318" s="40">
        <f>IF(D318="Short",G318*I318,H318*G318)</f>
        <v>581635.6</v>
      </c>
      <c r="N318" s="40">
        <f>L318+M318</f>
        <v>1045590</v>
      </c>
      <c r="O318" s="40">
        <f>N318*0.000134</f>
        <v>140.10906</v>
      </c>
      <c r="P318" s="40">
        <f>K318-O318</f>
        <v>-117821.30906</v>
      </c>
      <c r="Q318" s="14"/>
      <c r="R318" s="14"/>
      <c r="S318" s="14"/>
    </row>
    <row r="319" spans="1:19" x14ac:dyDescent="0.25">
      <c r="A319" s="51">
        <v>46171</v>
      </c>
      <c r="B319" s="9" t="s">
        <v>31</v>
      </c>
      <c r="C319" s="12">
        <v>46175</v>
      </c>
      <c r="D319" s="9" t="s">
        <v>28</v>
      </c>
      <c r="E319" s="9" t="s">
        <v>32</v>
      </c>
      <c r="F319" s="13">
        <v>23900</v>
      </c>
      <c r="G319" s="39">
        <v>65</v>
      </c>
      <c r="H319" s="45">
        <v>143.37</v>
      </c>
      <c r="I319" s="45">
        <v>195.32</v>
      </c>
      <c r="J319" s="40">
        <f>IF(D319="Short",H319-I319,I319-H319)</f>
        <v>-51.949999999999989</v>
      </c>
      <c r="K319" s="40">
        <f>J319*G319</f>
        <v>-3376.7499999999991</v>
      </c>
      <c r="L319" s="40">
        <f>IF(D319="Short",G319*H319,G319*I319)</f>
        <v>9319.0500000000011</v>
      </c>
      <c r="M319" s="40">
        <f>IF(D319="Short",G319*I319,H319*G319)</f>
        <v>12695.8</v>
      </c>
      <c r="N319" s="40">
        <f>L319+M319</f>
        <v>22014.85</v>
      </c>
      <c r="O319" s="40">
        <f>N319*0.000134</f>
        <v>2.9499898999999998</v>
      </c>
      <c r="P319" s="40">
        <f>K319-O319</f>
        <v>-3379.6999898999993</v>
      </c>
      <c r="Q319" s="14"/>
      <c r="R319" s="14"/>
      <c r="S319" s="14"/>
    </row>
    <row r="320" spans="1:19" x14ac:dyDescent="0.25">
      <c r="A320" s="51">
        <v>46171</v>
      </c>
      <c r="B320" s="9" t="s">
        <v>31</v>
      </c>
      <c r="C320" s="12">
        <v>46175</v>
      </c>
      <c r="D320" s="9" t="s">
        <v>28</v>
      </c>
      <c r="E320" s="9" t="s">
        <v>32</v>
      </c>
      <c r="F320" s="13">
        <v>23500</v>
      </c>
      <c r="G320" s="39">
        <v>9620</v>
      </c>
      <c r="H320" s="45">
        <v>25.69</v>
      </c>
      <c r="I320" s="45">
        <v>18.739999999999998</v>
      </c>
      <c r="J320" s="40">
        <f>IF(D320="Short",H320-I320,I320-H320)</f>
        <v>6.9500000000000028</v>
      </c>
      <c r="K320" s="40">
        <f>J320*G320</f>
        <v>66859.000000000029</v>
      </c>
      <c r="L320" s="40">
        <f>IF(D320="Short",G320*H320,G320*I320)</f>
        <v>247137.80000000002</v>
      </c>
      <c r="M320" s="40">
        <f>IF(D320="Short",G320*I320,H320*G320)</f>
        <v>180278.8</v>
      </c>
      <c r="N320" s="40">
        <f>L320+M320</f>
        <v>427416.6</v>
      </c>
      <c r="O320" s="40">
        <f>N320*0.000134</f>
        <v>57.273824400000002</v>
      </c>
      <c r="P320" s="40">
        <f>K320-O320</f>
        <v>66801.726175600023</v>
      </c>
      <c r="Q320" s="14"/>
      <c r="R320" s="14"/>
      <c r="S320" s="14"/>
    </row>
    <row r="321" spans="1:19" x14ac:dyDescent="0.25">
      <c r="A321" s="51">
        <v>46171</v>
      </c>
      <c r="B321" s="9" t="s">
        <v>27</v>
      </c>
      <c r="C321" s="12">
        <v>46177</v>
      </c>
      <c r="D321" s="9" t="s">
        <v>28</v>
      </c>
      <c r="E321" s="9" t="s">
        <v>32</v>
      </c>
      <c r="F321" s="13">
        <v>74000</v>
      </c>
      <c r="G321" s="39">
        <v>2300</v>
      </c>
      <c r="H321" s="45">
        <v>66.5</v>
      </c>
      <c r="I321" s="45">
        <v>70.260000000000005</v>
      </c>
      <c r="J321" s="40">
        <f>IF(D321="Short",H321-I321,I321-H321)</f>
        <v>-3.7600000000000051</v>
      </c>
      <c r="K321" s="40">
        <f>J321*G321</f>
        <v>-8648.0000000000109</v>
      </c>
      <c r="L321" s="40">
        <f>IF(D321="Short",G321*H321,G321*I321)</f>
        <v>152950</v>
      </c>
      <c r="M321" s="40">
        <f>IF(D321="Short",G321*I321,H321*G321)</f>
        <v>161598</v>
      </c>
      <c r="N321" s="40">
        <f>L321+M321</f>
        <v>314548</v>
      </c>
      <c r="O321" s="40">
        <f>N321*0.000134</f>
        <v>42.149432000000004</v>
      </c>
      <c r="P321" s="40">
        <f>K321-O321</f>
        <v>-8690.1494320000111</v>
      </c>
      <c r="Q321" s="14"/>
      <c r="R321" s="14"/>
      <c r="S321" s="14"/>
    </row>
    <row r="322" spans="1:19" x14ac:dyDescent="0.25">
      <c r="A322" s="51">
        <v>46171</v>
      </c>
      <c r="B322" s="9" t="s">
        <v>31</v>
      </c>
      <c r="C322" s="12">
        <v>46175</v>
      </c>
      <c r="D322" s="9" t="s">
        <v>28</v>
      </c>
      <c r="E322" s="9" t="s">
        <v>32</v>
      </c>
      <c r="F322" s="13">
        <v>23850</v>
      </c>
      <c r="G322" s="39">
        <v>1300</v>
      </c>
      <c r="H322" s="45">
        <v>114.47</v>
      </c>
      <c r="I322" s="45">
        <v>118.8</v>
      </c>
      <c r="J322" s="40">
        <f>IF(D322="Short",H322-I322,I322-H322)</f>
        <v>-4.3299999999999983</v>
      </c>
      <c r="K322" s="40">
        <f>J322*G322</f>
        <v>-5628.9999999999982</v>
      </c>
      <c r="L322" s="40">
        <f>IF(D322="Short",G322*H322,G322*I322)</f>
        <v>148811</v>
      </c>
      <c r="M322" s="40">
        <f>IF(D322="Short",G322*I322,H322*G322)</f>
        <v>154440</v>
      </c>
      <c r="N322" s="40">
        <f>L322+M322</f>
        <v>303251</v>
      </c>
      <c r="O322" s="40">
        <f>N322*0.000134</f>
        <v>40.635634000000003</v>
      </c>
      <c r="P322" s="40">
        <f>K322-O322</f>
        <v>-5669.6356339999984</v>
      </c>
      <c r="Q322" s="14"/>
      <c r="R322" s="14"/>
      <c r="S322" s="14"/>
    </row>
    <row r="323" spans="1:19" x14ac:dyDescent="0.25">
      <c r="A323" s="51">
        <v>46171</v>
      </c>
      <c r="B323" s="9" t="s">
        <v>27</v>
      </c>
      <c r="C323" s="12">
        <v>46177</v>
      </c>
      <c r="D323" s="9" t="s">
        <v>28</v>
      </c>
      <c r="E323" s="9" t="s">
        <v>32</v>
      </c>
      <c r="F323" s="13">
        <v>76100</v>
      </c>
      <c r="G323" s="39">
        <v>1200</v>
      </c>
      <c r="H323" s="45">
        <v>590.26</v>
      </c>
      <c r="I323" s="45">
        <v>568.01</v>
      </c>
      <c r="J323" s="40">
        <f>IF(D323="Short",H323-I323,I323-H323)</f>
        <v>22.25</v>
      </c>
      <c r="K323" s="40">
        <f>J323*G323</f>
        <v>26700</v>
      </c>
      <c r="L323" s="40">
        <f>IF(D323="Short",G323*H323,G323*I323)</f>
        <v>708312</v>
      </c>
      <c r="M323" s="40">
        <f>IF(D323="Short",G323*I323,H323*G323)</f>
        <v>681612</v>
      </c>
      <c r="N323" s="40">
        <f>L323+M323</f>
        <v>1389924</v>
      </c>
      <c r="O323" s="40">
        <f>N323*0.000134</f>
        <v>186.24981600000001</v>
      </c>
      <c r="P323" s="40">
        <f>K323-O323</f>
        <v>26513.750184</v>
      </c>
      <c r="Q323" s="14"/>
      <c r="R323" s="14"/>
      <c r="S323" s="14"/>
    </row>
    <row r="324" spans="1:19" x14ac:dyDescent="0.25">
      <c r="A324" s="51">
        <v>46171</v>
      </c>
      <c r="B324" s="9" t="s">
        <v>31</v>
      </c>
      <c r="C324" s="12">
        <v>46175</v>
      </c>
      <c r="D324" s="9" t="s">
        <v>28</v>
      </c>
      <c r="E324" s="9" t="s">
        <v>32</v>
      </c>
      <c r="F324" s="13">
        <v>23400</v>
      </c>
      <c r="G324" s="39">
        <v>3510</v>
      </c>
      <c r="H324" s="45">
        <v>11.5</v>
      </c>
      <c r="I324" s="45">
        <v>10.47</v>
      </c>
      <c r="J324" s="40">
        <f>IF(D324="Short",H324-I324,I324-H324)</f>
        <v>1.0299999999999994</v>
      </c>
      <c r="K324" s="40">
        <f>J324*G324</f>
        <v>3615.2999999999979</v>
      </c>
      <c r="L324" s="40">
        <f>IF(D324="Short",G324*H324,G324*I324)</f>
        <v>40365</v>
      </c>
      <c r="M324" s="40">
        <f>IF(D324="Short",G324*I324,H324*G324)</f>
        <v>36749.700000000004</v>
      </c>
      <c r="N324" s="40">
        <f>L324+M324</f>
        <v>77114.700000000012</v>
      </c>
      <c r="O324" s="40">
        <f>N324*0.000134</f>
        <v>10.333369800000002</v>
      </c>
      <c r="P324" s="40">
        <f>K324-O324</f>
        <v>3604.9666301999978</v>
      </c>
      <c r="Q324" s="14"/>
      <c r="R324" s="14"/>
      <c r="S324" s="14"/>
    </row>
    <row r="325" spans="1:19" x14ac:dyDescent="0.25">
      <c r="A325" s="51">
        <v>46171</v>
      </c>
      <c r="B325" s="9" t="s">
        <v>27</v>
      </c>
      <c r="C325" s="12">
        <v>46177</v>
      </c>
      <c r="D325" s="9" t="s">
        <v>28</v>
      </c>
      <c r="E325" s="9" t="s">
        <v>32</v>
      </c>
      <c r="F325" s="13">
        <v>73500</v>
      </c>
      <c r="G325" s="39">
        <v>1940</v>
      </c>
      <c r="H325" s="45">
        <v>38.64</v>
      </c>
      <c r="I325" s="45">
        <v>34.06</v>
      </c>
      <c r="J325" s="40">
        <f>IF(D325="Short",H325-I325,I325-H325)</f>
        <v>4.5799999999999983</v>
      </c>
      <c r="K325" s="40">
        <f>J325*G325</f>
        <v>8885.1999999999971</v>
      </c>
      <c r="L325" s="40">
        <f>IF(D325="Short",G325*H325,G325*I325)</f>
        <v>74961.600000000006</v>
      </c>
      <c r="M325" s="40">
        <f>IF(D325="Short",G325*I325,H325*G325)</f>
        <v>66076.400000000009</v>
      </c>
      <c r="N325" s="40">
        <f>L325+M325</f>
        <v>141038</v>
      </c>
      <c r="O325" s="40">
        <f>N325*0.000134</f>
        <v>18.899092</v>
      </c>
      <c r="P325" s="40">
        <f>K325-O325</f>
        <v>8866.3009079999974</v>
      </c>
      <c r="Q325" s="14"/>
      <c r="R325" s="14"/>
      <c r="S325" s="14"/>
    </row>
    <row r="326" spans="1:19" x14ac:dyDescent="0.25">
      <c r="A326" s="51">
        <v>46171</v>
      </c>
      <c r="B326" s="9" t="s">
        <v>27</v>
      </c>
      <c r="C326" s="12">
        <v>46177</v>
      </c>
      <c r="D326" s="9" t="s">
        <v>28</v>
      </c>
      <c r="E326" s="9" t="s">
        <v>32</v>
      </c>
      <c r="F326" s="13">
        <v>73900</v>
      </c>
      <c r="G326" s="39">
        <v>200</v>
      </c>
      <c r="H326" s="45">
        <v>63.02</v>
      </c>
      <c r="I326" s="45">
        <v>63.04</v>
      </c>
      <c r="J326" s="40">
        <f>IF(D326="Short",H326-I326,I326-H326)</f>
        <v>-1.9999999999996021E-2</v>
      </c>
      <c r="K326" s="40">
        <f>J326*G326</f>
        <v>-3.9999999999992042</v>
      </c>
      <c r="L326" s="40">
        <f>IF(D326="Short",G326*H326,G326*I326)</f>
        <v>12604</v>
      </c>
      <c r="M326" s="40">
        <f>IF(D326="Short",G326*I326,H326*G326)</f>
        <v>12608</v>
      </c>
      <c r="N326" s="40">
        <f>L326+M326</f>
        <v>25212</v>
      </c>
      <c r="O326" s="40">
        <f>N326*0.000134</f>
        <v>3.3784080000000003</v>
      </c>
      <c r="P326" s="40">
        <f>K326-O326</f>
        <v>-7.3784079999992045</v>
      </c>
      <c r="Q326" s="14"/>
      <c r="R326" s="14"/>
      <c r="S326" s="14"/>
    </row>
    <row r="327" spans="1:19" x14ac:dyDescent="0.25">
      <c r="A327" s="51">
        <v>46174</v>
      </c>
      <c r="B327" s="9" t="s">
        <v>31</v>
      </c>
      <c r="C327" s="12">
        <v>46175</v>
      </c>
      <c r="D327" s="9" t="s">
        <v>30</v>
      </c>
      <c r="E327" s="9" t="s">
        <v>32</v>
      </c>
      <c r="F327" s="13">
        <v>23350</v>
      </c>
      <c r="G327" s="39">
        <v>390</v>
      </c>
      <c r="H327" s="45">
        <v>22.65</v>
      </c>
      <c r="I327" s="45">
        <v>33.700000000000003</v>
      </c>
      <c r="J327" s="40">
        <f>IF(D327="Short",H327-I327,I327-H327)</f>
        <v>11.050000000000004</v>
      </c>
      <c r="K327" s="40">
        <f>J327*G327</f>
        <v>4309.5000000000018</v>
      </c>
      <c r="L327" s="40">
        <f>IF(D327="Short",G327*H327,G327*I327)</f>
        <v>13143.000000000002</v>
      </c>
      <c r="M327" s="40">
        <f>IF(D327="Short",G327*I327,H327*G327)</f>
        <v>8833.5</v>
      </c>
      <c r="N327" s="40">
        <f>L327+M327</f>
        <v>21976.5</v>
      </c>
      <c r="O327" s="40">
        <f>N327*0.000134</f>
        <v>2.9448509999999999</v>
      </c>
      <c r="P327" s="40">
        <f>K327-O327</f>
        <v>4306.5551490000016</v>
      </c>
      <c r="Q327" s="14"/>
      <c r="R327" s="14"/>
      <c r="S327" s="14"/>
    </row>
    <row r="328" spans="1:19" x14ac:dyDescent="0.25">
      <c r="A328" s="51">
        <v>46175</v>
      </c>
      <c r="B328" s="9" t="s">
        <v>27</v>
      </c>
      <c r="C328" s="12">
        <v>46177</v>
      </c>
      <c r="D328" s="9" t="s">
        <v>28</v>
      </c>
      <c r="E328" s="9" t="s">
        <v>32</v>
      </c>
      <c r="F328" s="13">
        <v>72800</v>
      </c>
      <c r="G328" s="39">
        <v>900</v>
      </c>
      <c r="H328" s="45">
        <v>13.7</v>
      </c>
      <c r="I328" s="45">
        <v>20.56</v>
      </c>
      <c r="J328" s="40">
        <f>IF(D328="Short",H328-I328,I328-H328)</f>
        <v>-6.8599999999999994</v>
      </c>
      <c r="K328" s="40">
        <f>J328*G328</f>
        <v>-6173.9999999999991</v>
      </c>
      <c r="L328" s="40">
        <f>IF(D328="Short",G328*H328,G328*I328)</f>
        <v>12330</v>
      </c>
      <c r="M328" s="40">
        <f>IF(D328="Short",G328*I328,H328*G328)</f>
        <v>18504</v>
      </c>
      <c r="N328" s="40">
        <f>L328+M328</f>
        <v>30834</v>
      </c>
      <c r="O328" s="40">
        <f>N328*0.000134</f>
        <v>4.1317560000000002</v>
      </c>
      <c r="P328" s="40">
        <f>K328-O328</f>
        <v>-6178.1317559999989</v>
      </c>
      <c r="Q328" s="14"/>
      <c r="R328" s="14"/>
      <c r="S328" s="14"/>
    </row>
    <row r="329" spans="1:19" x14ac:dyDescent="0.25">
      <c r="A329" s="51">
        <v>46175</v>
      </c>
      <c r="B329" s="9" t="s">
        <v>27</v>
      </c>
      <c r="C329" s="12">
        <v>46177</v>
      </c>
      <c r="D329" s="9" t="s">
        <v>30</v>
      </c>
      <c r="E329" s="9" t="s">
        <v>32</v>
      </c>
      <c r="F329" s="13">
        <v>74300</v>
      </c>
      <c r="G329" s="39">
        <v>300</v>
      </c>
      <c r="H329" s="45">
        <v>125.56</v>
      </c>
      <c r="I329" s="45">
        <v>308.45</v>
      </c>
      <c r="J329" s="40">
        <f>IF(D329="Short",H329-I329,I329-H329)</f>
        <v>182.89</v>
      </c>
      <c r="K329" s="40">
        <f>J329*G329</f>
        <v>54866.999999999993</v>
      </c>
      <c r="L329" s="40">
        <f>IF(D329="Short",G329*H329,G329*I329)</f>
        <v>92535</v>
      </c>
      <c r="M329" s="40">
        <f>IF(D329="Short",G329*I329,H329*G329)</f>
        <v>37668</v>
      </c>
      <c r="N329" s="40">
        <f>L329+M329</f>
        <v>130203</v>
      </c>
      <c r="O329" s="40">
        <f>N329*0.000134</f>
        <v>17.447202000000001</v>
      </c>
      <c r="P329" s="40">
        <f>K329-O329</f>
        <v>54849.55279799999</v>
      </c>
      <c r="Q329" s="14"/>
      <c r="R329" s="14"/>
      <c r="S329" s="14"/>
    </row>
    <row r="330" spans="1:19" x14ac:dyDescent="0.25">
      <c r="A330" s="51">
        <v>46175</v>
      </c>
      <c r="B330" s="9" t="s">
        <v>27</v>
      </c>
      <c r="C330" s="12">
        <v>46177</v>
      </c>
      <c r="D330" s="9" t="s">
        <v>30</v>
      </c>
      <c r="E330" s="9" t="s">
        <v>32</v>
      </c>
      <c r="F330" s="13">
        <v>72800</v>
      </c>
      <c r="G330" s="39">
        <v>1200</v>
      </c>
      <c r="H330" s="45">
        <v>20.56</v>
      </c>
      <c r="I330" s="45">
        <v>37.56</v>
      </c>
      <c r="J330" s="40">
        <f>IF(D330="Short",H330-I330,I330-H330)</f>
        <v>17.000000000000004</v>
      </c>
      <c r="K330" s="40">
        <f>J330*G330</f>
        <v>20400.000000000004</v>
      </c>
      <c r="L330" s="40">
        <f>IF(D330="Short",G330*H330,G330*I330)</f>
        <v>45072</v>
      </c>
      <c r="M330" s="40">
        <f>IF(D330="Short",G330*I330,H330*G330)</f>
        <v>24672</v>
      </c>
      <c r="N330" s="40">
        <f>L330+M330</f>
        <v>69744</v>
      </c>
      <c r="O330" s="40">
        <f>N330*0.000134</f>
        <v>9.3456960000000002</v>
      </c>
      <c r="P330" s="40">
        <f>K330-O330</f>
        <v>20390.654304000003</v>
      </c>
      <c r="Q330" s="14"/>
      <c r="R330" s="14"/>
      <c r="S330" s="14"/>
    </row>
    <row r="331" spans="1:19" x14ac:dyDescent="0.25">
      <c r="A331" s="51">
        <v>46175</v>
      </c>
      <c r="B331" s="9" t="s">
        <v>27</v>
      </c>
      <c r="C331" s="12">
        <v>46177</v>
      </c>
      <c r="D331" s="9" t="s">
        <v>28</v>
      </c>
      <c r="E331" s="9" t="s">
        <v>32</v>
      </c>
      <c r="F331" s="13">
        <v>74500</v>
      </c>
      <c r="G331" s="39">
        <v>300</v>
      </c>
      <c r="H331" s="45">
        <v>177.98</v>
      </c>
      <c r="I331" s="45">
        <v>640.73</v>
      </c>
      <c r="J331" s="40">
        <f>IF(D331="Short",H331-I331,I331-H331)</f>
        <v>-462.75</v>
      </c>
      <c r="K331" s="40">
        <f>J331*G331</f>
        <v>-138825</v>
      </c>
      <c r="L331" s="40">
        <f>IF(D331="Short",G331*H331,G331*I331)</f>
        <v>53394</v>
      </c>
      <c r="M331" s="40">
        <f>IF(D331="Short",G331*I331,H331*G331)</f>
        <v>192219</v>
      </c>
      <c r="N331" s="40">
        <f>L331+M331</f>
        <v>245613</v>
      </c>
      <c r="O331" s="40">
        <f>N331*0.000134</f>
        <v>32.912142000000003</v>
      </c>
      <c r="P331" s="40">
        <f>K331-O331</f>
        <v>-138857.91214199999</v>
      </c>
      <c r="Q331" s="14"/>
      <c r="R331" s="14"/>
      <c r="S331" s="14"/>
    </row>
    <row r="332" spans="1:19" x14ac:dyDescent="0.25">
      <c r="A332" s="51">
        <v>46175</v>
      </c>
      <c r="B332" s="9" t="s">
        <v>27</v>
      </c>
      <c r="C332" s="12">
        <v>46177</v>
      </c>
      <c r="D332" s="9" t="s">
        <v>28</v>
      </c>
      <c r="E332" s="9" t="s">
        <v>29</v>
      </c>
      <c r="F332" s="13">
        <v>74800</v>
      </c>
      <c r="G332" s="39">
        <v>120</v>
      </c>
      <c r="H332" s="45">
        <v>430.23</v>
      </c>
      <c r="I332" s="45">
        <v>513.58000000000004</v>
      </c>
      <c r="J332" s="40">
        <f>IF(D332="Short",H332-I332,I332-H332)</f>
        <v>-83.350000000000023</v>
      </c>
      <c r="K332" s="40">
        <f>J332*G332</f>
        <v>-10002.000000000004</v>
      </c>
      <c r="L332" s="40">
        <f>IF(D332="Short",G332*H332,G332*I332)</f>
        <v>51627.600000000006</v>
      </c>
      <c r="M332" s="40">
        <f>IF(D332="Short",G332*I332,H332*G332)</f>
        <v>61629.600000000006</v>
      </c>
      <c r="N332" s="40">
        <f>L332+M332</f>
        <v>113257.20000000001</v>
      </c>
      <c r="O332" s="40">
        <f>N332*0.000134</f>
        <v>15.176464800000002</v>
      </c>
      <c r="P332" s="40">
        <f>K332-O332</f>
        <v>-10017.176464800004</v>
      </c>
      <c r="Q332" s="14"/>
      <c r="R332" s="14"/>
      <c r="S332" s="14"/>
    </row>
    <row r="333" spans="1:19" x14ac:dyDescent="0.25">
      <c r="A333" s="51">
        <v>46175</v>
      </c>
      <c r="B333" s="9" t="s">
        <v>27</v>
      </c>
      <c r="C333" s="12">
        <v>46177</v>
      </c>
      <c r="D333" s="9" t="s">
        <v>28</v>
      </c>
      <c r="E333" s="9" t="s">
        <v>29</v>
      </c>
      <c r="F333" s="13">
        <v>74700</v>
      </c>
      <c r="G333" s="39">
        <v>140</v>
      </c>
      <c r="H333" s="45">
        <v>489.95</v>
      </c>
      <c r="I333" s="45">
        <v>526.64</v>
      </c>
      <c r="J333" s="40">
        <f>IF(D333="Short",H333-I333,I333-H333)</f>
        <v>-36.69</v>
      </c>
      <c r="K333" s="40">
        <f>J333*G333</f>
        <v>-5136.5999999999995</v>
      </c>
      <c r="L333" s="40">
        <f>IF(D333="Short",G333*H333,G333*I333)</f>
        <v>68593</v>
      </c>
      <c r="M333" s="40">
        <f>IF(D333="Short",G333*I333,H333*G333)</f>
        <v>73729.599999999991</v>
      </c>
      <c r="N333" s="40">
        <f>L333+M333</f>
        <v>142322.59999999998</v>
      </c>
      <c r="O333" s="40">
        <f>N333*0.000134</f>
        <v>19.071228399999999</v>
      </c>
      <c r="P333" s="40">
        <f>K333-O333</f>
        <v>-5155.6712283999996</v>
      </c>
      <c r="Q333" s="14"/>
      <c r="R333" s="14"/>
      <c r="S333" s="14"/>
    </row>
    <row r="334" spans="1:19" x14ac:dyDescent="0.25">
      <c r="A334" s="51">
        <v>46175</v>
      </c>
      <c r="B334" s="9" t="s">
        <v>31</v>
      </c>
      <c r="C334" s="12">
        <v>46182</v>
      </c>
      <c r="D334" s="9" t="s">
        <v>28</v>
      </c>
      <c r="E334" s="9" t="s">
        <v>29</v>
      </c>
      <c r="F334" s="13">
        <v>23450</v>
      </c>
      <c r="G334" s="39">
        <v>520</v>
      </c>
      <c r="H334" s="45">
        <v>266.16000000000003</v>
      </c>
      <c r="I334" s="45">
        <v>250.93</v>
      </c>
      <c r="J334" s="40">
        <f>IF(D334="Short",H334-I334,I334-H334)</f>
        <v>15.230000000000018</v>
      </c>
      <c r="K334" s="40">
        <f>J334*G334</f>
        <v>7919.6000000000095</v>
      </c>
      <c r="L334" s="40">
        <f>IF(D334="Short",G334*H334,G334*I334)</f>
        <v>138403.20000000001</v>
      </c>
      <c r="M334" s="40">
        <f>IF(D334="Short",G334*I334,H334*G334)</f>
        <v>130483.6</v>
      </c>
      <c r="N334" s="40">
        <f>L334+M334</f>
        <v>268886.80000000005</v>
      </c>
      <c r="O334" s="40">
        <f>N334*0.000134</f>
        <v>36.030831200000009</v>
      </c>
      <c r="P334" s="40">
        <f>K334-O334</f>
        <v>7883.5691688000097</v>
      </c>
      <c r="Q334" s="14"/>
      <c r="R334" s="14"/>
      <c r="S334" s="14"/>
    </row>
    <row r="335" spans="1:19" x14ac:dyDescent="0.25">
      <c r="A335" s="51">
        <v>46175</v>
      </c>
      <c r="B335" s="9" t="s">
        <v>31</v>
      </c>
      <c r="C335" s="12">
        <v>46182</v>
      </c>
      <c r="D335" s="9" t="s">
        <v>28</v>
      </c>
      <c r="E335" s="9" t="s">
        <v>29</v>
      </c>
      <c r="F335" s="13">
        <v>23500</v>
      </c>
      <c r="G335" s="39">
        <v>65</v>
      </c>
      <c r="H335" s="45">
        <v>234.5</v>
      </c>
      <c r="I335" s="45">
        <v>236.4</v>
      </c>
      <c r="J335" s="40">
        <f>IF(D335="Short",H335-I335,I335-H335)</f>
        <v>-1.9000000000000057</v>
      </c>
      <c r="K335" s="40">
        <f>J335*G335</f>
        <v>-123.50000000000037</v>
      </c>
      <c r="L335" s="40">
        <f>IF(D335="Short",G335*H335,G335*I335)</f>
        <v>15242.5</v>
      </c>
      <c r="M335" s="40">
        <f>IF(D335="Short",G335*I335,H335*G335)</f>
        <v>15366</v>
      </c>
      <c r="N335" s="40">
        <f>L335+M335</f>
        <v>30608.5</v>
      </c>
      <c r="O335" s="40">
        <f>N335*0.000134</f>
        <v>4.1015389999999998</v>
      </c>
      <c r="P335" s="40">
        <f>K335-O335</f>
        <v>-127.60153900000037</v>
      </c>
      <c r="Q335" s="14"/>
      <c r="R335" s="14"/>
      <c r="S335" s="14"/>
    </row>
    <row r="336" spans="1:19" x14ac:dyDescent="0.25">
      <c r="A336" s="51">
        <v>46175</v>
      </c>
      <c r="B336" s="9" t="s">
        <v>31</v>
      </c>
      <c r="C336" s="12">
        <v>46175</v>
      </c>
      <c r="D336" s="9" t="s">
        <v>28</v>
      </c>
      <c r="E336" s="9" t="s">
        <v>32</v>
      </c>
      <c r="F336" s="13">
        <v>23200</v>
      </c>
      <c r="G336" s="39">
        <v>975</v>
      </c>
      <c r="H336" s="45">
        <v>0.05</v>
      </c>
      <c r="I336" s="45">
        <v>5.4</v>
      </c>
      <c r="J336" s="40">
        <f>IF(D336="Short",H336-I336,I336-H336)</f>
        <v>-5.3500000000000005</v>
      </c>
      <c r="K336" s="40">
        <f>J336*G336</f>
        <v>-5216.2500000000009</v>
      </c>
      <c r="L336" s="40">
        <f>IF(D336="Short",G336*H336,G336*I336)</f>
        <v>48.75</v>
      </c>
      <c r="M336" s="40">
        <f>IF(D336="Short",G336*I336,H336*G336)</f>
        <v>5265</v>
      </c>
      <c r="N336" s="40">
        <f>L336+M336</f>
        <v>5313.75</v>
      </c>
      <c r="O336" s="40">
        <f>N336*0.000134</f>
        <v>0.71204250000000002</v>
      </c>
      <c r="P336" s="40">
        <f>K336-O336</f>
        <v>-5216.9620425000012</v>
      </c>
      <c r="Q336" s="14"/>
      <c r="R336" s="14"/>
      <c r="S336" s="14"/>
    </row>
    <row r="337" spans="1:19" x14ac:dyDescent="0.25">
      <c r="A337" s="51">
        <v>46175</v>
      </c>
      <c r="B337" s="9" t="s">
        <v>31</v>
      </c>
      <c r="C337" s="12">
        <v>46182</v>
      </c>
      <c r="D337" s="9" t="s">
        <v>28</v>
      </c>
      <c r="E337" s="9" t="s">
        <v>29</v>
      </c>
      <c r="F337" s="13">
        <v>24500</v>
      </c>
      <c r="G337" s="39">
        <v>975</v>
      </c>
      <c r="H337" s="45">
        <v>6.1</v>
      </c>
      <c r="I337" s="45">
        <v>6.45</v>
      </c>
      <c r="J337" s="40">
        <f>IF(D337="Short",H337-I337,I337-H337)</f>
        <v>-0.35000000000000053</v>
      </c>
      <c r="K337" s="40">
        <f>J337*G337</f>
        <v>-341.25000000000051</v>
      </c>
      <c r="L337" s="40">
        <f>IF(D337="Short",G337*H337,G337*I337)</f>
        <v>5947.5</v>
      </c>
      <c r="M337" s="40">
        <f>IF(D337="Short",G337*I337,H337*G337)</f>
        <v>6288.75</v>
      </c>
      <c r="N337" s="40">
        <f>L337+M337</f>
        <v>12236.25</v>
      </c>
      <c r="O337" s="40">
        <f>N337*0.000134</f>
        <v>1.6396575</v>
      </c>
      <c r="P337" s="40">
        <f>K337-O337</f>
        <v>-342.88965750000051</v>
      </c>
      <c r="Q337" s="14"/>
      <c r="R337" s="14"/>
      <c r="S337" s="14"/>
    </row>
    <row r="338" spans="1:19" x14ac:dyDescent="0.25">
      <c r="A338" s="51">
        <v>46175</v>
      </c>
      <c r="B338" s="9" t="s">
        <v>31</v>
      </c>
      <c r="C338" s="12">
        <v>46175</v>
      </c>
      <c r="D338" s="9" t="s">
        <v>28</v>
      </c>
      <c r="E338" s="9" t="s">
        <v>29</v>
      </c>
      <c r="F338" s="13">
        <v>23400</v>
      </c>
      <c r="G338" s="39">
        <v>1495</v>
      </c>
      <c r="H338" s="45">
        <v>90.35</v>
      </c>
      <c r="I338" s="45">
        <v>83.51</v>
      </c>
      <c r="J338" s="40">
        <f>IF(D338="Short",H338-I338,I338-H338)</f>
        <v>6.8399999999999892</v>
      </c>
      <c r="K338" s="40">
        <f>J338*G338</f>
        <v>10225.799999999985</v>
      </c>
      <c r="L338" s="40">
        <f>IF(D338="Short",G338*H338,G338*I338)</f>
        <v>135073.25</v>
      </c>
      <c r="M338" s="40">
        <f>IF(D338="Short",G338*I338,H338*G338)</f>
        <v>124847.45000000001</v>
      </c>
      <c r="N338" s="40">
        <f>L338+M338</f>
        <v>259920.7</v>
      </c>
      <c r="O338" s="40">
        <f>N338*0.000134</f>
        <v>34.829373800000006</v>
      </c>
      <c r="P338" s="40">
        <f>K338-O338</f>
        <v>10190.970626199985</v>
      </c>
      <c r="Q338" s="14"/>
      <c r="R338" s="14"/>
      <c r="S338" s="14"/>
    </row>
    <row r="339" spans="1:19" x14ac:dyDescent="0.25">
      <c r="A339" s="51">
        <v>46175</v>
      </c>
      <c r="B339" s="9" t="s">
        <v>31</v>
      </c>
      <c r="C339" s="12">
        <v>46175</v>
      </c>
      <c r="D339" s="9" t="s">
        <v>28</v>
      </c>
      <c r="E339" s="9" t="s">
        <v>29</v>
      </c>
      <c r="F339" s="13">
        <v>23350</v>
      </c>
      <c r="G339" s="39">
        <v>2275</v>
      </c>
      <c r="H339" s="45">
        <v>115.9</v>
      </c>
      <c r="I339" s="45">
        <v>122.14</v>
      </c>
      <c r="J339" s="40">
        <f>IF(D339="Short",H339-I339,I339-H339)</f>
        <v>-6.2399999999999949</v>
      </c>
      <c r="K339" s="40">
        <f>J339*G339</f>
        <v>-14195.999999999989</v>
      </c>
      <c r="L339" s="40">
        <f>IF(D339="Short",G339*H339,G339*I339)</f>
        <v>263672.5</v>
      </c>
      <c r="M339" s="40">
        <f>IF(D339="Short",G339*I339,H339*G339)</f>
        <v>277868.5</v>
      </c>
      <c r="N339" s="40">
        <f>L339+M339</f>
        <v>541541</v>
      </c>
      <c r="O339" s="40">
        <f>N339*0.000134</f>
        <v>72.566494000000006</v>
      </c>
      <c r="P339" s="40">
        <f>K339-O339</f>
        <v>-14268.56649399999</v>
      </c>
      <c r="Q339" s="14"/>
      <c r="R339" s="14"/>
      <c r="S339" s="14"/>
    </row>
    <row r="340" spans="1:19" x14ac:dyDescent="0.25">
      <c r="A340" s="51">
        <v>46175</v>
      </c>
      <c r="B340" s="9" t="s">
        <v>31</v>
      </c>
      <c r="C340" s="12">
        <v>46182</v>
      </c>
      <c r="D340" s="9" t="s">
        <v>30</v>
      </c>
      <c r="E340" s="9" t="s">
        <v>29</v>
      </c>
      <c r="F340" s="13">
        <v>23500</v>
      </c>
      <c r="G340" s="39">
        <v>325</v>
      </c>
      <c r="H340" s="45">
        <v>236.4</v>
      </c>
      <c r="I340" s="45">
        <v>122.1</v>
      </c>
      <c r="J340" s="40">
        <f>IF(D340="Short",H340-I340,I340-H340)</f>
        <v>-114.30000000000001</v>
      </c>
      <c r="K340" s="40">
        <f>J340*G340</f>
        <v>-37147.500000000007</v>
      </c>
      <c r="L340" s="40">
        <f>IF(D340="Short",G340*H340,G340*I340)</f>
        <v>39682.5</v>
      </c>
      <c r="M340" s="40">
        <f>IF(D340="Short",G340*I340,H340*G340)</f>
        <v>76830</v>
      </c>
      <c r="N340" s="40">
        <f>L340+M340</f>
        <v>116512.5</v>
      </c>
      <c r="O340" s="40">
        <f>N340*0.000134</f>
        <v>15.612675000000001</v>
      </c>
      <c r="P340" s="40">
        <f>K340-O340</f>
        <v>-37163.112675000004</v>
      </c>
      <c r="Q340" s="14"/>
      <c r="R340" s="14"/>
      <c r="S340" s="14"/>
    </row>
    <row r="341" spans="1:19" x14ac:dyDescent="0.25">
      <c r="A341" s="51">
        <v>46175</v>
      </c>
      <c r="B341" s="9" t="s">
        <v>31</v>
      </c>
      <c r="C341" s="12">
        <v>46182</v>
      </c>
      <c r="D341" s="9" t="s">
        <v>30</v>
      </c>
      <c r="E341" s="9" t="s">
        <v>32</v>
      </c>
      <c r="F341" s="13">
        <v>22800</v>
      </c>
      <c r="G341" s="39">
        <v>3900</v>
      </c>
      <c r="H341" s="45">
        <v>15.26</v>
      </c>
      <c r="I341" s="45">
        <v>46.55</v>
      </c>
      <c r="J341" s="40">
        <f>IF(D341="Short",H341-I341,I341-H341)</f>
        <v>31.29</v>
      </c>
      <c r="K341" s="40">
        <f>J341*G341</f>
        <v>122031</v>
      </c>
      <c r="L341" s="40">
        <f>IF(D341="Short",G341*H341,G341*I341)</f>
        <v>181545</v>
      </c>
      <c r="M341" s="40">
        <f>IF(D341="Short",G341*I341,H341*G341)</f>
        <v>59514</v>
      </c>
      <c r="N341" s="40">
        <f>L341+M341</f>
        <v>241059</v>
      </c>
      <c r="O341" s="40">
        <f>N341*0.000134</f>
        <v>32.301906000000002</v>
      </c>
      <c r="P341" s="40">
        <f>K341-O341</f>
        <v>121998.69809400001</v>
      </c>
      <c r="Q341" s="14"/>
      <c r="R341" s="14"/>
      <c r="S341" s="14"/>
    </row>
    <row r="342" spans="1:19" x14ac:dyDescent="0.25">
      <c r="A342" s="51">
        <v>46175</v>
      </c>
      <c r="B342" s="9" t="s">
        <v>31</v>
      </c>
      <c r="C342" s="12">
        <v>46182</v>
      </c>
      <c r="D342" s="9" t="s">
        <v>28</v>
      </c>
      <c r="E342" s="9" t="s">
        <v>32</v>
      </c>
      <c r="F342" s="13">
        <v>23450</v>
      </c>
      <c r="G342" s="39">
        <v>3900</v>
      </c>
      <c r="H342" s="45">
        <v>127.61</v>
      </c>
      <c r="I342" s="45">
        <v>256.93</v>
      </c>
      <c r="J342" s="40">
        <f>IF(D342="Short",H342-I342,I342-H342)</f>
        <v>-129.32</v>
      </c>
      <c r="K342" s="40">
        <f>J342*G342</f>
        <v>-504348</v>
      </c>
      <c r="L342" s="40">
        <f>IF(D342="Short",G342*H342,G342*I342)</f>
        <v>497679</v>
      </c>
      <c r="M342" s="40">
        <f>IF(D342="Short",G342*I342,H342*G342)</f>
        <v>1002027</v>
      </c>
      <c r="N342" s="40">
        <f>L342+M342</f>
        <v>1499706</v>
      </c>
      <c r="O342" s="40">
        <f>N342*0.000134</f>
        <v>200.96060400000002</v>
      </c>
      <c r="P342" s="40">
        <f>K342-O342</f>
        <v>-504548.96060400002</v>
      </c>
      <c r="Q342" s="14"/>
      <c r="R342" s="14"/>
      <c r="S342" s="14"/>
    </row>
    <row r="343" spans="1:19" x14ac:dyDescent="0.25">
      <c r="A343" s="51">
        <v>46175</v>
      </c>
      <c r="B343" s="9" t="s">
        <v>31</v>
      </c>
      <c r="C343" s="12">
        <v>46175</v>
      </c>
      <c r="D343" s="9" t="s">
        <v>30</v>
      </c>
      <c r="E343" s="9" t="s">
        <v>32</v>
      </c>
      <c r="F343" s="13">
        <v>23450</v>
      </c>
      <c r="G343" s="39">
        <v>3250</v>
      </c>
      <c r="H343" s="45">
        <v>14.62</v>
      </c>
      <c r="I343" s="45">
        <v>29.32</v>
      </c>
      <c r="J343" s="40">
        <f>IF(D343="Short",H343-I343,I343-H343)</f>
        <v>14.700000000000001</v>
      </c>
      <c r="K343" s="40">
        <f>J343*G343</f>
        <v>47775</v>
      </c>
      <c r="L343" s="40">
        <f>IF(D343="Short",G343*H343,G343*I343)</f>
        <v>95290</v>
      </c>
      <c r="M343" s="40">
        <f>IF(D343="Short",G343*I343,H343*G343)</f>
        <v>47515</v>
      </c>
      <c r="N343" s="40">
        <f>L343+M343</f>
        <v>142805</v>
      </c>
      <c r="O343" s="40">
        <f>N343*0.000134</f>
        <v>19.135870000000001</v>
      </c>
      <c r="P343" s="40">
        <f>K343-O343</f>
        <v>47755.864130000002</v>
      </c>
      <c r="Q343" s="14"/>
      <c r="R343" s="14"/>
      <c r="S343" s="14"/>
    </row>
    <row r="344" spans="1:19" x14ac:dyDescent="0.25">
      <c r="A344" s="51">
        <v>46175</v>
      </c>
      <c r="B344" s="9" t="s">
        <v>31</v>
      </c>
      <c r="C344" s="12">
        <v>46175</v>
      </c>
      <c r="D344" s="9" t="s">
        <v>28</v>
      </c>
      <c r="E344" s="9" t="s">
        <v>29</v>
      </c>
      <c r="F344" s="13">
        <v>23500</v>
      </c>
      <c r="G344" s="39">
        <v>2275</v>
      </c>
      <c r="H344" s="45">
        <v>12.13</v>
      </c>
      <c r="I344" s="45">
        <v>44.8</v>
      </c>
      <c r="J344" s="40">
        <f>IF(D344="Short",H344-I344,I344-H344)</f>
        <v>-32.669999999999995</v>
      </c>
      <c r="K344" s="40">
        <f>J344*G344</f>
        <v>-74324.249999999985</v>
      </c>
      <c r="L344" s="40">
        <f>IF(D344="Short",G344*H344,G344*I344)</f>
        <v>27595.75</v>
      </c>
      <c r="M344" s="40">
        <f>IF(D344="Short",G344*I344,H344*G344)</f>
        <v>101920</v>
      </c>
      <c r="N344" s="40">
        <f>L344+M344</f>
        <v>129515.75</v>
      </c>
      <c r="O344" s="40">
        <f>N344*0.000134</f>
        <v>17.355110500000002</v>
      </c>
      <c r="P344" s="40">
        <f>K344-O344</f>
        <v>-74341.605110499979</v>
      </c>
      <c r="Q344" s="14"/>
      <c r="R344" s="14"/>
      <c r="S344" s="14"/>
    </row>
    <row r="345" spans="1:19" x14ac:dyDescent="0.25">
      <c r="A345" s="51">
        <v>46175</v>
      </c>
      <c r="B345" s="9" t="s">
        <v>27</v>
      </c>
      <c r="C345" s="12">
        <v>46177</v>
      </c>
      <c r="D345" s="9" t="s">
        <v>30</v>
      </c>
      <c r="E345" s="9" t="s">
        <v>29</v>
      </c>
      <c r="F345" s="13">
        <v>74700</v>
      </c>
      <c r="G345" s="39">
        <v>60</v>
      </c>
      <c r="H345" s="45">
        <v>526.64</v>
      </c>
      <c r="I345" s="45">
        <v>146.91</v>
      </c>
      <c r="J345" s="40">
        <f>IF(D345="Short",H345-I345,I345-H345)</f>
        <v>-379.73</v>
      </c>
      <c r="K345" s="40">
        <f>J345*G345</f>
        <v>-22783.800000000003</v>
      </c>
      <c r="L345" s="40">
        <f>IF(D345="Short",G345*H345,G345*I345)</f>
        <v>8814.6</v>
      </c>
      <c r="M345" s="40">
        <f>IF(D345="Short",G345*I345,H345*G345)</f>
        <v>31598.399999999998</v>
      </c>
      <c r="N345" s="40">
        <f>L345+M345</f>
        <v>40413</v>
      </c>
      <c r="O345" s="40">
        <f>N345*0.000134</f>
        <v>5.4153419999999999</v>
      </c>
      <c r="P345" s="40">
        <f>K345-O345</f>
        <v>-22789.215342000003</v>
      </c>
      <c r="Q345" s="14"/>
      <c r="R345" s="14"/>
      <c r="S345" s="14"/>
    </row>
    <row r="346" spans="1:19" x14ac:dyDescent="0.25">
      <c r="A346" s="51">
        <v>46175</v>
      </c>
      <c r="B346" s="9" t="s">
        <v>27</v>
      </c>
      <c r="C346" s="12">
        <v>46177</v>
      </c>
      <c r="D346" s="9" t="s">
        <v>28</v>
      </c>
      <c r="E346" s="9" t="s">
        <v>32</v>
      </c>
      <c r="F346" s="13">
        <v>74600</v>
      </c>
      <c r="G346" s="39">
        <v>300</v>
      </c>
      <c r="H346" s="45">
        <v>295.04000000000002</v>
      </c>
      <c r="I346" s="45">
        <v>715</v>
      </c>
      <c r="J346" s="40">
        <f>IF(D346="Short",H346-I346,I346-H346)</f>
        <v>-419.96</v>
      </c>
      <c r="K346" s="40">
        <f>J346*G346</f>
        <v>-125988</v>
      </c>
      <c r="L346" s="40">
        <f>IF(D346="Short",G346*H346,G346*I346)</f>
        <v>88512</v>
      </c>
      <c r="M346" s="40">
        <f>IF(D346="Short",G346*I346,H346*G346)</f>
        <v>214500</v>
      </c>
      <c r="N346" s="40">
        <f>L346+M346</f>
        <v>303012</v>
      </c>
      <c r="O346" s="40">
        <f>N346*0.000134</f>
        <v>40.603608000000001</v>
      </c>
      <c r="P346" s="40">
        <f>K346-O346</f>
        <v>-126028.603608</v>
      </c>
      <c r="Q346" s="14"/>
      <c r="R346" s="14"/>
      <c r="S346" s="14"/>
    </row>
    <row r="347" spans="1:19" x14ac:dyDescent="0.25">
      <c r="A347" s="51">
        <v>46175</v>
      </c>
      <c r="B347" s="9" t="s">
        <v>31</v>
      </c>
      <c r="C347" s="12">
        <v>46175</v>
      </c>
      <c r="D347" s="9" t="s">
        <v>30</v>
      </c>
      <c r="E347" s="9" t="s">
        <v>32</v>
      </c>
      <c r="F347" s="13">
        <v>23350</v>
      </c>
      <c r="G347" s="39">
        <v>2600</v>
      </c>
      <c r="H347" s="45">
        <v>7.11</v>
      </c>
      <c r="I347" s="45">
        <v>0</v>
      </c>
      <c r="J347" s="40">
        <f>IF(D347="Short",H347-I347,I347-H347)</f>
        <v>-7.11</v>
      </c>
      <c r="K347" s="40">
        <f>J347*G347</f>
        <v>-18486</v>
      </c>
      <c r="L347" s="40">
        <f>IF(D347="Short",G347*H347,G347*I347)</f>
        <v>0</v>
      </c>
      <c r="M347" s="40">
        <f>IF(D347="Short",G347*I347,H347*G347)</f>
        <v>18486</v>
      </c>
      <c r="N347" s="40">
        <f>L347+M347</f>
        <v>18486</v>
      </c>
      <c r="O347" s="40">
        <f>N347*0.000134</f>
        <v>2.4771239999999999</v>
      </c>
      <c r="P347" s="40">
        <f>K347-O347</f>
        <v>-18488.477124000001</v>
      </c>
      <c r="Q347" s="14"/>
      <c r="R347" s="14"/>
      <c r="S347" s="14"/>
    </row>
    <row r="348" spans="1:19" x14ac:dyDescent="0.25">
      <c r="A348" s="51">
        <v>46175</v>
      </c>
      <c r="B348" s="9" t="s">
        <v>27</v>
      </c>
      <c r="C348" s="12">
        <v>46177</v>
      </c>
      <c r="D348" s="9" t="s">
        <v>28</v>
      </c>
      <c r="E348" s="9" t="s">
        <v>32</v>
      </c>
      <c r="F348" s="13">
        <v>74300</v>
      </c>
      <c r="G348" s="39">
        <v>300</v>
      </c>
      <c r="H348" s="45">
        <v>308.45</v>
      </c>
      <c r="I348" s="45">
        <v>525</v>
      </c>
      <c r="J348" s="40">
        <f>IF(D348="Short",H348-I348,I348-H348)</f>
        <v>-216.55</v>
      </c>
      <c r="K348" s="40">
        <f>J348*G348</f>
        <v>-64965</v>
      </c>
      <c r="L348" s="40">
        <f>IF(D348="Short",G348*H348,G348*I348)</f>
        <v>92535</v>
      </c>
      <c r="M348" s="40">
        <f>IF(D348="Short",G348*I348,H348*G348)</f>
        <v>157500</v>
      </c>
      <c r="N348" s="40">
        <f>L348+M348</f>
        <v>250035</v>
      </c>
      <c r="O348" s="40">
        <f>N348*0.000134</f>
        <v>33.504690000000004</v>
      </c>
      <c r="P348" s="40">
        <f>K348-O348</f>
        <v>-64998.504690000002</v>
      </c>
      <c r="Q348" s="14"/>
      <c r="R348" s="14"/>
      <c r="S348" s="14"/>
    </row>
    <row r="349" spans="1:19" x14ac:dyDescent="0.25">
      <c r="A349" s="51">
        <v>46175</v>
      </c>
      <c r="B349" s="9" t="s">
        <v>27</v>
      </c>
      <c r="C349" s="12">
        <v>46177</v>
      </c>
      <c r="D349" s="9" t="s">
        <v>30</v>
      </c>
      <c r="E349" s="9" t="s">
        <v>32</v>
      </c>
      <c r="F349" s="13">
        <v>74200</v>
      </c>
      <c r="G349" s="39">
        <v>20</v>
      </c>
      <c r="H349" s="45">
        <v>191.5</v>
      </c>
      <c r="I349" s="45">
        <v>204.84</v>
      </c>
      <c r="J349" s="40">
        <f>IF(D349="Short",H349-I349,I349-H349)</f>
        <v>13.340000000000003</v>
      </c>
      <c r="K349" s="40">
        <f>J349*G349</f>
        <v>266.80000000000007</v>
      </c>
      <c r="L349" s="40">
        <f>IF(D349="Short",G349*H349,G349*I349)</f>
        <v>4096.8</v>
      </c>
      <c r="M349" s="40">
        <f>IF(D349="Short",G349*I349,H349*G349)</f>
        <v>3830</v>
      </c>
      <c r="N349" s="40">
        <f>L349+M349</f>
        <v>7926.8</v>
      </c>
      <c r="O349" s="40">
        <f>N349*0.000134</f>
        <v>1.0621912</v>
      </c>
      <c r="P349" s="40">
        <f>K349-O349</f>
        <v>265.7378088000001</v>
      </c>
      <c r="Q349" s="14"/>
      <c r="R349" s="14"/>
      <c r="S349" s="14"/>
    </row>
    <row r="350" spans="1:19" x14ac:dyDescent="0.25">
      <c r="A350" s="51">
        <v>46175</v>
      </c>
      <c r="B350" s="9" t="s">
        <v>27</v>
      </c>
      <c r="C350" s="12">
        <v>46177</v>
      </c>
      <c r="D350" s="9" t="s">
        <v>28</v>
      </c>
      <c r="E350" s="9" t="s">
        <v>29</v>
      </c>
      <c r="F350" s="13">
        <v>74200</v>
      </c>
      <c r="G350" s="39">
        <v>220</v>
      </c>
      <c r="H350" s="45">
        <v>493.48</v>
      </c>
      <c r="I350" s="45">
        <v>529.49</v>
      </c>
      <c r="J350" s="40">
        <f>IF(D350="Short",H350-I350,I350-H350)</f>
        <v>-36.009999999999991</v>
      </c>
      <c r="K350" s="40">
        <f>J350*G350</f>
        <v>-7922.199999999998</v>
      </c>
      <c r="L350" s="40">
        <f>IF(D350="Short",G350*H350,G350*I350)</f>
        <v>108565.6</v>
      </c>
      <c r="M350" s="40">
        <f>IF(D350="Short",G350*I350,H350*G350)</f>
        <v>116487.8</v>
      </c>
      <c r="N350" s="40">
        <f>L350+M350</f>
        <v>225053.40000000002</v>
      </c>
      <c r="O350" s="40">
        <f>N350*0.000134</f>
        <v>30.157155600000003</v>
      </c>
      <c r="P350" s="40">
        <f>K350-O350</f>
        <v>-7952.3571555999979</v>
      </c>
      <c r="Q350" s="14"/>
      <c r="R350" s="14"/>
      <c r="S350" s="14"/>
    </row>
    <row r="351" spans="1:19" x14ac:dyDescent="0.25">
      <c r="A351" s="51">
        <v>46175</v>
      </c>
      <c r="B351" s="9" t="s">
        <v>27</v>
      </c>
      <c r="C351" s="12">
        <v>46177</v>
      </c>
      <c r="D351" s="9" t="s">
        <v>28</v>
      </c>
      <c r="E351" s="9" t="s">
        <v>29</v>
      </c>
      <c r="F351" s="13">
        <v>74300</v>
      </c>
      <c r="G351" s="39">
        <v>20</v>
      </c>
      <c r="H351" s="45">
        <v>677.4</v>
      </c>
      <c r="I351" s="45">
        <v>589.84</v>
      </c>
      <c r="J351" s="40">
        <f>IF(D351="Short",H351-I351,I351-H351)</f>
        <v>87.559999999999945</v>
      </c>
      <c r="K351" s="40">
        <f>J351*G351</f>
        <v>1751.1999999999989</v>
      </c>
      <c r="L351" s="40">
        <f>IF(D351="Short",G351*H351,G351*I351)</f>
        <v>13548</v>
      </c>
      <c r="M351" s="40">
        <f>IF(D351="Short",G351*I351,H351*G351)</f>
        <v>11796.800000000001</v>
      </c>
      <c r="N351" s="40">
        <f>L351+M351</f>
        <v>25344.800000000003</v>
      </c>
      <c r="O351" s="40">
        <f>N351*0.000134</f>
        <v>3.3962032000000004</v>
      </c>
      <c r="P351" s="40">
        <f>K351-O351</f>
        <v>1747.803796799999</v>
      </c>
      <c r="Q351" s="14"/>
      <c r="R351" s="14"/>
      <c r="S351" s="14"/>
    </row>
    <row r="352" spans="1:19" x14ac:dyDescent="0.25">
      <c r="A352" s="51">
        <v>46175</v>
      </c>
      <c r="B352" s="9" t="s">
        <v>31</v>
      </c>
      <c r="C352" s="12">
        <v>46182</v>
      </c>
      <c r="D352" s="9" t="s">
        <v>28</v>
      </c>
      <c r="E352" s="9" t="s">
        <v>29</v>
      </c>
      <c r="F352" s="13">
        <v>23350</v>
      </c>
      <c r="G352" s="39">
        <v>65</v>
      </c>
      <c r="H352" s="45">
        <v>293.5</v>
      </c>
      <c r="I352" s="45">
        <v>271.57</v>
      </c>
      <c r="J352" s="40">
        <f>IF(D352="Short",H352-I352,I352-H352)</f>
        <v>21.930000000000007</v>
      </c>
      <c r="K352" s="40">
        <f>J352*G352</f>
        <v>1425.4500000000005</v>
      </c>
      <c r="L352" s="40">
        <f>IF(D352="Short",G352*H352,G352*I352)</f>
        <v>19077.5</v>
      </c>
      <c r="M352" s="40">
        <f>IF(D352="Short",G352*I352,H352*G352)</f>
        <v>17652.05</v>
      </c>
      <c r="N352" s="40">
        <f>L352+M352</f>
        <v>36729.550000000003</v>
      </c>
      <c r="O352" s="40">
        <f>N352*0.000134</f>
        <v>4.9217597000000008</v>
      </c>
      <c r="P352" s="40">
        <f>K352-O352</f>
        <v>1420.5282403000006</v>
      </c>
      <c r="Q352" s="14"/>
      <c r="R352" s="14"/>
      <c r="S352" s="14"/>
    </row>
    <row r="353" spans="1:19" x14ac:dyDescent="0.25">
      <c r="A353" s="51">
        <v>46175</v>
      </c>
      <c r="B353" s="9" t="s">
        <v>27</v>
      </c>
      <c r="C353" s="12">
        <v>46177</v>
      </c>
      <c r="D353" s="9" t="s">
        <v>30</v>
      </c>
      <c r="E353" s="9" t="s">
        <v>29</v>
      </c>
      <c r="F353" s="13">
        <v>74500</v>
      </c>
      <c r="G353" s="39">
        <v>100</v>
      </c>
      <c r="H353" s="45">
        <v>523.78</v>
      </c>
      <c r="I353" s="45">
        <v>182.45</v>
      </c>
      <c r="J353" s="40">
        <f>IF(D353="Short",H353-I353,I353-H353)</f>
        <v>-341.33</v>
      </c>
      <c r="K353" s="40">
        <f>J353*G353</f>
        <v>-34133</v>
      </c>
      <c r="L353" s="40">
        <f>IF(D353="Short",G353*H353,G353*I353)</f>
        <v>18245</v>
      </c>
      <c r="M353" s="40">
        <f>IF(D353="Short",G353*I353,H353*G353)</f>
        <v>52378</v>
      </c>
      <c r="N353" s="40">
        <f>L353+M353</f>
        <v>70623</v>
      </c>
      <c r="O353" s="40">
        <f>N353*0.000134</f>
        <v>9.4634820000000008</v>
      </c>
      <c r="P353" s="40">
        <f>K353-O353</f>
        <v>-34142.463481999999</v>
      </c>
      <c r="Q353" s="14"/>
      <c r="R353" s="14"/>
      <c r="S353" s="14"/>
    </row>
    <row r="354" spans="1:19" x14ac:dyDescent="0.25">
      <c r="A354" s="51">
        <v>46175</v>
      </c>
      <c r="B354" s="9" t="s">
        <v>27</v>
      </c>
      <c r="C354" s="12">
        <v>46177</v>
      </c>
      <c r="D354" s="9" t="s">
        <v>30</v>
      </c>
      <c r="E354" s="9" t="s">
        <v>29</v>
      </c>
      <c r="F354" s="13">
        <v>74300</v>
      </c>
      <c r="G354" s="39">
        <v>700</v>
      </c>
      <c r="H354" s="45">
        <v>589.84</v>
      </c>
      <c r="I354" s="45">
        <v>252.28</v>
      </c>
      <c r="J354" s="40">
        <f>IF(D354="Short",H354-I354,I354-H354)</f>
        <v>-337.56000000000006</v>
      </c>
      <c r="K354" s="40">
        <f>J354*G354</f>
        <v>-236292.00000000003</v>
      </c>
      <c r="L354" s="40">
        <f>IF(D354="Short",G354*H354,G354*I354)</f>
        <v>176596</v>
      </c>
      <c r="M354" s="40">
        <f>IF(D354="Short",G354*I354,H354*G354)</f>
        <v>412888</v>
      </c>
      <c r="N354" s="40">
        <f>L354+M354</f>
        <v>589484</v>
      </c>
      <c r="O354" s="40">
        <f>N354*0.000134</f>
        <v>78.990856000000008</v>
      </c>
      <c r="P354" s="40">
        <f>K354-O354</f>
        <v>-236370.99085600002</v>
      </c>
      <c r="Q354" s="14"/>
      <c r="R354" s="14"/>
      <c r="S354" s="14"/>
    </row>
    <row r="355" spans="1:19" x14ac:dyDescent="0.25">
      <c r="A355" s="51">
        <v>46175</v>
      </c>
      <c r="B355" s="9" t="s">
        <v>27</v>
      </c>
      <c r="C355" s="12">
        <v>46177</v>
      </c>
      <c r="D355" s="9" t="s">
        <v>30</v>
      </c>
      <c r="E355" s="9" t="s">
        <v>29</v>
      </c>
      <c r="F355" s="13">
        <v>74200</v>
      </c>
      <c r="G355" s="39">
        <v>140</v>
      </c>
      <c r="H355" s="45">
        <v>529.49</v>
      </c>
      <c r="I355" s="45">
        <v>313.25</v>
      </c>
      <c r="J355" s="40">
        <f>IF(D355="Short",H355-I355,I355-H355)</f>
        <v>-216.24</v>
      </c>
      <c r="K355" s="40">
        <f>J355*G355</f>
        <v>-30273.600000000002</v>
      </c>
      <c r="L355" s="40">
        <f>IF(D355="Short",G355*H355,G355*I355)</f>
        <v>43855</v>
      </c>
      <c r="M355" s="40">
        <f>IF(D355="Short",G355*I355,H355*G355)</f>
        <v>74128.600000000006</v>
      </c>
      <c r="N355" s="40">
        <f>L355+M355</f>
        <v>117983.6</v>
      </c>
      <c r="O355" s="40">
        <f>N355*0.000134</f>
        <v>15.809802400000001</v>
      </c>
      <c r="P355" s="40">
        <f>K355-O355</f>
        <v>-30289.409802400001</v>
      </c>
      <c r="Q355" s="14"/>
      <c r="R355" s="14"/>
      <c r="S355" s="14"/>
    </row>
    <row r="356" spans="1:19" x14ac:dyDescent="0.25">
      <c r="A356" s="51">
        <v>46175</v>
      </c>
      <c r="B356" s="9" t="s">
        <v>27</v>
      </c>
      <c r="C356" s="12">
        <v>46177</v>
      </c>
      <c r="D356" s="9" t="s">
        <v>30</v>
      </c>
      <c r="E356" s="9" t="s">
        <v>29</v>
      </c>
      <c r="F356" s="13">
        <v>75900</v>
      </c>
      <c r="G356" s="39">
        <v>600</v>
      </c>
      <c r="H356" s="45">
        <v>66.260000000000005</v>
      </c>
      <c r="I356" s="45">
        <v>20.190000000000001</v>
      </c>
      <c r="J356" s="40">
        <f>IF(D356="Short",H356-I356,I356-H356)</f>
        <v>-46.070000000000007</v>
      </c>
      <c r="K356" s="40">
        <f>J356*G356</f>
        <v>-27642.000000000004</v>
      </c>
      <c r="L356" s="40">
        <f>IF(D356="Short",G356*H356,G356*I356)</f>
        <v>12114</v>
      </c>
      <c r="M356" s="40">
        <f>IF(D356="Short",G356*I356,H356*G356)</f>
        <v>39756</v>
      </c>
      <c r="N356" s="40">
        <f>L356+M356</f>
        <v>51870</v>
      </c>
      <c r="O356" s="40">
        <f>N356*0.000134</f>
        <v>6.9505800000000004</v>
      </c>
      <c r="P356" s="40">
        <f>K356-O356</f>
        <v>-27648.950580000004</v>
      </c>
      <c r="Q356" s="14"/>
      <c r="R356" s="14"/>
      <c r="S356" s="14"/>
    </row>
    <row r="357" spans="1:19" x14ac:dyDescent="0.25">
      <c r="A357" s="51">
        <v>46175</v>
      </c>
      <c r="B357" s="9" t="s">
        <v>31</v>
      </c>
      <c r="C357" s="12">
        <v>46182</v>
      </c>
      <c r="D357" s="9" t="s">
        <v>30</v>
      </c>
      <c r="E357" s="9" t="s">
        <v>29</v>
      </c>
      <c r="F357" s="13">
        <v>23400</v>
      </c>
      <c r="G357" s="39">
        <v>325</v>
      </c>
      <c r="H357" s="45">
        <v>256.85000000000002</v>
      </c>
      <c r="I357" s="45">
        <v>169.44</v>
      </c>
      <c r="J357" s="40">
        <f>IF(D357="Short",H357-I357,I357-H357)</f>
        <v>-87.410000000000025</v>
      </c>
      <c r="K357" s="40">
        <f>J357*G357</f>
        <v>-28408.250000000007</v>
      </c>
      <c r="L357" s="40">
        <f>IF(D357="Short",G357*H357,G357*I357)</f>
        <v>55068</v>
      </c>
      <c r="M357" s="40">
        <f>IF(D357="Short",G357*I357,H357*G357)</f>
        <v>83476.250000000015</v>
      </c>
      <c r="N357" s="40">
        <f>L357+M357</f>
        <v>138544.25</v>
      </c>
      <c r="O357" s="40">
        <f>N357*0.000134</f>
        <v>18.564929500000002</v>
      </c>
      <c r="P357" s="40">
        <f>K357-O357</f>
        <v>-28426.814929500008</v>
      </c>
      <c r="Q357" s="14"/>
      <c r="R357" s="14"/>
      <c r="S357" s="14"/>
    </row>
    <row r="358" spans="1:19" x14ac:dyDescent="0.25">
      <c r="A358" s="51">
        <v>46175</v>
      </c>
      <c r="B358" s="9" t="s">
        <v>31</v>
      </c>
      <c r="C358" s="12">
        <v>46182</v>
      </c>
      <c r="D358" s="9" t="s">
        <v>30</v>
      </c>
      <c r="E358" s="9" t="s">
        <v>29</v>
      </c>
      <c r="F358" s="13">
        <v>23350</v>
      </c>
      <c r="G358" s="39">
        <v>520</v>
      </c>
      <c r="H358" s="45">
        <v>271.57</v>
      </c>
      <c r="I358" s="45">
        <v>206.63</v>
      </c>
      <c r="J358" s="40">
        <f>IF(D358="Short",H358-I358,I358-H358)</f>
        <v>-64.94</v>
      </c>
      <c r="K358" s="40">
        <f>J358*G358</f>
        <v>-33768.799999999996</v>
      </c>
      <c r="L358" s="40">
        <f>IF(D358="Short",G358*H358,G358*I358)</f>
        <v>107447.59999999999</v>
      </c>
      <c r="M358" s="40">
        <f>IF(D358="Short",G358*I358,H358*G358)</f>
        <v>141216.4</v>
      </c>
      <c r="N358" s="40">
        <f>L358+M358</f>
        <v>248664</v>
      </c>
      <c r="O358" s="40">
        <f>N358*0.000134</f>
        <v>33.320976000000002</v>
      </c>
      <c r="P358" s="40">
        <f>K358-O358</f>
        <v>-33802.120975999998</v>
      </c>
      <c r="Q358" s="14"/>
      <c r="R358" s="14"/>
      <c r="S358" s="14"/>
    </row>
    <row r="359" spans="1:19" x14ac:dyDescent="0.25">
      <c r="A359" s="51">
        <v>46175</v>
      </c>
      <c r="B359" s="9" t="s">
        <v>27</v>
      </c>
      <c r="C359" s="12">
        <v>46177</v>
      </c>
      <c r="D359" s="9" t="s">
        <v>28</v>
      </c>
      <c r="E359" s="9" t="s">
        <v>32</v>
      </c>
      <c r="F359" s="13">
        <v>74200</v>
      </c>
      <c r="G359" s="39">
        <v>300</v>
      </c>
      <c r="H359" s="45">
        <v>204.84</v>
      </c>
      <c r="I359" s="45">
        <v>456.01</v>
      </c>
      <c r="J359" s="40">
        <f>IF(D359="Short",H359-I359,I359-H359)</f>
        <v>-251.17</v>
      </c>
      <c r="K359" s="40">
        <f>J359*G359</f>
        <v>-75351</v>
      </c>
      <c r="L359" s="40">
        <f>IF(D359="Short",G359*H359,G359*I359)</f>
        <v>61452</v>
      </c>
      <c r="M359" s="40">
        <f>IF(D359="Short",G359*I359,H359*G359)</f>
        <v>136803</v>
      </c>
      <c r="N359" s="40">
        <f>L359+M359</f>
        <v>198255</v>
      </c>
      <c r="O359" s="40">
        <f>N359*0.000134</f>
        <v>26.56617</v>
      </c>
      <c r="P359" s="40">
        <f>K359-O359</f>
        <v>-75377.566170000006</v>
      </c>
      <c r="Q359" s="14"/>
      <c r="R359" s="14"/>
      <c r="S359" s="14"/>
    </row>
    <row r="360" spans="1:19" x14ac:dyDescent="0.25">
      <c r="A360" s="51">
        <v>46175</v>
      </c>
      <c r="B360" s="9" t="s">
        <v>31</v>
      </c>
      <c r="C360" s="12">
        <v>46175</v>
      </c>
      <c r="D360" s="9" t="s">
        <v>30</v>
      </c>
      <c r="E360" s="9" t="s">
        <v>32</v>
      </c>
      <c r="F360" s="13">
        <v>23350</v>
      </c>
      <c r="G360" s="39">
        <v>975</v>
      </c>
      <c r="H360" s="45">
        <v>7.11</v>
      </c>
      <c r="I360" s="45">
        <v>45.15</v>
      </c>
      <c r="J360" s="40">
        <f>IF(D360="Short",H360-I360,I360-H360)</f>
        <v>38.04</v>
      </c>
      <c r="K360" s="40">
        <f>J360*G360</f>
        <v>37089</v>
      </c>
      <c r="L360" s="40">
        <f>IF(D360="Short",G360*H360,G360*I360)</f>
        <v>44021.25</v>
      </c>
      <c r="M360" s="40">
        <f>IF(D360="Short",G360*I360,H360*G360)</f>
        <v>6932.25</v>
      </c>
      <c r="N360" s="40">
        <f>L360+M360</f>
        <v>50953.5</v>
      </c>
      <c r="O360" s="40">
        <f>N360*0.000134</f>
        <v>6.827769</v>
      </c>
      <c r="P360" s="40">
        <f>K360-O360</f>
        <v>37082.172230999997</v>
      </c>
      <c r="Q360" s="14"/>
      <c r="R360" s="14"/>
      <c r="S360" s="14"/>
    </row>
    <row r="361" spans="1:19" x14ac:dyDescent="0.25">
      <c r="A361" s="51">
        <v>46176</v>
      </c>
      <c r="B361" s="9" t="s">
        <v>27</v>
      </c>
      <c r="C361" s="12">
        <v>46177</v>
      </c>
      <c r="D361" s="9" t="s">
        <v>28</v>
      </c>
      <c r="E361" s="9" t="s">
        <v>32</v>
      </c>
      <c r="F361" s="13">
        <v>72800</v>
      </c>
      <c r="G361" s="39">
        <v>400</v>
      </c>
      <c r="H361" s="45">
        <v>37.56</v>
      </c>
      <c r="I361" s="45">
        <v>25.24</v>
      </c>
      <c r="J361" s="40">
        <f>IF(D361="Short",H361-I361,I361-H361)</f>
        <v>12.320000000000004</v>
      </c>
      <c r="K361" s="40">
        <f>J361*G361</f>
        <v>4928.0000000000018</v>
      </c>
      <c r="L361" s="40">
        <f>IF(D361="Short",G361*H361,G361*I361)</f>
        <v>15024</v>
      </c>
      <c r="M361" s="40">
        <f>IF(D361="Short",G361*I361,H361*G361)</f>
        <v>10096</v>
      </c>
      <c r="N361" s="40">
        <f>L361+M361</f>
        <v>25120</v>
      </c>
      <c r="O361" s="40">
        <f>N361*0.000134</f>
        <v>3.3660800000000002</v>
      </c>
      <c r="P361" s="40">
        <f>K361-O361</f>
        <v>4924.633920000002</v>
      </c>
      <c r="Q361" s="14"/>
      <c r="R361" s="14"/>
      <c r="S361" s="14"/>
    </row>
    <row r="362" spans="1:19" x14ac:dyDescent="0.25">
      <c r="A362" s="51">
        <v>46176</v>
      </c>
      <c r="B362" s="9" t="s">
        <v>27</v>
      </c>
      <c r="C362" s="12">
        <v>46177</v>
      </c>
      <c r="D362" s="9" t="s">
        <v>30</v>
      </c>
      <c r="E362" s="9" t="s">
        <v>29</v>
      </c>
      <c r="F362" s="13">
        <v>74300</v>
      </c>
      <c r="G362" s="39">
        <v>100</v>
      </c>
      <c r="H362" s="45">
        <v>553.27</v>
      </c>
      <c r="I362" s="45">
        <v>124.6</v>
      </c>
      <c r="J362" s="40">
        <f>IF(D362="Short",H362-I362,I362-H362)</f>
        <v>-428.66999999999996</v>
      </c>
      <c r="K362" s="40">
        <f>J362*G362</f>
        <v>-42866.999999999993</v>
      </c>
      <c r="L362" s="40">
        <f>IF(D362="Short",G362*H362,G362*I362)</f>
        <v>12460</v>
      </c>
      <c r="M362" s="40">
        <f>IF(D362="Short",G362*I362,H362*G362)</f>
        <v>55327</v>
      </c>
      <c r="N362" s="40">
        <f>L362+M362</f>
        <v>67787</v>
      </c>
      <c r="O362" s="40">
        <f>N362*0.000134</f>
        <v>9.0834580000000003</v>
      </c>
      <c r="P362" s="40">
        <f>K362-O362</f>
        <v>-42876.083457999994</v>
      </c>
      <c r="Q362" s="14"/>
      <c r="R362" s="14"/>
      <c r="S362" s="14"/>
    </row>
    <row r="363" spans="1:19" x14ac:dyDescent="0.25">
      <c r="A363" s="51">
        <v>46176</v>
      </c>
      <c r="B363" s="9" t="s">
        <v>31</v>
      </c>
      <c r="C363" s="12">
        <v>46182</v>
      </c>
      <c r="D363" s="9" t="s">
        <v>30</v>
      </c>
      <c r="E363" s="9" t="s">
        <v>29</v>
      </c>
      <c r="F363" s="13">
        <v>23400</v>
      </c>
      <c r="G363" s="39">
        <v>195</v>
      </c>
      <c r="H363" s="45">
        <v>282.06</v>
      </c>
      <c r="I363" s="45">
        <v>174.85</v>
      </c>
      <c r="J363" s="40">
        <f>IF(D363="Short",H363-I363,I363-H363)</f>
        <v>-107.21000000000001</v>
      </c>
      <c r="K363" s="40">
        <f>J363*G363</f>
        <v>-20905.95</v>
      </c>
      <c r="L363" s="40">
        <f>IF(D363="Short",G363*H363,G363*I363)</f>
        <v>34095.75</v>
      </c>
      <c r="M363" s="40">
        <f>IF(D363="Short",G363*I363,H363*G363)</f>
        <v>55001.7</v>
      </c>
      <c r="N363" s="40">
        <f>L363+M363</f>
        <v>89097.45</v>
      </c>
      <c r="O363" s="40">
        <f>N363*0.000134</f>
        <v>11.939058299999999</v>
      </c>
      <c r="P363" s="40">
        <f>K363-O363</f>
        <v>-20917.889058299999</v>
      </c>
      <c r="Q363" s="14"/>
      <c r="R363" s="14"/>
      <c r="S363" s="14"/>
    </row>
    <row r="364" spans="1:19" x14ac:dyDescent="0.25">
      <c r="A364" s="51">
        <v>46176</v>
      </c>
      <c r="B364" s="9" t="s">
        <v>27</v>
      </c>
      <c r="C364" s="12">
        <v>46177</v>
      </c>
      <c r="D364" s="9" t="s">
        <v>30</v>
      </c>
      <c r="E364" s="9" t="s">
        <v>32</v>
      </c>
      <c r="F364" s="13">
        <v>74100</v>
      </c>
      <c r="G364" s="39">
        <v>20</v>
      </c>
      <c r="H364" s="45">
        <v>164.4</v>
      </c>
      <c r="I364" s="45">
        <v>260.08999999999997</v>
      </c>
      <c r="J364" s="40">
        <f>IF(D364="Short",H364-I364,I364-H364)</f>
        <v>95.689999999999969</v>
      </c>
      <c r="K364" s="40">
        <f>J364*G364</f>
        <v>1913.7999999999993</v>
      </c>
      <c r="L364" s="40">
        <f>IF(D364="Short",G364*H364,G364*I364)</f>
        <v>5201.7999999999993</v>
      </c>
      <c r="M364" s="40">
        <f>IF(D364="Short",G364*I364,H364*G364)</f>
        <v>3288</v>
      </c>
      <c r="N364" s="40">
        <f>L364+M364</f>
        <v>8489.7999999999993</v>
      </c>
      <c r="O364" s="40">
        <f>N364*0.000134</f>
        <v>1.1376332</v>
      </c>
      <c r="P364" s="40">
        <f>K364-O364</f>
        <v>1912.6623667999993</v>
      </c>
      <c r="Q364" s="14"/>
      <c r="R364" s="14"/>
      <c r="S364" s="14"/>
    </row>
    <row r="365" spans="1:19" x14ac:dyDescent="0.25">
      <c r="A365" s="51">
        <v>46176</v>
      </c>
      <c r="B365" s="9" t="s">
        <v>27</v>
      </c>
      <c r="C365" s="12">
        <v>46177</v>
      </c>
      <c r="D365" s="9" t="s">
        <v>28</v>
      </c>
      <c r="E365" s="9" t="s">
        <v>29</v>
      </c>
      <c r="F365" s="13">
        <v>74200</v>
      </c>
      <c r="G365" s="39">
        <v>20</v>
      </c>
      <c r="H365" s="45">
        <v>313.25</v>
      </c>
      <c r="I365" s="45">
        <v>510.29</v>
      </c>
      <c r="J365" s="40">
        <f>IF(D365="Short",H365-I365,I365-H365)</f>
        <v>-197.04000000000002</v>
      </c>
      <c r="K365" s="40">
        <f>J365*G365</f>
        <v>-3940.8</v>
      </c>
      <c r="L365" s="40">
        <f>IF(D365="Short",G365*H365,G365*I365)</f>
        <v>6265</v>
      </c>
      <c r="M365" s="40">
        <f>IF(D365="Short",G365*I365,H365*G365)</f>
        <v>10205.800000000001</v>
      </c>
      <c r="N365" s="40">
        <f>L365+M365</f>
        <v>16470.800000000003</v>
      </c>
      <c r="O365" s="40">
        <f>N365*0.000134</f>
        <v>2.2070872000000006</v>
      </c>
      <c r="P365" s="40">
        <f>K365-O365</f>
        <v>-3943.0070872000001</v>
      </c>
      <c r="Q365" s="14"/>
      <c r="R365" s="14"/>
      <c r="S365" s="14"/>
    </row>
    <row r="366" spans="1:19" x14ac:dyDescent="0.25">
      <c r="A366" s="51">
        <v>46176</v>
      </c>
      <c r="B366" s="9" t="s">
        <v>31</v>
      </c>
      <c r="C366" s="12">
        <v>46182</v>
      </c>
      <c r="D366" s="9" t="s">
        <v>30</v>
      </c>
      <c r="E366" s="9" t="s">
        <v>32</v>
      </c>
      <c r="F366" s="13">
        <v>23350</v>
      </c>
      <c r="G366" s="39">
        <v>130</v>
      </c>
      <c r="H366" s="45">
        <v>151.47</v>
      </c>
      <c r="I366" s="45">
        <v>168.51</v>
      </c>
      <c r="J366" s="40">
        <f>IF(D366="Short",H366-I366,I366-H366)</f>
        <v>17.039999999999992</v>
      </c>
      <c r="K366" s="40">
        <f>J366*G366</f>
        <v>2215.1999999999989</v>
      </c>
      <c r="L366" s="40">
        <f>IF(D366="Short",G366*H366,G366*I366)</f>
        <v>21906.3</v>
      </c>
      <c r="M366" s="40">
        <f>IF(D366="Short",G366*I366,H366*G366)</f>
        <v>19691.099999999999</v>
      </c>
      <c r="N366" s="40">
        <f>L366+M366</f>
        <v>41597.399999999994</v>
      </c>
      <c r="O366" s="40">
        <f>N366*0.000134</f>
        <v>5.5740515999999998</v>
      </c>
      <c r="P366" s="40">
        <f>K366-O366</f>
        <v>2209.6259483999988</v>
      </c>
      <c r="Q366" s="14"/>
      <c r="R366" s="14"/>
      <c r="S366" s="14"/>
    </row>
    <row r="367" spans="1:19" x14ac:dyDescent="0.25">
      <c r="A367" s="51">
        <v>46176</v>
      </c>
      <c r="B367" s="9" t="s">
        <v>31</v>
      </c>
      <c r="C367" s="12">
        <v>46182</v>
      </c>
      <c r="D367" s="9" t="s">
        <v>30</v>
      </c>
      <c r="E367" s="9" t="s">
        <v>32</v>
      </c>
      <c r="F367" s="13">
        <v>23400</v>
      </c>
      <c r="G367" s="39">
        <v>130</v>
      </c>
      <c r="H367" s="45">
        <v>149.15</v>
      </c>
      <c r="I367" s="45">
        <v>166.6</v>
      </c>
      <c r="J367" s="40">
        <f>IF(D367="Short",H367-I367,I367-H367)</f>
        <v>17.449999999999989</v>
      </c>
      <c r="K367" s="40">
        <f>J367*G367</f>
        <v>2268.4999999999986</v>
      </c>
      <c r="L367" s="40">
        <f>IF(D367="Short",G367*H367,G367*I367)</f>
        <v>21658</v>
      </c>
      <c r="M367" s="40">
        <f>IF(D367="Short",G367*I367,H367*G367)</f>
        <v>19389.5</v>
      </c>
      <c r="N367" s="40">
        <f>L367+M367</f>
        <v>41047.5</v>
      </c>
      <c r="O367" s="40">
        <f>N367*0.000134</f>
        <v>5.5003650000000004</v>
      </c>
      <c r="P367" s="40">
        <f>K367-O367</f>
        <v>2262.9996349999988</v>
      </c>
      <c r="Q367" s="14"/>
      <c r="R367" s="14"/>
      <c r="S367" s="14"/>
    </row>
    <row r="368" spans="1:19" x14ac:dyDescent="0.25">
      <c r="A368" s="51">
        <v>46176</v>
      </c>
      <c r="B368" s="9" t="s">
        <v>31</v>
      </c>
      <c r="C368" s="12">
        <v>46182</v>
      </c>
      <c r="D368" s="9" t="s">
        <v>28</v>
      </c>
      <c r="E368" s="9" t="s">
        <v>32</v>
      </c>
      <c r="F368" s="13">
        <v>23400</v>
      </c>
      <c r="G368" s="39">
        <v>325</v>
      </c>
      <c r="H368" s="45">
        <v>166.6</v>
      </c>
      <c r="I368" s="45">
        <v>159.46</v>
      </c>
      <c r="J368" s="40">
        <f>IF(D368="Short",H368-I368,I368-H368)</f>
        <v>7.1399999999999864</v>
      </c>
      <c r="K368" s="40">
        <f>J368*G368</f>
        <v>2320.4999999999955</v>
      </c>
      <c r="L368" s="40">
        <f>IF(D368="Short",G368*H368,G368*I368)</f>
        <v>54145</v>
      </c>
      <c r="M368" s="40">
        <f>IF(D368="Short",G368*I368,H368*G368)</f>
        <v>51824.5</v>
      </c>
      <c r="N368" s="40">
        <f>L368+M368</f>
        <v>105969.5</v>
      </c>
      <c r="O368" s="40">
        <f>N368*0.000134</f>
        <v>14.199913</v>
      </c>
      <c r="P368" s="40">
        <f>K368-O368</f>
        <v>2306.3000869999955</v>
      </c>
      <c r="Q368" s="14"/>
      <c r="R368" s="14"/>
      <c r="S368" s="14"/>
    </row>
    <row r="369" spans="1:19" x14ac:dyDescent="0.25">
      <c r="A369" s="51">
        <v>46176</v>
      </c>
      <c r="B369" s="9" t="s">
        <v>31</v>
      </c>
      <c r="C369" s="12">
        <v>46182</v>
      </c>
      <c r="D369" s="9" t="s">
        <v>28</v>
      </c>
      <c r="E369" s="9" t="s">
        <v>29</v>
      </c>
      <c r="F369" s="13">
        <v>23350</v>
      </c>
      <c r="G369" s="39">
        <v>65</v>
      </c>
      <c r="H369" s="45">
        <v>206.63</v>
      </c>
      <c r="I369" s="45">
        <v>236.91</v>
      </c>
      <c r="J369" s="40">
        <f>IF(D369="Short",H369-I369,I369-H369)</f>
        <v>-30.28</v>
      </c>
      <c r="K369" s="40">
        <f>J369*G369</f>
        <v>-1968.2</v>
      </c>
      <c r="L369" s="40">
        <f>IF(D369="Short",G369*H369,G369*I369)</f>
        <v>13430.949999999999</v>
      </c>
      <c r="M369" s="40">
        <f>IF(D369="Short",G369*I369,H369*G369)</f>
        <v>15399.15</v>
      </c>
      <c r="N369" s="40">
        <f>L369+M369</f>
        <v>28830.1</v>
      </c>
      <c r="O369" s="40">
        <f>N369*0.000134</f>
        <v>3.8632333999999999</v>
      </c>
      <c r="P369" s="40">
        <f>K369-O369</f>
        <v>-1972.0632333999999</v>
      </c>
      <c r="Q369" s="14"/>
      <c r="R369" s="14"/>
      <c r="S369" s="14"/>
    </row>
    <row r="370" spans="1:19" x14ac:dyDescent="0.25">
      <c r="A370" s="51">
        <v>46176</v>
      </c>
      <c r="B370" s="9" t="s">
        <v>27</v>
      </c>
      <c r="C370" s="12">
        <v>46177</v>
      </c>
      <c r="D370" s="9" t="s">
        <v>30</v>
      </c>
      <c r="E370" s="9" t="s">
        <v>29</v>
      </c>
      <c r="F370" s="13">
        <v>74200</v>
      </c>
      <c r="G370" s="39">
        <v>100</v>
      </c>
      <c r="H370" s="45">
        <v>510.29</v>
      </c>
      <c r="I370" s="45">
        <v>217.31</v>
      </c>
      <c r="J370" s="40">
        <f>IF(D370="Short",H370-I370,I370-H370)</f>
        <v>-292.98</v>
      </c>
      <c r="K370" s="40">
        <f>J370*G370</f>
        <v>-29298</v>
      </c>
      <c r="L370" s="40">
        <f>IF(D370="Short",G370*H370,G370*I370)</f>
        <v>21731</v>
      </c>
      <c r="M370" s="40">
        <f>IF(D370="Short",G370*I370,H370*G370)</f>
        <v>51029</v>
      </c>
      <c r="N370" s="40">
        <f>L370+M370</f>
        <v>72760</v>
      </c>
      <c r="O370" s="40">
        <f>N370*0.000134</f>
        <v>9.7498400000000007</v>
      </c>
      <c r="P370" s="40">
        <f>K370-O370</f>
        <v>-29307.74984</v>
      </c>
      <c r="Q370" s="14"/>
      <c r="R370" s="14"/>
      <c r="S370" s="14"/>
    </row>
    <row r="371" spans="1:19" x14ac:dyDescent="0.25">
      <c r="A371" s="51">
        <v>46176</v>
      </c>
      <c r="B371" s="9" t="s">
        <v>31</v>
      </c>
      <c r="C371" s="12">
        <v>46182</v>
      </c>
      <c r="D371" s="9" t="s">
        <v>30</v>
      </c>
      <c r="E371" s="9" t="s">
        <v>29</v>
      </c>
      <c r="F371" s="13">
        <v>23350</v>
      </c>
      <c r="G371" s="39">
        <v>455</v>
      </c>
      <c r="H371" s="45">
        <v>236.91</v>
      </c>
      <c r="I371" s="45">
        <v>197.89</v>
      </c>
      <c r="J371" s="40">
        <f>IF(D371="Short",H371-I371,I371-H371)</f>
        <v>-39.02000000000001</v>
      </c>
      <c r="K371" s="40">
        <f>J371*G371</f>
        <v>-17754.100000000006</v>
      </c>
      <c r="L371" s="40">
        <f>IF(D371="Short",G371*H371,G371*I371)</f>
        <v>90039.95</v>
      </c>
      <c r="M371" s="40">
        <f>IF(D371="Short",G371*I371,H371*G371)</f>
        <v>107794.05</v>
      </c>
      <c r="N371" s="40">
        <f>L371+M371</f>
        <v>197834</v>
      </c>
      <c r="O371" s="40">
        <f>N371*0.000134</f>
        <v>26.509755999999999</v>
      </c>
      <c r="P371" s="40">
        <f>K371-O371</f>
        <v>-17780.609756000005</v>
      </c>
      <c r="Q371" s="14"/>
      <c r="R371" s="14"/>
      <c r="S371" s="14"/>
    </row>
    <row r="372" spans="1:19" x14ac:dyDescent="0.25">
      <c r="A372" s="51">
        <v>46176</v>
      </c>
      <c r="B372" s="9" t="s">
        <v>31</v>
      </c>
      <c r="C372" s="12">
        <v>46182</v>
      </c>
      <c r="D372" s="9" t="s">
        <v>28</v>
      </c>
      <c r="E372" s="9" t="s">
        <v>32</v>
      </c>
      <c r="F372" s="13">
        <v>22500</v>
      </c>
      <c r="G372" s="39">
        <v>715</v>
      </c>
      <c r="H372" s="45">
        <v>14.22</v>
      </c>
      <c r="I372" s="45">
        <v>13.73</v>
      </c>
      <c r="J372" s="40">
        <f>IF(D372="Short",H372-I372,I372-H372)</f>
        <v>0.49000000000000021</v>
      </c>
      <c r="K372" s="40">
        <f>J372*G372</f>
        <v>350.35000000000014</v>
      </c>
      <c r="L372" s="40">
        <f>IF(D372="Short",G372*H372,G372*I372)</f>
        <v>10167.300000000001</v>
      </c>
      <c r="M372" s="40">
        <f>IF(D372="Short",G372*I372,H372*G372)</f>
        <v>9816.9500000000007</v>
      </c>
      <c r="N372" s="40">
        <f>L372+M372</f>
        <v>19984.25</v>
      </c>
      <c r="O372" s="40">
        <f>N372*0.000134</f>
        <v>2.6778895</v>
      </c>
      <c r="P372" s="40">
        <f>K372-O372</f>
        <v>347.67211050000014</v>
      </c>
      <c r="Q372" s="14"/>
      <c r="R372" s="14"/>
      <c r="S372" s="14"/>
    </row>
    <row r="373" spans="1:19" x14ac:dyDescent="0.25">
      <c r="A373" s="51">
        <v>46176</v>
      </c>
      <c r="B373" s="9" t="s">
        <v>31</v>
      </c>
      <c r="C373" s="12">
        <v>46182</v>
      </c>
      <c r="D373" s="9" t="s">
        <v>30</v>
      </c>
      <c r="E373" s="9" t="s">
        <v>32</v>
      </c>
      <c r="F373" s="13">
        <v>22800</v>
      </c>
      <c r="G373" s="39">
        <v>1300</v>
      </c>
      <c r="H373" s="45">
        <v>31.64</v>
      </c>
      <c r="I373" s="45">
        <v>16.95</v>
      </c>
      <c r="J373" s="40">
        <f>IF(D373="Short",H373-I373,I373-H373)</f>
        <v>-14.690000000000001</v>
      </c>
      <c r="K373" s="40">
        <f>J373*G373</f>
        <v>-19097</v>
      </c>
      <c r="L373" s="40">
        <f>IF(D373="Short",G373*H373,G373*I373)</f>
        <v>22035</v>
      </c>
      <c r="M373" s="40">
        <f>IF(D373="Short",G373*I373,H373*G373)</f>
        <v>41132</v>
      </c>
      <c r="N373" s="40">
        <f>L373+M373</f>
        <v>63167</v>
      </c>
      <c r="O373" s="40">
        <f>N373*0.000134</f>
        <v>8.464378</v>
      </c>
      <c r="P373" s="40">
        <f>K373-O373</f>
        <v>-19105.464378000001</v>
      </c>
      <c r="Q373" s="14"/>
      <c r="R373" s="14"/>
      <c r="S373" s="14"/>
    </row>
    <row r="374" spans="1:19" x14ac:dyDescent="0.25">
      <c r="A374" s="51">
        <v>46176</v>
      </c>
      <c r="B374" s="9" t="s">
        <v>27</v>
      </c>
      <c r="C374" s="12">
        <v>46177</v>
      </c>
      <c r="D374" s="9" t="s">
        <v>28</v>
      </c>
      <c r="E374" s="9" t="s">
        <v>32</v>
      </c>
      <c r="F374" s="13">
        <v>74300</v>
      </c>
      <c r="G374" s="39">
        <v>320</v>
      </c>
      <c r="H374" s="45">
        <v>289.32</v>
      </c>
      <c r="I374" s="45">
        <v>53.74</v>
      </c>
      <c r="J374" s="40">
        <f>IF(D374="Short",H374-I374,I374-H374)</f>
        <v>235.57999999999998</v>
      </c>
      <c r="K374" s="40">
        <f>J374*G374</f>
        <v>75385.599999999991</v>
      </c>
      <c r="L374" s="40">
        <f>IF(D374="Short",G374*H374,G374*I374)</f>
        <v>92582.399999999994</v>
      </c>
      <c r="M374" s="40">
        <f>IF(D374="Short",G374*I374,H374*G374)</f>
        <v>17196.8</v>
      </c>
      <c r="N374" s="40">
        <f>L374+M374</f>
        <v>109779.2</v>
      </c>
      <c r="O374" s="40">
        <f>N374*0.000134</f>
        <v>14.7104128</v>
      </c>
      <c r="P374" s="40">
        <f>K374-O374</f>
        <v>75370.889587199985</v>
      </c>
      <c r="Q374" s="14"/>
      <c r="R374" s="14"/>
      <c r="S374" s="14"/>
    </row>
    <row r="375" spans="1:19" x14ac:dyDescent="0.25">
      <c r="A375" s="51">
        <v>46176</v>
      </c>
      <c r="B375" s="9" t="s">
        <v>27</v>
      </c>
      <c r="C375" s="12">
        <v>46177</v>
      </c>
      <c r="D375" s="9" t="s">
        <v>30</v>
      </c>
      <c r="E375" s="9" t="s">
        <v>32</v>
      </c>
      <c r="F375" s="13">
        <v>72800</v>
      </c>
      <c r="G375" s="39">
        <v>1780</v>
      </c>
      <c r="H375" s="45">
        <v>25.24</v>
      </c>
      <c r="I375" s="45">
        <v>4.93</v>
      </c>
      <c r="J375" s="40">
        <f>IF(D375="Short",H375-I375,I375-H375)</f>
        <v>-20.309999999999999</v>
      </c>
      <c r="K375" s="40">
        <f>J375*G375</f>
        <v>-36151.799999999996</v>
      </c>
      <c r="L375" s="40">
        <f>IF(D375="Short",G375*H375,G375*I375)</f>
        <v>8775.4</v>
      </c>
      <c r="M375" s="40">
        <f>IF(D375="Short",G375*I375,H375*G375)</f>
        <v>44927.199999999997</v>
      </c>
      <c r="N375" s="40">
        <f>L375+M375</f>
        <v>53702.6</v>
      </c>
      <c r="O375" s="40">
        <f>N375*0.000134</f>
        <v>7.1961484000000002</v>
      </c>
      <c r="P375" s="40">
        <f>K375-O375</f>
        <v>-36158.996148399994</v>
      </c>
      <c r="Q375" s="14"/>
      <c r="R375" s="14"/>
      <c r="S375" s="14"/>
    </row>
    <row r="376" spans="1:19" x14ac:dyDescent="0.25">
      <c r="A376" s="51">
        <v>46176</v>
      </c>
      <c r="B376" s="9" t="s">
        <v>31</v>
      </c>
      <c r="C376" s="12">
        <v>46182</v>
      </c>
      <c r="D376" s="9" t="s">
        <v>30</v>
      </c>
      <c r="E376" s="9" t="s">
        <v>32</v>
      </c>
      <c r="F376" s="13">
        <v>22500</v>
      </c>
      <c r="G376" s="39">
        <v>4875</v>
      </c>
      <c r="H376" s="45">
        <v>13.73</v>
      </c>
      <c r="I376" s="45">
        <v>11.21</v>
      </c>
      <c r="J376" s="40">
        <f>IF(D376="Short",H376-I376,I376-H376)</f>
        <v>-2.5199999999999996</v>
      </c>
      <c r="K376" s="40">
        <f>J376*G376</f>
        <v>-12284.999999999998</v>
      </c>
      <c r="L376" s="40">
        <f>IF(D376="Short",G376*H376,G376*I376)</f>
        <v>54648.750000000007</v>
      </c>
      <c r="M376" s="40">
        <f>IF(D376="Short",G376*I376,H376*G376)</f>
        <v>66933.75</v>
      </c>
      <c r="N376" s="40">
        <f>L376+M376</f>
        <v>121582.5</v>
      </c>
      <c r="O376" s="40">
        <f>N376*0.000134</f>
        <v>16.292055000000001</v>
      </c>
      <c r="P376" s="40">
        <f>K376-O376</f>
        <v>-12301.292054999998</v>
      </c>
      <c r="Q376" s="14"/>
      <c r="R376" s="14"/>
      <c r="S376" s="14"/>
    </row>
    <row r="377" spans="1:19" x14ac:dyDescent="0.25">
      <c r="A377" s="51">
        <v>46176</v>
      </c>
      <c r="B377" s="9" t="s">
        <v>34</v>
      </c>
      <c r="C377" s="12">
        <v>46203</v>
      </c>
      <c r="D377" s="9" t="s">
        <v>30</v>
      </c>
      <c r="E377" s="9" t="s">
        <v>32</v>
      </c>
      <c r="F377" s="13">
        <v>51000</v>
      </c>
      <c r="G377" s="39">
        <v>2700</v>
      </c>
      <c r="H377" s="45">
        <v>237.68</v>
      </c>
      <c r="I377" s="45">
        <v>282.68</v>
      </c>
      <c r="J377" s="40">
        <f>IF(D377="Short",H377-I377,I377-H377)</f>
        <v>45</v>
      </c>
      <c r="K377" s="40">
        <f>J377*G377</f>
        <v>121500</v>
      </c>
      <c r="L377" s="40">
        <f>IF(D377="Short",G377*H377,G377*I377)</f>
        <v>763236</v>
      </c>
      <c r="M377" s="40">
        <f>IF(D377="Short",G377*I377,H377*G377)</f>
        <v>641736</v>
      </c>
      <c r="N377" s="40">
        <f>L377+M377</f>
        <v>1404972</v>
      </c>
      <c r="O377" s="40">
        <f>N377*0.000134</f>
        <v>188.26624800000002</v>
      </c>
      <c r="P377" s="40">
        <f>K377-O377</f>
        <v>121311.733752</v>
      </c>
      <c r="Q377" s="14"/>
      <c r="R377" s="14"/>
      <c r="S377" s="14"/>
    </row>
    <row r="378" spans="1:19" x14ac:dyDescent="0.25">
      <c r="A378" s="51">
        <v>46176</v>
      </c>
      <c r="B378" s="9" t="s">
        <v>27</v>
      </c>
      <c r="C378" s="12">
        <v>46177</v>
      </c>
      <c r="D378" s="9" t="s">
        <v>28</v>
      </c>
      <c r="E378" s="9" t="s">
        <v>32</v>
      </c>
      <c r="F378" s="13">
        <v>74100</v>
      </c>
      <c r="G378" s="39">
        <v>940</v>
      </c>
      <c r="H378" s="45">
        <v>260.08999999999997</v>
      </c>
      <c r="I378" s="45">
        <v>105.71</v>
      </c>
      <c r="J378" s="40">
        <f>IF(D378="Short",H378-I378,I378-H378)</f>
        <v>154.38</v>
      </c>
      <c r="K378" s="40">
        <f>J378*G378</f>
        <v>145117.19999999998</v>
      </c>
      <c r="L378" s="40">
        <f>IF(D378="Short",G378*H378,G378*I378)</f>
        <v>244484.59999999998</v>
      </c>
      <c r="M378" s="40">
        <f>IF(D378="Short",G378*I378,H378*G378)</f>
        <v>99367.4</v>
      </c>
      <c r="N378" s="40">
        <f>L378+M378</f>
        <v>343852</v>
      </c>
      <c r="O378" s="40">
        <f>N378*0.000134</f>
        <v>46.076168000000003</v>
      </c>
      <c r="P378" s="40">
        <f>K378-O378</f>
        <v>145071.12383199998</v>
      </c>
      <c r="Q378" s="14"/>
      <c r="R378" s="14"/>
      <c r="S378" s="14"/>
    </row>
    <row r="379" spans="1:19" x14ac:dyDescent="0.25">
      <c r="A379" s="51">
        <v>46176</v>
      </c>
      <c r="B379" s="9" t="s">
        <v>31</v>
      </c>
      <c r="C379" s="12">
        <v>46182</v>
      </c>
      <c r="D379" s="9" t="s">
        <v>28</v>
      </c>
      <c r="E379" s="9" t="s">
        <v>32</v>
      </c>
      <c r="F379" s="13">
        <v>23300</v>
      </c>
      <c r="G379" s="39">
        <v>1885</v>
      </c>
      <c r="H379" s="45">
        <v>153.26</v>
      </c>
      <c r="I379" s="45">
        <v>121.45</v>
      </c>
      <c r="J379" s="40">
        <f>IF(D379="Short",H379-I379,I379-H379)</f>
        <v>31.809999999999988</v>
      </c>
      <c r="K379" s="40">
        <f>J379*G379</f>
        <v>59961.849999999977</v>
      </c>
      <c r="L379" s="40">
        <f>IF(D379="Short",G379*H379,G379*I379)</f>
        <v>288895.09999999998</v>
      </c>
      <c r="M379" s="40">
        <f>IF(D379="Short",G379*I379,H379*G379)</f>
        <v>228933.25</v>
      </c>
      <c r="N379" s="40">
        <f>L379+M379</f>
        <v>517828.35</v>
      </c>
      <c r="O379" s="40">
        <f>N379*0.000134</f>
        <v>69.388998900000004</v>
      </c>
      <c r="P379" s="40">
        <f>K379-O379</f>
        <v>59892.461001099975</v>
      </c>
      <c r="Q379" s="14"/>
      <c r="R379" s="14"/>
      <c r="S379" s="14"/>
    </row>
    <row r="380" spans="1:19" x14ac:dyDescent="0.25">
      <c r="A380" s="51">
        <v>46176</v>
      </c>
      <c r="B380" s="9" t="s">
        <v>27</v>
      </c>
      <c r="C380" s="12">
        <v>46177</v>
      </c>
      <c r="D380" s="9" t="s">
        <v>30</v>
      </c>
      <c r="E380" s="9" t="s">
        <v>29</v>
      </c>
      <c r="F380" s="13">
        <v>74100</v>
      </c>
      <c r="G380" s="39">
        <v>140</v>
      </c>
      <c r="H380" s="45">
        <v>355.45</v>
      </c>
      <c r="I380" s="45">
        <v>239.23</v>
      </c>
      <c r="J380" s="40">
        <f>IF(D380="Short",H380-I380,I380-H380)</f>
        <v>-116.22</v>
      </c>
      <c r="K380" s="40">
        <f>J380*G380</f>
        <v>-16270.8</v>
      </c>
      <c r="L380" s="40">
        <f>IF(D380="Short",G380*H380,G380*I380)</f>
        <v>33492.199999999997</v>
      </c>
      <c r="M380" s="40">
        <f>IF(D380="Short",G380*I380,H380*G380)</f>
        <v>49763</v>
      </c>
      <c r="N380" s="40">
        <f>L380+M380</f>
        <v>83255.199999999997</v>
      </c>
      <c r="O380" s="40">
        <f>N380*0.000134</f>
        <v>11.1561968</v>
      </c>
      <c r="P380" s="40">
        <f>K380-O380</f>
        <v>-16281.9561968</v>
      </c>
      <c r="Q380" s="14"/>
      <c r="R380" s="14"/>
      <c r="S380" s="14"/>
    </row>
    <row r="381" spans="1:19" x14ac:dyDescent="0.25">
      <c r="A381" s="51">
        <v>46176</v>
      </c>
      <c r="B381" s="9" t="s">
        <v>31</v>
      </c>
      <c r="C381" s="12">
        <v>46182</v>
      </c>
      <c r="D381" s="9" t="s">
        <v>28</v>
      </c>
      <c r="E381" s="9" t="s">
        <v>32</v>
      </c>
      <c r="F381" s="13">
        <v>23350</v>
      </c>
      <c r="G381" s="39">
        <v>975</v>
      </c>
      <c r="H381" s="45">
        <v>168.51</v>
      </c>
      <c r="I381" s="45">
        <v>167.04</v>
      </c>
      <c r="J381" s="40">
        <f>IF(D381="Short",H381-I381,I381-H381)</f>
        <v>1.4699999999999989</v>
      </c>
      <c r="K381" s="40">
        <f>J381*G381</f>
        <v>1433.2499999999989</v>
      </c>
      <c r="L381" s="40">
        <f>IF(D381="Short",G381*H381,G381*I381)</f>
        <v>164297.25</v>
      </c>
      <c r="M381" s="40">
        <f>IF(D381="Short",G381*I381,H381*G381)</f>
        <v>162864</v>
      </c>
      <c r="N381" s="40">
        <f>L381+M381</f>
        <v>327161.25</v>
      </c>
      <c r="O381" s="40">
        <f>N381*0.000134</f>
        <v>43.8396075</v>
      </c>
      <c r="P381" s="40">
        <f>K381-O381</f>
        <v>1389.4103924999988</v>
      </c>
      <c r="Q381" s="14"/>
      <c r="R381" s="14"/>
      <c r="S381" s="14"/>
    </row>
    <row r="382" spans="1:19" x14ac:dyDescent="0.25">
      <c r="A382" s="51">
        <v>46176</v>
      </c>
      <c r="B382" s="9" t="s">
        <v>27</v>
      </c>
      <c r="C382" s="12">
        <v>46177</v>
      </c>
      <c r="D382" s="9" t="s">
        <v>30</v>
      </c>
      <c r="E382" s="9" t="s">
        <v>29</v>
      </c>
      <c r="F382" s="13">
        <v>74100</v>
      </c>
      <c r="G382" s="39">
        <v>100</v>
      </c>
      <c r="H382" s="45">
        <v>355.45</v>
      </c>
      <c r="I382" s="45">
        <v>311.83999999999997</v>
      </c>
      <c r="J382" s="40">
        <f>IF(D382="Short",H382-I382,I382-H382)</f>
        <v>-43.610000000000014</v>
      </c>
      <c r="K382" s="40">
        <f>J382*G382</f>
        <v>-4361.0000000000018</v>
      </c>
      <c r="L382" s="40">
        <f>IF(D382="Short",G382*H382,G382*I382)</f>
        <v>31183.999999999996</v>
      </c>
      <c r="M382" s="40">
        <f>IF(D382="Short",G382*I382,H382*G382)</f>
        <v>35545</v>
      </c>
      <c r="N382" s="40">
        <f>L382+M382</f>
        <v>66729</v>
      </c>
      <c r="O382" s="40">
        <f>N382*0.000134</f>
        <v>8.9416860000000007</v>
      </c>
      <c r="P382" s="40">
        <f>K382-O382</f>
        <v>-4369.9416860000019</v>
      </c>
      <c r="Q382" s="14"/>
      <c r="R382" s="14"/>
      <c r="S382" s="14"/>
    </row>
    <row r="383" spans="1:19" x14ac:dyDescent="0.25">
      <c r="A383" s="51">
        <v>46176</v>
      </c>
      <c r="B383" s="9" t="s">
        <v>31</v>
      </c>
      <c r="C383" s="12">
        <v>46182</v>
      </c>
      <c r="D383" s="9" t="s">
        <v>28</v>
      </c>
      <c r="E383" s="9" t="s">
        <v>32</v>
      </c>
      <c r="F383" s="13">
        <v>23300</v>
      </c>
      <c r="G383" s="39">
        <v>130</v>
      </c>
      <c r="H383" s="45">
        <v>153.26</v>
      </c>
      <c r="I383" s="45">
        <v>176.65</v>
      </c>
      <c r="J383" s="40">
        <f>IF(D383="Short",H383-I383,I383-H383)</f>
        <v>-23.390000000000015</v>
      </c>
      <c r="K383" s="40">
        <f>J383*G383</f>
        <v>-3040.7000000000021</v>
      </c>
      <c r="L383" s="40">
        <f>IF(D383="Short",G383*H383,G383*I383)</f>
        <v>19923.8</v>
      </c>
      <c r="M383" s="40">
        <f>IF(D383="Short",G383*I383,H383*G383)</f>
        <v>22964.5</v>
      </c>
      <c r="N383" s="40">
        <f>L383+M383</f>
        <v>42888.3</v>
      </c>
      <c r="O383" s="40">
        <f>N383*0.000134</f>
        <v>5.7470322000000005</v>
      </c>
      <c r="P383" s="40">
        <f>K383-O383</f>
        <v>-3046.447032200002</v>
      </c>
      <c r="Q383" s="14"/>
      <c r="R383" s="14"/>
      <c r="S383" s="14"/>
    </row>
    <row r="384" spans="1:19" x14ac:dyDescent="0.25">
      <c r="A384" s="51">
        <v>46177</v>
      </c>
      <c r="B384" s="9" t="s">
        <v>31</v>
      </c>
      <c r="C384" s="12">
        <v>46182</v>
      </c>
      <c r="D384" s="9" t="s">
        <v>28</v>
      </c>
      <c r="E384" s="9" t="s">
        <v>32</v>
      </c>
      <c r="F384" s="13">
        <v>23450</v>
      </c>
      <c r="G384" s="39">
        <v>1170</v>
      </c>
      <c r="H384" s="45">
        <v>142.36000000000001</v>
      </c>
      <c r="I384" s="45">
        <v>175.58</v>
      </c>
      <c r="J384" s="40">
        <f>IF(D384="Short",H384-I384,I384-H384)</f>
        <v>-33.22</v>
      </c>
      <c r="K384" s="40">
        <f>J384*G384</f>
        <v>-38867.4</v>
      </c>
      <c r="L384" s="40">
        <f>IF(D384="Short",G384*H384,G384*I384)</f>
        <v>166561.20000000001</v>
      </c>
      <c r="M384" s="40">
        <f>IF(D384="Short",G384*I384,H384*G384)</f>
        <v>205428.6</v>
      </c>
      <c r="N384" s="40">
        <f>L384+M384</f>
        <v>371989.80000000005</v>
      </c>
      <c r="O384" s="40">
        <f>N384*0.000134</f>
        <v>49.846633200000007</v>
      </c>
      <c r="P384" s="40">
        <f>K384-O384</f>
        <v>-38917.246633200004</v>
      </c>
      <c r="Q384" s="14"/>
      <c r="R384" s="14"/>
      <c r="S384" s="14"/>
    </row>
    <row r="385" spans="1:19" x14ac:dyDescent="0.25">
      <c r="A385" s="51">
        <v>46177</v>
      </c>
      <c r="B385" s="9" t="s">
        <v>31</v>
      </c>
      <c r="C385" s="12">
        <v>46182</v>
      </c>
      <c r="D385" s="9" t="s">
        <v>28</v>
      </c>
      <c r="E385" s="9" t="s">
        <v>32</v>
      </c>
      <c r="F385" s="13">
        <v>22800</v>
      </c>
      <c r="G385" s="39">
        <v>10465</v>
      </c>
      <c r="H385" s="45">
        <v>16.95</v>
      </c>
      <c r="I385" s="45">
        <v>21.27</v>
      </c>
      <c r="J385" s="40">
        <f>IF(D385="Short",H385-I385,I385-H385)</f>
        <v>-4.32</v>
      </c>
      <c r="K385" s="40">
        <f>J385*G385</f>
        <v>-45208.800000000003</v>
      </c>
      <c r="L385" s="40">
        <f>IF(D385="Short",G385*H385,G385*I385)</f>
        <v>177381.75</v>
      </c>
      <c r="M385" s="40">
        <f>IF(D385="Short",G385*I385,H385*G385)</f>
        <v>222590.55</v>
      </c>
      <c r="N385" s="40">
        <f>L385+M385</f>
        <v>399972.3</v>
      </c>
      <c r="O385" s="40">
        <f>N385*0.000134</f>
        <v>53.596288200000004</v>
      </c>
      <c r="P385" s="40">
        <f>K385-O385</f>
        <v>-45262.396288200005</v>
      </c>
      <c r="Q385" s="14"/>
      <c r="R385" s="14"/>
      <c r="S385" s="14"/>
    </row>
    <row r="386" spans="1:19" x14ac:dyDescent="0.25">
      <c r="A386" s="51">
        <v>46177</v>
      </c>
      <c r="B386" s="9" t="s">
        <v>31</v>
      </c>
      <c r="C386" s="12">
        <v>46182</v>
      </c>
      <c r="D386" s="9" t="s">
        <v>30</v>
      </c>
      <c r="E386" s="9" t="s">
        <v>32</v>
      </c>
      <c r="F386" s="13">
        <v>23000</v>
      </c>
      <c r="G386" s="39">
        <v>5460</v>
      </c>
      <c r="H386" s="45">
        <v>24.33</v>
      </c>
      <c r="I386" s="45">
        <v>33.369999999999997</v>
      </c>
      <c r="J386" s="40">
        <f>IF(D386="Short",H386-I386,I386-H386)</f>
        <v>9.0399999999999991</v>
      </c>
      <c r="K386" s="40">
        <f>J386*G386</f>
        <v>49358.399999999994</v>
      </c>
      <c r="L386" s="40">
        <f>IF(D386="Short",G386*H386,G386*I386)</f>
        <v>182200.19999999998</v>
      </c>
      <c r="M386" s="40">
        <f>IF(D386="Short",G386*I386,H386*G386)</f>
        <v>132841.79999999999</v>
      </c>
      <c r="N386" s="40">
        <f>L386+M386</f>
        <v>315042</v>
      </c>
      <c r="O386" s="40">
        <f>N386*0.000134</f>
        <v>42.215628000000002</v>
      </c>
      <c r="P386" s="40">
        <f>K386-O386</f>
        <v>49316.184371999996</v>
      </c>
      <c r="Q386" s="14"/>
      <c r="R386" s="14"/>
      <c r="S386" s="14"/>
    </row>
    <row r="387" spans="1:19" x14ac:dyDescent="0.25">
      <c r="A387" s="51">
        <v>46177</v>
      </c>
      <c r="B387" s="9" t="s">
        <v>27</v>
      </c>
      <c r="C387" s="12">
        <v>46184</v>
      </c>
      <c r="D387" s="9" t="s">
        <v>28</v>
      </c>
      <c r="E387" s="9" t="s">
        <v>32</v>
      </c>
      <c r="F387" s="13">
        <v>74300</v>
      </c>
      <c r="G387" s="39">
        <v>820</v>
      </c>
      <c r="H387" s="45">
        <v>491.32</v>
      </c>
      <c r="I387" s="45">
        <v>575.5</v>
      </c>
      <c r="J387" s="40">
        <f>IF(D387="Short",H387-I387,I387-H387)</f>
        <v>-84.18</v>
      </c>
      <c r="K387" s="40">
        <f>J387*G387</f>
        <v>-69027.600000000006</v>
      </c>
      <c r="L387" s="40">
        <f>IF(D387="Short",G387*H387,G387*I387)</f>
        <v>402882.4</v>
      </c>
      <c r="M387" s="40">
        <f>IF(D387="Short",G387*I387,H387*G387)</f>
        <v>471910</v>
      </c>
      <c r="N387" s="40">
        <f>L387+M387</f>
        <v>874792.4</v>
      </c>
      <c r="O387" s="40">
        <f>N387*0.000134</f>
        <v>117.22218160000001</v>
      </c>
      <c r="P387" s="40">
        <f>K387-O387</f>
        <v>-69144.8221816</v>
      </c>
      <c r="Q387" s="14"/>
      <c r="R387" s="14"/>
      <c r="S387" s="14"/>
    </row>
    <row r="388" spans="1:19" x14ac:dyDescent="0.25">
      <c r="A388" s="51">
        <v>46177</v>
      </c>
      <c r="B388" s="9" t="s">
        <v>27</v>
      </c>
      <c r="C388" s="12">
        <v>46184</v>
      </c>
      <c r="D388" s="9" t="s">
        <v>28</v>
      </c>
      <c r="E388" s="9" t="s">
        <v>32</v>
      </c>
      <c r="F388" s="13">
        <v>72000</v>
      </c>
      <c r="G388" s="39">
        <v>400</v>
      </c>
      <c r="H388" s="45">
        <v>48.04</v>
      </c>
      <c r="I388" s="45">
        <v>49.33</v>
      </c>
      <c r="J388" s="40">
        <f>IF(D388="Short",H388-I388,I388-H388)</f>
        <v>-1.2899999999999991</v>
      </c>
      <c r="K388" s="40">
        <f>J388*G388</f>
        <v>-515.99999999999966</v>
      </c>
      <c r="L388" s="40">
        <f>IF(D388="Short",G388*H388,G388*I388)</f>
        <v>19216</v>
      </c>
      <c r="M388" s="40">
        <f>IF(D388="Short",G388*I388,H388*G388)</f>
        <v>19732</v>
      </c>
      <c r="N388" s="40">
        <f>L388+M388</f>
        <v>38948</v>
      </c>
      <c r="O388" s="40">
        <f>N388*0.000134</f>
        <v>5.2190320000000003</v>
      </c>
      <c r="P388" s="40">
        <f>K388-O388</f>
        <v>-521.21903199999963</v>
      </c>
      <c r="Q388" s="14"/>
      <c r="R388" s="14"/>
      <c r="S388" s="14"/>
    </row>
    <row r="389" spans="1:19" x14ac:dyDescent="0.25">
      <c r="A389" s="51">
        <v>46177</v>
      </c>
      <c r="B389" s="9" t="s">
        <v>27</v>
      </c>
      <c r="C389" s="12">
        <v>46184</v>
      </c>
      <c r="D389" s="9" t="s">
        <v>30</v>
      </c>
      <c r="E389" s="9" t="s">
        <v>32</v>
      </c>
      <c r="F389" s="13">
        <v>72000</v>
      </c>
      <c r="G389" s="39">
        <v>1000</v>
      </c>
      <c r="H389" s="45">
        <v>49.33</v>
      </c>
      <c r="I389" s="45">
        <v>57.77</v>
      </c>
      <c r="J389" s="40">
        <f>IF(D389="Short",H389-I389,I389-H389)</f>
        <v>8.4400000000000048</v>
      </c>
      <c r="K389" s="40">
        <f>J389*G389</f>
        <v>8440.0000000000055</v>
      </c>
      <c r="L389" s="40">
        <f>IF(D389="Short",G389*H389,G389*I389)</f>
        <v>57770</v>
      </c>
      <c r="M389" s="40">
        <f>IF(D389="Short",G389*I389,H389*G389)</f>
        <v>49330</v>
      </c>
      <c r="N389" s="40">
        <f>L389+M389</f>
        <v>107100</v>
      </c>
      <c r="O389" s="40">
        <f>N389*0.000134</f>
        <v>14.3514</v>
      </c>
      <c r="P389" s="40">
        <f>K389-O389</f>
        <v>8425.6486000000059</v>
      </c>
      <c r="Q389" s="14"/>
      <c r="R389" s="14"/>
      <c r="S389" s="14"/>
    </row>
    <row r="390" spans="1:19" x14ac:dyDescent="0.25">
      <c r="A390" s="51">
        <v>46177</v>
      </c>
      <c r="B390" s="9" t="s">
        <v>27</v>
      </c>
      <c r="C390" s="12">
        <v>46184</v>
      </c>
      <c r="D390" s="9" t="s">
        <v>28</v>
      </c>
      <c r="E390" s="9" t="s">
        <v>29</v>
      </c>
      <c r="F390" s="13">
        <v>74400</v>
      </c>
      <c r="G390" s="39">
        <v>80</v>
      </c>
      <c r="H390" s="45">
        <v>696.6</v>
      </c>
      <c r="I390" s="45">
        <v>780</v>
      </c>
      <c r="J390" s="40">
        <f>IF(D390="Short",H390-I390,I390-H390)</f>
        <v>-83.399999999999977</v>
      </c>
      <c r="K390" s="40">
        <f>J390*G390</f>
        <v>-6671.9999999999982</v>
      </c>
      <c r="L390" s="40">
        <f>IF(D390="Short",G390*H390,G390*I390)</f>
        <v>55728</v>
      </c>
      <c r="M390" s="40">
        <f>IF(D390="Short",G390*I390,H390*G390)</f>
        <v>62400</v>
      </c>
      <c r="N390" s="40">
        <f>L390+M390</f>
        <v>118128</v>
      </c>
      <c r="O390" s="40">
        <f>N390*0.000134</f>
        <v>15.829152000000001</v>
      </c>
      <c r="P390" s="40">
        <f>K390-O390</f>
        <v>-6687.8291519999984</v>
      </c>
      <c r="Q390" s="14"/>
      <c r="R390" s="14"/>
      <c r="S390" s="14"/>
    </row>
    <row r="391" spans="1:19" x14ac:dyDescent="0.25">
      <c r="A391" s="51">
        <v>46177</v>
      </c>
      <c r="B391" s="9" t="s">
        <v>27</v>
      </c>
      <c r="C391" s="12">
        <v>46184</v>
      </c>
      <c r="D391" s="9" t="s">
        <v>28</v>
      </c>
      <c r="E391" s="9" t="s">
        <v>29</v>
      </c>
      <c r="F391" s="13">
        <v>74300</v>
      </c>
      <c r="G391" s="39">
        <v>160</v>
      </c>
      <c r="H391" s="45">
        <v>745.11</v>
      </c>
      <c r="I391" s="45">
        <v>825.27</v>
      </c>
      <c r="J391" s="40">
        <f>IF(D391="Short",H391-I391,I391-H391)</f>
        <v>-80.159999999999968</v>
      </c>
      <c r="K391" s="40">
        <f>J391*G391</f>
        <v>-12825.599999999995</v>
      </c>
      <c r="L391" s="40">
        <f>IF(D391="Short",G391*H391,G391*I391)</f>
        <v>119217.60000000001</v>
      </c>
      <c r="M391" s="40">
        <f>IF(D391="Short",G391*I391,H391*G391)</f>
        <v>132043.20000000001</v>
      </c>
      <c r="N391" s="40">
        <f>L391+M391</f>
        <v>251260.80000000002</v>
      </c>
      <c r="O391" s="40">
        <f>N391*0.000134</f>
        <v>33.668947200000005</v>
      </c>
      <c r="P391" s="40">
        <f>K391-O391</f>
        <v>-12859.268947199995</v>
      </c>
      <c r="Q391" s="14"/>
      <c r="R391" s="14"/>
      <c r="S391" s="14"/>
    </row>
    <row r="392" spans="1:19" x14ac:dyDescent="0.25">
      <c r="A392" s="51">
        <v>46177</v>
      </c>
      <c r="B392" s="9" t="s">
        <v>31</v>
      </c>
      <c r="C392" s="12">
        <v>46182</v>
      </c>
      <c r="D392" s="9" t="s">
        <v>28</v>
      </c>
      <c r="E392" s="9" t="s">
        <v>32</v>
      </c>
      <c r="F392" s="13">
        <v>23400</v>
      </c>
      <c r="G392" s="39">
        <v>390</v>
      </c>
      <c r="H392" s="45">
        <v>138.74</v>
      </c>
      <c r="I392" s="45">
        <v>287.79000000000002</v>
      </c>
      <c r="J392" s="40">
        <f>IF(D392="Short",H392-I392,I392-H392)</f>
        <v>-149.05000000000001</v>
      </c>
      <c r="K392" s="40">
        <f>J392*G392</f>
        <v>-58129.500000000007</v>
      </c>
      <c r="L392" s="40">
        <f>IF(D392="Short",G392*H392,G392*I392)</f>
        <v>54108.600000000006</v>
      </c>
      <c r="M392" s="40">
        <f>IF(D392="Short",G392*I392,H392*G392)</f>
        <v>112238.1</v>
      </c>
      <c r="N392" s="40">
        <f>L392+M392</f>
        <v>166346.70000000001</v>
      </c>
      <c r="O392" s="40">
        <f>N392*0.000134</f>
        <v>22.290457800000002</v>
      </c>
      <c r="P392" s="40">
        <f>K392-O392</f>
        <v>-58151.790457800009</v>
      </c>
      <c r="Q392" s="14"/>
      <c r="R392" s="14"/>
      <c r="S392" s="14"/>
    </row>
    <row r="393" spans="1:19" x14ac:dyDescent="0.25">
      <c r="A393" s="51">
        <v>46177</v>
      </c>
      <c r="B393" s="9" t="s">
        <v>31</v>
      </c>
      <c r="C393" s="12">
        <v>46182</v>
      </c>
      <c r="D393" s="9" t="s">
        <v>28</v>
      </c>
      <c r="E393" s="9" t="s">
        <v>29</v>
      </c>
      <c r="F393" s="13">
        <v>23450</v>
      </c>
      <c r="G393" s="39">
        <v>455</v>
      </c>
      <c r="H393" s="45">
        <v>157.16999999999999</v>
      </c>
      <c r="I393" s="45">
        <v>162.99</v>
      </c>
      <c r="J393" s="40">
        <f>IF(D393="Short",H393-I393,I393-H393)</f>
        <v>-5.8200000000000216</v>
      </c>
      <c r="K393" s="40">
        <f>J393*G393</f>
        <v>-2648.1000000000099</v>
      </c>
      <c r="L393" s="40">
        <f>IF(D393="Short",G393*H393,G393*I393)</f>
        <v>71512.349999999991</v>
      </c>
      <c r="M393" s="40">
        <f>IF(D393="Short",G393*I393,H393*G393)</f>
        <v>74160.45</v>
      </c>
      <c r="N393" s="40">
        <f>L393+M393</f>
        <v>145672.79999999999</v>
      </c>
      <c r="O393" s="40">
        <f>N393*0.000134</f>
        <v>19.520155199999998</v>
      </c>
      <c r="P393" s="40">
        <f>K393-O393</f>
        <v>-2667.6201552000098</v>
      </c>
      <c r="Q393" s="14"/>
      <c r="R393" s="14"/>
      <c r="S393" s="14"/>
    </row>
    <row r="394" spans="1:19" x14ac:dyDescent="0.25">
      <c r="A394" s="51">
        <v>46177</v>
      </c>
      <c r="B394" s="9" t="s">
        <v>27</v>
      </c>
      <c r="C394" s="12">
        <v>46177</v>
      </c>
      <c r="D394" s="9" t="s">
        <v>28</v>
      </c>
      <c r="E394" s="9" t="s">
        <v>32</v>
      </c>
      <c r="F394" s="13">
        <v>74100</v>
      </c>
      <c r="G394" s="39">
        <v>920</v>
      </c>
      <c r="H394" s="45">
        <v>5.97</v>
      </c>
      <c r="I394" s="45">
        <v>105.71</v>
      </c>
      <c r="J394" s="40">
        <f>IF(D394="Short",H394-I394,I394-H394)</f>
        <v>-99.74</v>
      </c>
      <c r="K394" s="40">
        <f>J394*G394</f>
        <v>-91760.799999999988</v>
      </c>
      <c r="L394" s="40">
        <f>IF(D394="Short",G394*H394,G394*I394)</f>
        <v>5492.4</v>
      </c>
      <c r="M394" s="40">
        <f>IF(D394="Short",G394*I394,H394*G394)</f>
        <v>97253.2</v>
      </c>
      <c r="N394" s="40">
        <f>L394+M394</f>
        <v>102745.59999999999</v>
      </c>
      <c r="O394" s="40">
        <f>N394*0.000134</f>
        <v>13.7679104</v>
      </c>
      <c r="P394" s="40">
        <f>K394-O394</f>
        <v>-91774.567910399986</v>
      </c>
      <c r="Q394" s="14"/>
      <c r="R394" s="14"/>
      <c r="S394" s="14"/>
    </row>
    <row r="395" spans="1:19" x14ac:dyDescent="0.25">
      <c r="A395" s="51">
        <v>46177</v>
      </c>
      <c r="B395" s="9" t="s">
        <v>27</v>
      </c>
      <c r="C395" s="12">
        <v>46177</v>
      </c>
      <c r="D395" s="9" t="s">
        <v>28</v>
      </c>
      <c r="E395" s="9" t="s">
        <v>32</v>
      </c>
      <c r="F395" s="13">
        <v>73500</v>
      </c>
      <c r="G395" s="39">
        <v>2420</v>
      </c>
      <c r="H395" s="45">
        <v>1.48</v>
      </c>
      <c r="I395" s="45">
        <v>22.38</v>
      </c>
      <c r="J395" s="40">
        <f>IF(D395="Short",H395-I395,I395-H395)</f>
        <v>-20.9</v>
      </c>
      <c r="K395" s="40">
        <f>J395*G395</f>
        <v>-50578</v>
      </c>
      <c r="L395" s="40">
        <f>IF(D395="Short",G395*H395,G395*I395)</f>
        <v>3581.6</v>
      </c>
      <c r="M395" s="40">
        <f>IF(D395="Short",G395*I395,H395*G395)</f>
        <v>54159.6</v>
      </c>
      <c r="N395" s="40">
        <f>L395+M395</f>
        <v>57741.2</v>
      </c>
      <c r="O395" s="40">
        <f>N395*0.000134</f>
        <v>7.7373208</v>
      </c>
      <c r="P395" s="40">
        <f>K395-O395</f>
        <v>-50585.737320799999</v>
      </c>
      <c r="Q395" s="14"/>
      <c r="R395" s="14"/>
      <c r="S395" s="14"/>
    </row>
    <row r="396" spans="1:19" x14ac:dyDescent="0.25">
      <c r="A396" s="51">
        <v>46177</v>
      </c>
      <c r="B396" s="9" t="s">
        <v>27</v>
      </c>
      <c r="C396" s="12">
        <v>46177</v>
      </c>
      <c r="D396" s="9" t="s">
        <v>28</v>
      </c>
      <c r="E396" s="9" t="s">
        <v>29</v>
      </c>
      <c r="F396" s="13">
        <v>74400</v>
      </c>
      <c r="G396" s="39">
        <v>240</v>
      </c>
      <c r="H396" s="45">
        <v>9.4</v>
      </c>
      <c r="I396" s="45">
        <v>88.7</v>
      </c>
      <c r="J396" s="40">
        <f>IF(D396="Short",H396-I396,I396-H396)</f>
        <v>-79.3</v>
      </c>
      <c r="K396" s="40">
        <f>J396*G396</f>
        <v>-19032</v>
      </c>
      <c r="L396" s="40">
        <f>IF(D396="Short",G396*H396,G396*I396)</f>
        <v>2256</v>
      </c>
      <c r="M396" s="40">
        <f>IF(D396="Short",G396*I396,H396*G396)</f>
        <v>21288</v>
      </c>
      <c r="N396" s="40">
        <f>L396+M396</f>
        <v>23544</v>
      </c>
      <c r="O396" s="40">
        <f>N396*0.000134</f>
        <v>3.1548959999999999</v>
      </c>
      <c r="P396" s="40">
        <f>K396-O396</f>
        <v>-19035.154896</v>
      </c>
      <c r="Q396" s="14"/>
      <c r="R396" s="14"/>
      <c r="S396" s="14"/>
    </row>
    <row r="397" spans="1:19" x14ac:dyDescent="0.25">
      <c r="A397" s="51">
        <v>46177</v>
      </c>
      <c r="B397" s="9" t="s">
        <v>27</v>
      </c>
      <c r="C397" s="12">
        <v>46177</v>
      </c>
      <c r="D397" s="9" t="s">
        <v>28</v>
      </c>
      <c r="E397" s="9" t="s">
        <v>29</v>
      </c>
      <c r="F397" s="13">
        <v>74300</v>
      </c>
      <c r="G397" s="39">
        <v>220</v>
      </c>
      <c r="H397" s="45">
        <v>124.6</v>
      </c>
      <c r="I397" s="45">
        <v>281.89999999999998</v>
      </c>
      <c r="J397" s="40">
        <f>IF(D397="Short",H397-I397,I397-H397)</f>
        <v>-157.29999999999998</v>
      </c>
      <c r="K397" s="40">
        <f>J397*G397</f>
        <v>-34605.999999999993</v>
      </c>
      <c r="L397" s="40">
        <f>IF(D397="Short",G397*H397,G397*I397)</f>
        <v>27412</v>
      </c>
      <c r="M397" s="40">
        <f>IF(D397="Short",G397*I397,H397*G397)</f>
        <v>62017.999999999993</v>
      </c>
      <c r="N397" s="40">
        <f>L397+M397</f>
        <v>89430</v>
      </c>
      <c r="O397" s="40">
        <f>N397*0.000134</f>
        <v>11.98362</v>
      </c>
      <c r="P397" s="40">
        <f>K397-O397</f>
        <v>-34617.983619999992</v>
      </c>
      <c r="Q397" s="14"/>
      <c r="R397" s="14"/>
      <c r="S397" s="14"/>
    </row>
    <row r="398" spans="1:19" x14ac:dyDescent="0.25">
      <c r="A398" s="51">
        <v>46177</v>
      </c>
      <c r="B398" s="9" t="s">
        <v>27</v>
      </c>
      <c r="C398" s="12">
        <v>46177</v>
      </c>
      <c r="D398" s="9" t="s">
        <v>30</v>
      </c>
      <c r="E398" s="9" t="s">
        <v>32</v>
      </c>
      <c r="F398" s="13">
        <v>74300</v>
      </c>
      <c r="G398" s="39">
        <v>320</v>
      </c>
      <c r="H398" s="45">
        <v>53.74</v>
      </c>
      <c r="I398" s="45">
        <v>56</v>
      </c>
      <c r="J398" s="40">
        <f>IF(D398="Short",H398-I398,I398-H398)</f>
        <v>2.259999999999998</v>
      </c>
      <c r="K398" s="40">
        <f>J398*G398</f>
        <v>723.19999999999936</v>
      </c>
      <c r="L398" s="40">
        <f>IF(D398="Short",G398*H398,G398*I398)</f>
        <v>17920</v>
      </c>
      <c r="M398" s="40">
        <f>IF(D398="Short",G398*I398,H398*G398)</f>
        <v>17196.8</v>
      </c>
      <c r="N398" s="40">
        <f>L398+M398</f>
        <v>35116.800000000003</v>
      </c>
      <c r="O398" s="40">
        <f>N398*0.000134</f>
        <v>4.7056512000000001</v>
      </c>
      <c r="P398" s="40">
        <f>K398-O398</f>
        <v>718.49434879999933</v>
      </c>
      <c r="Q398" s="14"/>
      <c r="R398" s="14"/>
      <c r="S398" s="14"/>
    </row>
    <row r="399" spans="1:19" x14ac:dyDescent="0.25">
      <c r="A399" s="51">
        <v>46177</v>
      </c>
      <c r="B399" s="9" t="s">
        <v>27</v>
      </c>
      <c r="C399" s="12">
        <v>46177</v>
      </c>
      <c r="D399" s="9" t="s">
        <v>30</v>
      </c>
      <c r="E399" s="9" t="s">
        <v>32</v>
      </c>
      <c r="F399" s="13">
        <v>74500</v>
      </c>
      <c r="G399" s="39">
        <v>260</v>
      </c>
      <c r="H399" s="45">
        <v>228.5</v>
      </c>
      <c r="I399" s="45">
        <v>175.34</v>
      </c>
      <c r="J399" s="40">
        <f>IF(D399="Short",H399-I399,I399-H399)</f>
        <v>-53.16</v>
      </c>
      <c r="K399" s="40">
        <f>J399*G399</f>
        <v>-13821.599999999999</v>
      </c>
      <c r="L399" s="40">
        <f>IF(D399="Short",G399*H399,G399*I399)</f>
        <v>45588.4</v>
      </c>
      <c r="M399" s="40">
        <f>IF(D399="Short",G399*I399,H399*G399)</f>
        <v>59410</v>
      </c>
      <c r="N399" s="40">
        <f>L399+M399</f>
        <v>104998.39999999999</v>
      </c>
      <c r="O399" s="40">
        <f>N399*0.000134</f>
        <v>14.069785599999999</v>
      </c>
      <c r="P399" s="40">
        <f>K399-O399</f>
        <v>-13835.669785599999</v>
      </c>
      <c r="Q399" s="14"/>
      <c r="R399" s="14"/>
      <c r="S399" s="14"/>
    </row>
    <row r="400" spans="1:19" x14ac:dyDescent="0.25">
      <c r="A400" s="51">
        <v>46177</v>
      </c>
      <c r="B400" s="9" t="s">
        <v>27</v>
      </c>
      <c r="C400" s="12">
        <v>46177</v>
      </c>
      <c r="D400" s="9" t="s">
        <v>30</v>
      </c>
      <c r="E400" s="9" t="s">
        <v>32</v>
      </c>
      <c r="F400" s="13">
        <v>74400</v>
      </c>
      <c r="G400" s="39">
        <v>620</v>
      </c>
      <c r="H400" s="45">
        <v>121.73</v>
      </c>
      <c r="I400" s="45">
        <v>231.58</v>
      </c>
      <c r="J400" s="40">
        <f>IF(D400="Short",H400-I400,I400-H400)</f>
        <v>109.85000000000001</v>
      </c>
      <c r="K400" s="40">
        <f>J400*G400</f>
        <v>68107</v>
      </c>
      <c r="L400" s="40">
        <f>IF(D400="Short",G400*H400,G400*I400)</f>
        <v>143579.6</v>
      </c>
      <c r="M400" s="40">
        <f>IF(D400="Short",G400*I400,H400*G400)</f>
        <v>75472.600000000006</v>
      </c>
      <c r="N400" s="40">
        <f>L400+M400</f>
        <v>219052.2</v>
      </c>
      <c r="O400" s="40">
        <f>N400*0.000134</f>
        <v>29.352994800000001</v>
      </c>
      <c r="P400" s="40">
        <f>K400-O400</f>
        <v>68077.647005199993</v>
      </c>
      <c r="Q400" s="14"/>
      <c r="R400" s="14"/>
      <c r="S400" s="14"/>
    </row>
    <row r="401" spans="1:19" x14ac:dyDescent="0.25">
      <c r="A401" s="51">
        <v>46177</v>
      </c>
      <c r="B401" s="9" t="s">
        <v>31</v>
      </c>
      <c r="C401" s="12">
        <v>46182</v>
      </c>
      <c r="D401" s="9" t="s">
        <v>28</v>
      </c>
      <c r="E401" s="9" t="s">
        <v>32</v>
      </c>
      <c r="F401" s="13">
        <v>23400</v>
      </c>
      <c r="G401" s="39">
        <v>650</v>
      </c>
      <c r="H401" s="45">
        <v>166.6</v>
      </c>
      <c r="I401" s="45">
        <v>138.99</v>
      </c>
      <c r="J401" s="40">
        <f>IF(D401="Short",H401-I401,I401-H401)</f>
        <v>27.609999999999985</v>
      </c>
      <c r="K401" s="40">
        <f>J401*G401</f>
        <v>17946.499999999989</v>
      </c>
      <c r="L401" s="40">
        <f>IF(D401="Short",G401*H401,G401*I401)</f>
        <v>108290</v>
      </c>
      <c r="M401" s="40">
        <f>IF(D401="Short",G401*I401,H401*G401)</f>
        <v>90343.5</v>
      </c>
      <c r="N401" s="40">
        <f>L401+M401</f>
        <v>198633.5</v>
      </c>
      <c r="O401" s="40">
        <f>N401*0.000134</f>
        <v>26.616889</v>
      </c>
      <c r="P401" s="40">
        <f>K401-O401</f>
        <v>17919.883110999988</v>
      </c>
      <c r="Q401" s="14"/>
      <c r="R401" s="14"/>
      <c r="S401" s="14"/>
    </row>
    <row r="402" spans="1:19" x14ac:dyDescent="0.25">
      <c r="A402" s="51">
        <v>46177</v>
      </c>
      <c r="B402" s="9" t="s">
        <v>31</v>
      </c>
      <c r="C402" s="12">
        <v>46182</v>
      </c>
      <c r="D402" s="9" t="s">
        <v>30</v>
      </c>
      <c r="E402" s="9" t="s">
        <v>29</v>
      </c>
      <c r="F402" s="13">
        <v>23400</v>
      </c>
      <c r="G402" s="39">
        <v>1040</v>
      </c>
      <c r="H402" s="45">
        <v>199.32</v>
      </c>
      <c r="I402" s="45">
        <v>210.47</v>
      </c>
      <c r="J402" s="40">
        <f>IF(D402="Short",H402-I402,I402-H402)</f>
        <v>11.150000000000006</v>
      </c>
      <c r="K402" s="40">
        <f>J402*G402</f>
        <v>11596.000000000005</v>
      </c>
      <c r="L402" s="40">
        <f>IF(D402="Short",G402*H402,G402*I402)</f>
        <v>218888.8</v>
      </c>
      <c r="M402" s="40">
        <f>IF(D402="Short",G402*I402,H402*G402)</f>
        <v>207292.79999999999</v>
      </c>
      <c r="N402" s="40">
        <f>L402+M402</f>
        <v>426181.6</v>
      </c>
      <c r="O402" s="40">
        <f>N402*0.000134</f>
        <v>57.108334399999997</v>
      </c>
      <c r="P402" s="40">
        <f>K402-O402</f>
        <v>11538.891665600006</v>
      </c>
      <c r="Q402" s="14"/>
      <c r="R402" s="14"/>
      <c r="S402" s="14"/>
    </row>
    <row r="403" spans="1:19" x14ac:dyDescent="0.25">
      <c r="A403" s="51">
        <v>46177</v>
      </c>
      <c r="B403" s="9" t="s">
        <v>31</v>
      </c>
      <c r="C403" s="12">
        <v>46182</v>
      </c>
      <c r="D403" s="9" t="s">
        <v>30</v>
      </c>
      <c r="E403" s="9" t="s">
        <v>32</v>
      </c>
      <c r="F403" s="13">
        <v>23300</v>
      </c>
      <c r="G403" s="39">
        <v>130</v>
      </c>
      <c r="H403" s="45">
        <v>121.45</v>
      </c>
      <c r="I403" s="45">
        <v>142.15</v>
      </c>
      <c r="J403" s="40">
        <f>IF(D403="Short",H403-I403,I403-H403)</f>
        <v>20.700000000000003</v>
      </c>
      <c r="K403" s="40">
        <f>J403*G403</f>
        <v>2691.0000000000005</v>
      </c>
      <c r="L403" s="40">
        <f>IF(D403="Short",G403*H403,G403*I403)</f>
        <v>18479.5</v>
      </c>
      <c r="M403" s="40">
        <f>IF(D403="Short",G403*I403,H403*G403)</f>
        <v>15788.5</v>
      </c>
      <c r="N403" s="40">
        <f>L403+M403</f>
        <v>34268</v>
      </c>
      <c r="O403" s="40">
        <f>N403*0.000134</f>
        <v>4.5919119999999998</v>
      </c>
      <c r="P403" s="40">
        <f>K403-O403</f>
        <v>2686.4080880000006</v>
      </c>
      <c r="Q403" s="14"/>
      <c r="R403" s="14"/>
      <c r="S403" s="14"/>
    </row>
    <row r="404" spans="1:19" x14ac:dyDescent="0.25">
      <c r="A404" s="51">
        <v>46177</v>
      </c>
      <c r="B404" s="9" t="s">
        <v>27</v>
      </c>
      <c r="C404" s="12">
        <v>46177</v>
      </c>
      <c r="D404" s="9" t="s">
        <v>28</v>
      </c>
      <c r="E404" s="9" t="s">
        <v>32</v>
      </c>
      <c r="F404" s="13">
        <v>73700</v>
      </c>
      <c r="G404" s="39">
        <v>100</v>
      </c>
      <c r="H404" s="45">
        <v>33.049999999999997</v>
      </c>
      <c r="I404" s="45">
        <v>33.450000000000003</v>
      </c>
      <c r="J404" s="40">
        <f>IF(D404="Short",H404-I404,I404-H404)</f>
        <v>-0.40000000000000568</v>
      </c>
      <c r="K404" s="40">
        <f>J404*G404</f>
        <v>-40.000000000000568</v>
      </c>
      <c r="L404" s="40">
        <f>IF(D404="Short",G404*H404,G404*I404)</f>
        <v>3304.9999999999995</v>
      </c>
      <c r="M404" s="40">
        <f>IF(D404="Short",G404*I404,H404*G404)</f>
        <v>3345.0000000000005</v>
      </c>
      <c r="N404" s="40">
        <f>L404+M404</f>
        <v>6650</v>
      </c>
      <c r="O404" s="40">
        <f>N404*0.000134</f>
        <v>0.8911</v>
      </c>
      <c r="P404" s="40">
        <f>K404-O404</f>
        <v>-40.89110000000057</v>
      </c>
      <c r="Q404" s="14"/>
      <c r="R404" s="14"/>
      <c r="S404" s="14"/>
    </row>
    <row r="405" spans="1:19" x14ac:dyDescent="0.25">
      <c r="A405" s="51">
        <v>46177</v>
      </c>
      <c r="B405" s="9" t="s">
        <v>27</v>
      </c>
      <c r="C405" s="12">
        <v>46177</v>
      </c>
      <c r="D405" s="9" t="s">
        <v>28</v>
      </c>
      <c r="E405" s="9" t="s">
        <v>29</v>
      </c>
      <c r="F405" s="13">
        <v>74000</v>
      </c>
      <c r="G405" s="39">
        <v>140</v>
      </c>
      <c r="H405" s="45">
        <v>326.02</v>
      </c>
      <c r="I405" s="45">
        <v>191.78</v>
      </c>
      <c r="J405" s="40">
        <f>IF(D405="Short",H405-I405,I405-H405)</f>
        <v>134.23999999999998</v>
      </c>
      <c r="K405" s="40">
        <f>J405*G405</f>
        <v>18793.599999999999</v>
      </c>
      <c r="L405" s="40">
        <f>IF(D405="Short",G405*H405,G405*I405)</f>
        <v>45642.799999999996</v>
      </c>
      <c r="M405" s="40">
        <f>IF(D405="Short",G405*I405,H405*G405)</f>
        <v>26849.200000000001</v>
      </c>
      <c r="N405" s="40">
        <f>L405+M405</f>
        <v>72492</v>
      </c>
      <c r="O405" s="40">
        <f>N405*0.000134</f>
        <v>9.713928000000001</v>
      </c>
      <c r="P405" s="40">
        <f>K405-O405</f>
        <v>18783.886071999998</v>
      </c>
      <c r="Q405" s="14"/>
      <c r="R405" s="14"/>
      <c r="S405" s="14"/>
    </row>
    <row r="406" spans="1:19" x14ac:dyDescent="0.25">
      <c r="A406" s="51">
        <v>46177</v>
      </c>
      <c r="B406" s="9" t="s">
        <v>27</v>
      </c>
      <c r="C406" s="12">
        <v>46177</v>
      </c>
      <c r="D406" s="9" t="s">
        <v>28</v>
      </c>
      <c r="E406" s="9" t="s">
        <v>29</v>
      </c>
      <c r="F406" s="13">
        <v>73900</v>
      </c>
      <c r="G406" s="39">
        <v>240</v>
      </c>
      <c r="H406" s="45">
        <v>387.7</v>
      </c>
      <c r="I406" s="45">
        <v>250</v>
      </c>
      <c r="J406" s="40">
        <f>IF(D406="Short",H406-I406,I406-H406)</f>
        <v>137.69999999999999</v>
      </c>
      <c r="K406" s="40">
        <f>J406*G406</f>
        <v>33048</v>
      </c>
      <c r="L406" s="40">
        <f>IF(D406="Short",G406*H406,G406*I406)</f>
        <v>93048</v>
      </c>
      <c r="M406" s="40">
        <f>IF(D406="Short",G406*I406,H406*G406)</f>
        <v>60000</v>
      </c>
      <c r="N406" s="40">
        <f>L406+M406</f>
        <v>153048</v>
      </c>
      <c r="O406" s="40">
        <f>N406*0.000134</f>
        <v>20.508431999999999</v>
      </c>
      <c r="P406" s="40">
        <f>K406-O406</f>
        <v>33027.491567999998</v>
      </c>
      <c r="Q406" s="14"/>
      <c r="R406" s="14"/>
      <c r="S406" s="14"/>
    </row>
    <row r="407" spans="1:19" x14ac:dyDescent="0.25">
      <c r="A407" s="51">
        <v>46178</v>
      </c>
      <c r="B407" s="9" t="s">
        <v>27</v>
      </c>
      <c r="C407" s="12">
        <v>46184</v>
      </c>
      <c r="D407" s="9" t="s">
        <v>28</v>
      </c>
      <c r="E407" s="9" t="s">
        <v>32</v>
      </c>
      <c r="F407" s="13">
        <v>74300</v>
      </c>
      <c r="G407" s="39">
        <v>900</v>
      </c>
      <c r="H407" s="45">
        <v>519.77</v>
      </c>
      <c r="I407" s="45">
        <v>977.86</v>
      </c>
      <c r="J407" s="40">
        <f>IF(D407="Short",H407-I407,I407-H407)</f>
        <v>-458.09000000000003</v>
      </c>
      <c r="K407" s="40">
        <f>J407*G407</f>
        <v>-412281</v>
      </c>
      <c r="L407" s="40">
        <f>IF(D407="Short",G407*H407,G407*I407)</f>
        <v>467793</v>
      </c>
      <c r="M407" s="40">
        <f>IF(D407="Short",G407*I407,H407*G407)</f>
        <v>880074</v>
      </c>
      <c r="N407" s="40">
        <f>L407+M407</f>
        <v>1347867</v>
      </c>
      <c r="O407" s="40">
        <f>N407*0.000134</f>
        <v>180.61417800000001</v>
      </c>
      <c r="P407" s="40">
        <f>K407-O407</f>
        <v>-412461.61417800002</v>
      </c>
      <c r="Q407" s="14"/>
      <c r="R407" s="14"/>
      <c r="S407" s="14"/>
    </row>
    <row r="408" spans="1:19" x14ac:dyDescent="0.25">
      <c r="A408" s="51">
        <v>46178</v>
      </c>
      <c r="B408" s="9" t="s">
        <v>27</v>
      </c>
      <c r="C408" s="12">
        <v>46184</v>
      </c>
      <c r="D408" s="9" t="s">
        <v>30</v>
      </c>
      <c r="E408" s="9" t="s">
        <v>32</v>
      </c>
      <c r="F408" s="13">
        <v>72000</v>
      </c>
      <c r="G408" s="39">
        <v>1400</v>
      </c>
      <c r="H408" s="45">
        <v>49.95</v>
      </c>
      <c r="I408" s="45">
        <v>106.78</v>
      </c>
      <c r="J408" s="40">
        <f>IF(D408="Short",H408-I408,I408-H408)</f>
        <v>56.83</v>
      </c>
      <c r="K408" s="40">
        <f>J408*G408</f>
        <v>79562</v>
      </c>
      <c r="L408" s="40">
        <f>IF(D408="Short",G408*H408,G408*I408)</f>
        <v>149492</v>
      </c>
      <c r="M408" s="40">
        <f>IF(D408="Short",G408*I408,H408*G408)</f>
        <v>69930</v>
      </c>
      <c r="N408" s="40">
        <f>L408+M408</f>
        <v>219422</v>
      </c>
      <c r="O408" s="40">
        <f>N408*0.000134</f>
        <v>29.402547999999999</v>
      </c>
      <c r="P408" s="40">
        <f>K408-O408</f>
        <v>79532.597452000002</v>
      </c>
      <c r="Q408" s="14"/>
      <c r="R408" s="14"/>
      <c r="S408" s="14"/>
    </row>
    <row r="409" spans="1:19" x14ac:dyDescent="0.25">
      <c r="A409" s="51">
        <v>46178</v>
      </c>
      <c r="B409" s="9" t="s">
        <v>31</v>
      </c>
      <c r="C409" s="12">
        <v>46182</v>
      </c>
      <c r="D409" s="9" t="s">
        <v>30</v>
      </c>
      <c r="E409" s="9" t="s">
        <v>32</v>
      </c>
      <c r="F409" s="13">
        <v>23000</v>
      </c>
      <c r="G409" s="39">
        <v>2210</v>
      </c>
      <c r="H409" s="45">
        <v>20.2</v>
      </c>
      <c r="I409" s="45">
        <v>63.27</v>
      </c>
      <c r="J409" s="40">
        <f>IF(D409="Short",H409-I409,I409-H409)</f>
        <v>43.070000000000007</v>
      </c>
      <c r="K409" s="40">
        <f>J409*G409</f>
        <v>95184.700000000012</v>
      </c>
      <c r="L409" s="40">
        <f>IF(D409="Short",G409*H409,G409*I409)</f>
        <v>139826.70000000001</v>
      </c>
      <c r="M409" s="40">
        <f>IF(D409="Short",G409*I409,H409*G409)</f>
        <v>44642</v>
      </c>
      <c r="N409" s="40">
        <f>L409+M409</f>
        <v>184468.7</v>
      </c>
      <c r="O409" s="40">
        <f>N409*0.000134</f>
        <v>24.718805800000002</v>
      </c>
      <c r="P409" s="40">
        <f>K409-O409</f>
        <v>95159.981194200009</v>
      </c>
      <c r="Q409" s="14"/>
      <c r="R409" s="14"/>
      <c r="S409" s="14"/>
    </row>
    <row r="410" spans="1:19" x14ac:dyDescent="0.25">
      <c r="A410" s="51">
        <v>46178</v>
      </c>
      <c r="B410" s="9" t="s">
        <v>31</v>
      </c>
      <c r="C410" s="12">
        <v>46182</v>
      </c>
      <c r="D410" s="9" t="s">
        <v>28</v>
      </c>
      <c r="E410" s="9" t="s">
        <v>32</v>
      </c>
      <c r="F410" s="13">
        <v>23400</v>
      </c>
      <c r="G410" s="39">
        <v>975</v>
      </c>
      <c r="H410" s="45">
        <v>104.53</v>
      </c>
      <c r="I410" s="45">
        <v>287.79000000000002</v>
      </c>
      <c r="J410" s="40">
        <f>IF(D410="Short",H410-I410,I410-H410)</f>
        <v>-183.26000000000002</v>
      </c>
      <c r="K410" s="40">
        <f>J410*G410</f>
        <v>-178678.50000000003</v>
      </c>
      <c r="L410" s="40">
        <f>IF(D410="Short",G410*H410,G410*I410)</f>
        <v>101916.75</v>
      </c>
      <c r="M410" s="40">
        <f>IF(D410="Short",G410*I410,H410*G410)</f>
        <v>280595.25</v>
      </c>
      <c r="N410" s="40">
        <f>L410+M410</f>
        <v>382512</v>
      </c>
      <c r="O410" s="40">
        <f>N410*0.000134</f>
        <v>51.256608</v>
      </c>
      <c r="P410" s="40">
        <f>K410-O410</f>
        <v>-178729.75660800003</v>
      </c>
      <c r="Q410" s="14"/>
      <c r="R410" s="14"/>
      <c r="S410" s="14"/>
    </row>
    <row r="411" spans="1:19" x14ac:dyDescent="0.25">
      <c r="A411" s="51">
        <v>46178</v>
      </c>
      <c r="B411" s="9" t="s">
        <v>31</v>
      </c>
      <c r="C411" s="12">
        <v>46182</v>
      </c>
      <c r="D411" s="9" t="s">
        <v>30</v>
      </c>
      <c r="E411" s="9" t="s">
        <v>32</v>
      </c>
      <c r="F411" s="13">
        <v>23000</v>
      </c>
      <c r="G411" s="39">
        <v>3315</v>
      </c>
      <c r="H411" s="45">
        <v>20.2</v>
      </c>
      <c r="I411" s="45">
        <v>33.369999999999997</v>
      </c>
      <c r="J411" s="40">
        <f>IF(D411="Short",H411-I411,I411-H411)</f>
        <v>13.169999999999998</v>
      </c>
      <c r="K411" s="40">
        <f>J411*G411</f>
        <v>43658.549999999996</v>
      </c>
      <c r="L411" s="40">
        <f>IF(D411="Short",G411*H411,G411*I411)</f>
        <v>110621.54999999999</v>
      </c>
      <c r="M411" s="40">
        <f>IF(D411="Short",G411*I411,H411*G411)</f>
        <v>66963</v>
      </c>
      <c r="N411" s="40">
        <f>L411+M411</f>
        <v>177584.55</v>
      </c>
      <c r="O411" s="40">
        <f>N411*0.000134</f>
        <v>23.796329699999998</v>
      </c>
      <c r="P411" s="40">
        <f>K411-O411</f>
        <v>43634.753670299993</v>
      </c>
      <c r="Q411" s="14"/>
      <c r="R411" s="14"/>
      <c r="S411" s="14"/>
    </row>
    <row r="412" spans="1:19" x14ac:dyDescent="0.25">
      <c r="A412" s="51">
        <v>46178</v>
      </c>
      <c r="B412" s="9" t="s">
        <v>31</v>
      </c>
      <c r="C412" s="12">
        <v>46182</v>
      </c>
      <c r="D412" s="9" t="s">
        <v>28</v>
      </c>
      <c r="E412" s="9" t="s">
        <v>32</v>
      </c>
      <c r="F412" s="13">
        <v>23400</v>
      </c>
      <c r="G412" s="39">
        <v>3120</v>
      </c>
      <c r="H412" s="45">
        <v>138.74</v>
      </c>
      <c r="I412" s="45">
        <v>159.46</v>
      </c>
      <c r="J412" s="40">
        <f>IF(D412="Short",H412-I412,I412-H412)</f>
        <v>-20.72</v>
      </c>
      <c r="K412" s="40">
        <f>J412*G412</f>
        <v>-64646.399999999994</v>
      </c>
      <c r="L412" s="40">
        <f>IF(D412="Short",G412*H412,G412*I412)</f>
        <v>432868.80000000005</v>
      </c>
      <c r="M412" s="40">
        <f>IF(D412="Short",G412*I412,H412*G412)</f>
        <v>497515.2</v>
      </c>
      <c r="N412" s="40">
        <f>L412+M412</f>
        <v>930384</v>
      </c>
      <c r="O412" s="40">
        <f>N412*0.000134</f>
        <v>124.67145600000001</v>
      </c>
      <c r="P412" s="40">
        <f>K412-O412</f>
        <v>-64771.071455999991</v>
      </c>
      <c r="Q412" s="14"/>
      <c r="R412" s="14"/>
      <c r="S412" s="14"/>
    </row>
    <row r="413" spans="1:19" x14ac:dyDescent="0.25">
      <c r="A413" s="51">
        <v>46178</v>
      </c>
      <c r="B413" s="9" t="s">
        <v>27</v>
      </c>
      <c r="C413" s="12">
        <v>46184</v>
      </c>
      <c r="D413" s="9" t="s">
        <v>30</v>
      </c>
      <c r="E413" s="9" t="s">
        <v>32</v>
      </c>
      <c r="F413" s="13">
        <v>72000</v>
      </c>
      <c r="G413" s="39">
        <v>1500</v>
      </c>
      <c r="H413" s="45">
        <v>49.95</v>
      </c>
      <c r="I413" s="45">
        <v>57.77</v>
      </c>
      <c r="J413" s="40">
        <f>IF(D413="Short",H413-I413,I413-H413)</f>
        <v>7.82</v>
      </c>
      <c r="K413" s="40">
        <f>J413*G413</f>
        <v>11730</v>
      </c>
      <c r="L413" s="40">
        <f>IF(D413="Short",G413*H413,G413*I413)</f>
        <v>86655</v>
      </c>
      <c r="M413" s="40">
        <f>IF(D413="Short",G413*I413,H413*G413)</f>
        <v>74925</v>
      </c>
      <c r="N413" s="40">
        <f>L413+M413</f>
        <v>161580</v>
      </c>
      <c r="O413" s="40">
        <f>N413*0.000134</f>
        <v>21.651720000000001</v>
      </c>
      <c r="P413" s="40">
        <f>K413-O413</f>
        <v>11708.34828</v>
      </c>
      <c r="Q413" s="14"/>
      <c r="R413" s="14"/>
      <c r="S413" s="14"/>
    </row>
    <row r="414" spans="1:19" x14ac:dyDescent="0.25">
      <c r="A414" s="51">
        <v>46178</v>
      </c>
      <c r="B414" s="9" t="s">
        <v>27</v>
      </c>
      <c r="C414" s="12">
        <v>46184</v>
      </c>
      <c r="D414" s="9" t="s">
        <v>30</v>
      </c>
      <c r="E414" s="9" t="s">
        <v>32</v>
      </c>
      <c r="F414" s="13">
        <v>74500</v>
      </c>
      <c r="G414" s="39">
        <v>300</v>
      </c>
      <c r="H414" s="45">
        <v>698.48</v>
      </c>
      <c r="I414" s="45">
        <v>569.89</v>
      </c>
      <c r="J414" s="40">
        <f>IF(D414="Short",H414-I414,I414-H414)</f>
        <v>-128.59000000000003</v>
      </c>
      <c r="K414" s="40">
        <f>J414*G414</f>
        <v>-38577.000000000007</v>
      </c>
      <c r="L414" s="40">
        <f>IF(D414="Short",G414*H414,G414*I414)</f>
        <v>170967</v>
      </c>
      <c r="M414" s="40">
        <f>IF(D414="Short",G414*I414,H414*G414)</f>
        <v>209544</v>
      </c>
      <c r="N414" s="40">
        <f>L414+M414</f>
        <v>380511</v>
      </c>
      <c r="O414" s="40">
        <f>N414*0.000134</f>
        <v>50.988474000000004</v>
      </c>
      <c r="P414" s="40">
        <f>K414-O414</f>
        <v>-38627.988474000005</v>
      </c>
      <c r="Q414" s="14"/>
      <c r="R414" s="14"/>
      <c r="S414" s="14"/>
    </row>
    <row r="415" spans="1:19" x14ac:dyDescent="0.25">
      <c r="A415" s="51">
        <v>46178</v>
      </c>
      <c r="B415" s="9" t="s">
        <v>31</v>
      </c>
      <c r="C415" s="12">
        <v>46182</v>
      </c>
      <c r="D415" s="9" t="s">
        <v>30</v>
      </c>
      <c r="E415" s="9" t="s">
        <v>32</v>
      </c>
      <c r="F415" s="13">
        <v>23450</v>
      </c>
      <c r="G415" s="39">
        <v>1755</v>
      </c>
      <c r="H415" s="45">
        <v>175.58</v>
      </c>
      <c r="I415" s="45">
        <v>130.38999999999999</v>
      </c>
      <c r="J415" s="40">
        <f>IF(D415="Short",H415-I415,I415-H415)</f>
        <v>-45.190000000000026</v>
      </c>
      <c r="K415" s="40">
        <f>J415*G415</f>
        <v>-79308.450000000041</v>
      </c>
      <c r="L415" s="40">
        <f>IF(D415="Short",G415*H415,G415*I415)</f>
        <v>228834.44999999998</v>
      </c>
      <c r="M415" s="40">
        <f>IF(D415="Short",G415*I415,H415*G415)</f>
        <v>308142.90000000002</v>
      </c>
      <c r="N415" s="40">
        <f>L415+M415</f>
        <v>536977.35</v>
      </c>
      <c r="O415" s="40">
        <f>N415*0.000134</f>
        <v>71.954964899999993</v>
      </c>
      <c r="P415" s="40">
        <f>K415-O415</f>
        <v>-79380.404964900037</v>
      </c>
      <c r="Q415" s="14"/>
      <c r="R415" s="14"/>
      <c r="S415" s="14"/>
    </row>
    <row r="416" spans="1:19" x14ac:dyDescent="0.25">
      <c r="A416" s="51">
        <v>46178</v>
      </c>
      <c r="B416" s="9" t="s">
        <v>27</v>
      </c>
      <c r="C416" s="12">
        <v>46184</v>
      </c>
      <c r="D416" s="9" t="s">
        <v>30</v>
      </c>
      <c r="E416" s="9" t="s">
        <v>32</v>
      </c>
      <c r="F416" s="13">
        <v>74600</v>
      </c>
      <c r="G416" s="39">
        <v>300</v>
      </c>
      <c r="H416" s="45">
        <v>683.25</v>
      </c>
      <c r="I416" s="45">
        <v>590.33000000000004</v>
      </c>
      <c r="J416" s="40">
        <f>IF(D416="Short",H416-I416,I416-H416)</f>
        <v>-92.919999999999959</v>
      </c>
      <c r="K416" s="40">
        <f>J416*G416</f>
        <v>-27875.999999999989</v>
      </c>
      <c r="L416" s="40">
        <f>IF(D416="Short",G416*H416,G416*I416)</f>
        <v>177099</v>
      </c>
      <c r="M416" s="40">
        <f>IF(D416="Short",G416*I416,H416*G416)</f>
        <v>204975</v>
      </c>
      <c r="N416" s="40">
        <f>L416+M416</f>
        <v>382074</v>
      </c>
      <c r="O416" s="40">
        <f>N416*0.000134</f>
        <v>51.197915999999999</v>
      </c>
      <c r="P416" s="40">
        <f>K416-O416</f>
        <v>-27927.19791599999</v>
      </c>
      <c r="Q416" s="14"/>
      <c r="R416" s="14"/>
      <c r="S416" s="14"/>
    </row>
    <row r="417" spans="1:19" x14ac:dyDescent="0.25">
      <c r="A417" s="51">
        <v>46178</v>
      </c>
      <c r="B417" s="9" t="s">
        <v>27</v>
      </c>
      <c r="C417" s="12">
        <v>46184</v>
      </c>
      <c r="D417" s="9" t="s">
        <v>28</v>
      </c>
      <c r="E417" s="9" t="s">
        <v>32</v>
      </c>
      <c r="F417" s="13">
        <v>74500</v>
      </c>
      <c r="G417" s="39">
        <v>140</v>
      </c>
      <c r="H417" s="45">
        <v>569.89</v>
      </c>
      <c r="I417" s="45">
        <v>1154.98</v>
      </c>
      <c r="J417" s="40">
        <f>IF(D417="Short",H417-I417,I417-H417)</f>
        <v>-585.09</v>
      </c>
      <c r="K417" s="40">
        <f>J417*G417</f>
        <v>-81912.600000000006</v>
      </c>
      <c r="L417" s="40">
        <f>IF(D417="Short",G417*H417,G417*I417)</f>
        <v>79784.599999999991</v>
      </c>
      <c r="M417" s="40">
        <f>IF(D417="Short",G417*I417,H417*G417)</f>
        <v>161697.20000000001</v>
      </c>
      <c r="N417" s="40">
        <f>L417+M417</f>
        <v>241481.8</v>
      </c>
      <c r="O417" s="40">
        <f>N417*0.000134</f>
        <v>32.358561199999997</v>
      </c>
      <c r="P417" s="40">
        <f>K417-O417</f>
        <v>-81944.958561200008</v>
      </c>
      <c r="Q417" s="14"/>
      <c r="R417" s="14"/>
      <c r="S417" s="14"/>
    </row>
    <row r="418" spans="1:19" x14ac:dyDescent="0.25">
      <c r="A418" s="51">
        <v>46178</v>
      </c>
      <c r="B418" s="9" t="s">
        <v>31</v>
      </c>
      <c r="C418" s="12">
        <v>46182</v>
      </c>
      <c r="D418" s="9" t="s">
        <v>28</v>
      </c>
      <c r="E418" s="9" t="s">
        <v>32</v>
      </c>
      <c r="F418" s="13">
        <v>23450</v>
      </c>
      <c r="G418" s="39">
        <v>845</v>
      </c>
      <c r="H418" s="45">
        <v>130.38999999999999</v>
      </c>
      <c r="I418" s="45">
        <v>329.49</v>
      </c>
      <c r="J418" s="40">
        <f>IF(D418="Short",H418-I418,I418-H418)</f>
        <v>-199.10000000000002</v>
      </c>
      <c r="K418" s="40">
        <f>J418*G418</f>
        <v>-168239.50000000003</v>
      </c>
      <c r="L418" s="40">
        <f>IF(D418="Short",G418*H418,G418*I418)</f>
        <v>110179.54999999999</v>
      </c>
      <c r="M418" s="40">
        <f>IF(D418="Short",G418*I418,H418*G418)</f>
        <v>278419.05</v>
      </c>
      <c r="N418" s="40">
        <f>L418+M418</f>
        <v>388598.6</v>
      </c>
      <c r="O418" s="40">
        <f>N418*0.000134</f>
        <v>52.072212399999998</v>
      </c>
      <c r="P418" s="40">
        <f>K418-O418</f>
        <v>-168291.57221240003</v>
      </c>
      <c r="Q418" s="14"/>
      <c r="R418" s="14"/>
      <c r="S418" s="14"/>
    </row>
    <row r="419" spans="1:19" x14ac:dyDescent="0.25">
      <c r="A419" s="51">
        <v>46178</v>
      </c>
      <c r="B419" s="9" t="s">
        <v>27</v>
      </c>
      <c r="C419" s="12">
        <v>46184</v>
      </c>
      <c r="D419" s="9" t="s">
        <v>28</v>
      </c>
      <c r="E419" s="9" t="s">
        <v>32</v>
      </c>
      <c r="F419" s="13">
        <v>74400</v>
      </c>
      <c r="G419" s="39">
        <v>260</v>
      </c>
      <c r="H419" s="45">
        <v>528.01</v>
      </c>
      <c r="I419" s="45">
        <v>1084.3399999999999</v>
      </c>
      <c r="J419" s="40">
        <f>IF(D419="Short",H419-I419,I419-H419)</f>
        <v>-556.32999999999993</v>
      </c>
      <c r="K419" s="40">
        <f>J419*G419</f>
        <v>-144645.79999999999</v>
      </c>
      <c r="L419" s="40">
        <f>IF(D419="Short",G419*H419,G419*I419)</f>
        <v>137282.6</v>
      </c>
      <c r="M419" s="40">
        <f>IF(D419="Short",G419*I419,H419*G419)</f>
        <v>281928.39999999997</v>
      </c>
      <c r="N419" s="40">
        <f>L419+M419</f>
        <v>419211</v>
      </c>
      <c r="O419" s="40">
        <f>N419*0.000134</f>
        <v>56.174274000000004</v>
      </c>
      <c r="P419" s="40">
        <f>K419-O419</f>
        <v>-144701.97427399998</v>
      </c>
      <c r="Q419" s="14"/>
      <c r="R419" s="14"/>
      <c r="S419" s="14"/>
    </row>
    <row r="420" spans="1:19" x14ac:dyDescent="0.25">
      <c r="A420" s="51">
        <v>46178</v>
      </c>
      <c r="B420" s="9" t="s">
        <v>27</v>
      </c>
      <c r="C420" s="12">
        <v>46184</v>
      </c>
      <c r="D420" s="9" t="s">
        <v>28</v>
      </c>
      <c r="E420" s="9" t="s">
        <v>32</v>
      </c>
      <c r="F420" s="13">
        <v>74300</v>
      </c>
      <c r="G420" s="39">
        <v>200</v>
      </c>
      <c r="H420" s="45">
        <v>519.77</v>
      </c>
      <c r="I420" s="45">
        <v>575.5</v>
      </c>
      <c r="J420" s="40">
        <f>IF(D420="Short",H420-I420,I420-H420)</f>
        <v>-55.730000000000018</v>
      </c>
      <c r="K420" s="40">
        <f>J420*G420</f>
        <v>-11146.000000000004</v>
      </c>
      <c r="L420" s="40">
        <f>IF(D420="Short",G420*H420,G420*I420)</f>
        <v>103954</v>
      </c>
      <c r="M420" s="40">
        <f>IF(D420="Short",G420*I420,H420*G420)</f>
        <v>115100</v>
      </c>
      <c r="N420" s="40">
        <f>L420+M420</f>
        <v>219054</v>
      </c>
      <c r="O420" s="40">
        <f>N420*0.000134</f>
        <v>29.353236000000003</v>
      </c>
      <c r="P420" s="40">
        <f>K420-O420</f>
        <v>-11175.353236000004</v>
      </c>
      <c r="Q420" s="14"/>
      <c r="R420" s="14"/>
      <c r="S420" s="14"/>
    </row>
    <row r="421" spans="1:19" x14ac:dyDescent="0.25">
      <c r="A421" s="51">
        <v>46181</v>
      </c>
      <c r="B421" s="9" t="s">
        <v>27</v>
      </c>
      <c r="C421" s="12">
        <v>46184</v>
      </c>
      <c r="D421" s="9" t="s">
        <v>28</v>
      </c>
      <c r="E421" s="9" t="s">
        <v>32</v>
      </c>
      <c r="F421" s="13">
        <v>72000</v>
      </c>
      <c r="G421" s="39">
        <v>1300</v>
      </c>
      <c r="H421" s="45">
        <v>106.78</v>
      </c>
      <c r="I421" s="45">
        <v>79.38</v>
      </c>
      <c r="J421" s="40">
        <f>IF(D421="Short",H421-I421,I421-H421)</f>
        <v>27.400000000000006</v>
      </c>
      <c r="K421" s="40">
        <f>J421*G421</f>
        <v>35620.000000000007</v>
      </c>
      <c r="L421" s="40">
        <f>IF(D421="Short",G421*H421,G421*I421)</f>
        <v>138814</v>
      </c>
      <c r="M421" s="40">
        <f>IF(D421="Short",G421*I421,H421*G421)</f>
        <v>103194</v>
      </c>
      <c r="N421" s="40">
        <f>L421+M421</f>
        <v>242008</v>
      </c>
      <c r="O421" s="40">
        <f>N421*0.000134</f>
        <v>32.429071999999998</v>
      </c>
      <c r="P421" s="40">
        <f>K421-O421</f>
        <v>35587.570928000008</v>
      </c>
      <c r="Q421" s="14"/>
      <c r="R421" s="14"/>
      <c r="S421" s="14"/>
    </row>
    <row r="422" spans="1:19" x14ac:dyDescent="0.25">
      <c r="A422" s="51">
        <v>46181</v>
      </c>
      <c r="B422" s="9" t="s">
        <v>31</v>
      </c>
      <c r="C422" s="12">
        <v>46182</v>
      </c>
      <c r="D422" s="9" t="s">
        <v>28</v>
      </c>
      <c r="E422" s="9" t="s">
        <v>32</v>
      </c>
      <c r="F422" s="13">
        <v>22900</v>
      </c>
      <c r="G422" s="39">
        <v>4095</v>
      </c>
      <c r="H422" s="45">
        <v>22.72</v>
      </c>
      <c r="I422" s="45">
        <v>17.899999999999999</v>
      </c>
      <c r="J422" s="40">
        <f>IF(D422="Short",H422-I422,I422-H422)</f>
        <v>4.82</v>
      </c>
      <c r="K422" s="40">
        <f>J422*G422</f>
        <v>19737.900000000001</v>
      </c>
      <c r="L422" s="40">
        <f>IF(D422="Short",G422*H422,G422*I422)</f>
        <v>93038.399999999994</v>
      </c>
      <c r="M422" s="40">
        <f>IF(D422="Short",G422*I422,H422*G422)</f>
        <v>73300.5</v>
      </c>
      <c r="N422" s="40">
        <f>L422+M422</f>
        <v>166338.9</v>
      </c>
      <c r="O422" s="40">
        <f>N422*0.000134</f>
        <v>22.289412599999999</v>
      </c>
      <c r="P422" s="40">
        <f>K422-O422</f>
        <v>19715.610587400002</v>
      </c>
      <c r="Q422" s="14"/>
      <c r="R422" s="14"/>
      <c r="S422" s="14"/>
    </row>
    <row r="423" spans="1:19" x14ac:dyDescent="0.25">
      <c r="A423" s="51">
        <v>46181</v>
      </c>
      <c r="B423" s="9" t="s">
        <v>27</v>
      </c>
      <c r="C423" s="12">
        <v>46184</v>
      </c>
      <c r="D423" s="9" t="s">
        <v>30</v>
      </c>
      <c r="E423" s="9" t="s">
        <v>32</v>
      </c>
      <c r="F423" s="13">
        <v>73800</v>
      </c>
      <c r="G423" s="39">
        <v>600</v>
      </c>
      <c r="H423" s="45">
        <v>629.91</v>
      </c>
      <c r="I423" s="45">
        <v>526.84</v>
      </c>
      <c r="J423" s="40">
        <f>IF(D423="Short",H423-I423,I423-H423)</f>
        <v>-103.06999999999994</v>
      </c>
      <c r="K423" s="40">
        <f>J423*G423</f>
        <v>-61841.999999999964</v>
      </c>
      <c r="L423" s="40">
        <f>IF(D423="Short",G423*H423,G423*I423)</f>
        <v>316104</v>
      </c>
      <c r="M423" s="40">
        <f>IF(D423="Short",G423*I423,H423*G423)</f>
        <v>377946</v>
      </c>
      <c r="N423" s="40">
        <f>L423+M423</f>
        <v>694050</v>
      </c>
      <c r="O423" s="40">
        <f>N423*0.000134</f>
        <v>93.002700000000004</v>
      </c>
      <c r="P423" s="40">
        <f>K423-O423</f>
        <v>-61935.002699999961</v>
      </c>
      <c r="Q423" s="14"/>
      <c r="R423" s="14"/>
      <c r="S423" s="14"/>
    </row>
    <row r="424" spans="1:19" x14ac:dyDescent="0.25">
      <c r="A424" s="51">
        <v>46181</v>
      </c>
      <c r="B424" s="9" t="s">
        <v>27</v>
      </c>
      <c r="C424" s="12">
        <v>46184</v>
      </c>
      <c r="D424" s="9" t="s">
        <v>30</v>
      </c>
      <c r="E424" s="9" t="s">
        <v>32</v>
      </c>
      <c r="F424" s="13">
        <v>73900</v>
      </c>
      <c r="G424" s="39">
        <v>300</v>
      </c>
      <c r="H424" s="45">
        <v>693.37</v>
      </c>
      <c r="I424" s="45">
        <v>533.98</v>
      </c>
      <c r="J424" s="40">
        <f>IF(D424="Short",H424-I424,I424-H424)</f>
        <v>-159.38999999999999</v>
      </c>
      <c r="K424" s="40">
        <f>J424*G424</f>
        <v>-47816.999999999993</v>
      </c>
      <c r="L424" s="40">
        <f>IF(D424="Short",G424*H424,G424*I424)</f>
        <v>160194</v>
      </c>
      <c r="M424" s="40">
        <f>IF(D424="Short",G424*I424,H424*G424)</f>
        <v>208011</v>
      </c>
      <c r="N424" s="40">
        <f>L424+M424</f>
        <v>368205</v>
      </c>
      <c r="O424" s="40">
        <f>N424*0.000134</f>
        <v>49.339469999999999</v>
      </c>
      <c r="P424" s="40">
        <f>K424-O424</f>
        <v>-47866.339469999992</v>
      </c>
      <c r="Q424" s="14"/>
      <c r="R424" s="14"/>
      <c r="S424" s="14"/>
    </row>
    <row r="425" spans="1:19" x14ac:dyDescent="0.25">
      <c r="A425" s="51">
        <v>46181</v>
      </c>
      <c r="B425" s="9" t="s">
        <v>31</v>
      </c>
      <c r="C425" s="12">
        <v>46182</v>
      </c>
      <c r="D425" s="9" t="s">
        <v>30</v>
      </c>
      <c r="E425" s="9" t="s">
        <v>32</v>
      </c>
      <c r="F425" s="13">
        <v>23200</v>
      </c>
      <c r="G425" s="39">
        <v>1950</v>
      </c>
      <c r="H425" s="45">
        <v>125.61</v>
      </c>
      <c r="I425" s="45">
        <v>99.7</v>
      </c>
      <c r="J425" s="40">
        <f>IF(D425="Short",H425-I425,I425-H425)</f>
        <v>-25.909999999999997</v>
      </c>
      <c r="K425" s="40">
        <f>J425*G425</f>
        <v>-50524.499999999993</v>
      </c>
      <c r="L425" s="40">
        <f>IF(D425="Short",G425*H425,G425*I425)</f>
        <v>194415</v>
      </c>
      <c r="M425" s="40">
        <f>IF(D425="Short",G425*I425,H425*G425)</f>
        <v>244939.5</v>
      </c>
      <c r="N425" s="40">
        <f>L425+M425</f>
        <v>439354.5</v>
      </c>
      <c r="O425" s="40">
        <f>N425*0.000134</f>
        <v>58.873502999999999</v>
      </c>
      <c r="P425" s="40">
        <f>K425-O425</f>
        <v>-50583.373502999995</v>
      </c>
      <c r="Q425" s="14"/>
      <c r="R425" s="14"/>
      <c r="S425" s="14"/>
    </row>
    <row r="426" spans="1:19" x14ac:dyDescent="0.25">
      <c r="A426" s="51">
        <v>46181</v>
      </c>
      <c r="B426" s="9" t="s">
        <v>31</v>
      </c>
      <c r="C426" s="12">
        <v>46182</v>
      </c>
      <c r="D426" s="9" t="s">
        <v>30</v>
      </c>
      <c r="E426" s="9" t="s">
        <v>32</v>
      </c>
      <c r="F426" s="13">
        <v>23250</v>
      </c>
      <c r="G426" s="39">
        <v>390</v>
      </c>
      <c r="H426" s="45">
        <v>155.93</v>
      </c>
      <c r="I426" s="45">
        <v>105.77</v>
      </c>
      <c r="J426" s="40">
        <f>IF(D426="Short",H426-I426,I426-H426)</f>
        <v>-50.160000000000011</v>
      </c>
      <c r="K426" s="40">
        <f>J426*G426</f>
        <v>-19562.400000000005</v>
      </c>
      <c r="L426" s="40">
        <f>IF(D426="Short",G426*H426,G426*I426)</f>
        <v>41250.299999999996</v>
      </c>
      <c r="M426" s="40">
        <f>IF(D426="Short",G426*I426,H426*G426)</f>
        <v>60812.700000000004</v>
      </c>
      <c r="N426" s="40">
        <f>L426+M426</f>
        <v>102063</v>
      </c>
      <c r="O426" s="40">
        <f>N426*0.000134</f>
        <v>13.676442</v>
      </c>
      <c r="P426" s="40">
        <f>K426-O426</f>
        <v>-19576.076442000005</v>
      </c>
      <c r="Q426" s="14"/>
      <c r="R426" s="14"/>
      <c r="S426" s="14"/>
    </row>
    <row r="427" spans="1:19" x14ac:dyDescent="0.25">
      <c r="A427" s="51">
        <v>46181</v>
      </c>
      <c r="B427" s="9" t="s">
        <v>31</v>
      </c>
      <c r="C427" s="12">
        <v>46182</v>
      </c>
      <c r="D427" s="9" t="s">
        <v>28</v>
      </c>
      <c r="E427" s="9" t="s">
        <v>29</v>
      </c>
      <c r="F427" s="13">
        <v>23200</v>
      </c>
      <c r="G427" s="39">
        <v>1040</v>
      </c>
      <c r="H427" s="45">
        <v>62</v>
      </c>
      <c r="I427" s="45">
        <v>130.36000000000001</v>
      </c>
      <c r="J427" s="40">
        <f>IF(D427="Short",H427-I427,I427-H427)</f>
        <v>-68.360000000000014</v>
      </c>
      <c r="K427" s="40">
        <f>J427*G427</f>
        <v>-71094.400000000009</v>
      </c>
      <c r="L427" s="40">
        <f>IF(D427="Short",G427*H427,G427*I427)</f>
        <v>64480</v>
      </c>
      <c r="M427" s="40">
        <f>IF(D427="Short",G427*I427,H427*G427)</f>
        <v>135574.40000000002</v>
      </c>
      <c r="N427" s="40">
        <f>L427+M427</f>
        <v>200054.40000000002</v>
      </c>
      <c r="O427" s="40">
        <f>N427*0.000134</f>
        <v>26.807289600000004</v>
      </c>
      <c r="P427" s="40">
        <f>K427-O427</f>
        <v>-71121.207289600003</v>
      </c>
      <c r="Q427" s="14"/>
      <c r="R427" s="14"/>
      <c r="S427" s="14"/>
    </row>
    <row r="428" spans="1:19" x14ac:dyDescent="0.25">
      <c r="A428" s="51">
        <v>46181</v>
      </c>
      <c r="B428" s="9" t="s">
        <v>31</v>
      </c>
      <c r="C428" s="12">
        <v>46182</v>
      </c>
      <c r="D428" s="9" t="s">
        <v>28</v>
      </c>
      <c r="E428" s="9" t="s">
        <v>32</v>
      </c>
      <c r="F428" s="13">
        <v>22800</v>
      </c>
      <c r="G428" s="39">
        <v>3445</v>
      </c>
      <c r="H428" s="45">
        <v>10.49</v>
      </c>
      <c r="I428" s="45">
        <v>11.26</v>
      </c>
      <c r="J428" s="40">
        <f>IF(D428="Short",H428-I428,I428-H428)</f>
        <v>-0.76999999999999957</v>
      </c>
      <c r="K428" s="40">
        <f>J428*G428</f>
        <v>-2652.6499999999987</v>
      </c>
      <c r="L428" s="40">
        <f>IF(D428="Short",G428*H428,G428*I428)</f>
        <v>36138.050000000003</v>
      </c>
      <c r="M428" s="40">
        <f>IF(D428="Short",G428*I428,H428*G428)</f>
        <v>38790.699999999997</v>
      </c>
      <c r="N428" s="40">
        <f>L428+M428</f>
        <v>74928.75</v>
      </c>
      <c r="O428" s="40">
        <f>N428*0.000134</f>
        <v>10.040452500000001</v>
      </c>
      <c r="P428" s="40">
        <f>K428-O428</f>
        <v>-2662.6904524999986</v>
      </c>
      <c r="Q428" s="14"/>
      <c r="R428" s="14"/>
      <c r="S428" s="14"/>
    </row>
    <row r="429" spans="1:19" x14ac:dyDescent="0.25">
      <c r="A429" s="51">
        <v>46181</v>
      </c>
      <c r="B429" s="9" t="s">
        <v>27</v>
      </c>
      <c r="C429" s="12">
        <v>46184</v>
      </c>
      <c r="D429" s="9" t="s">
        <v>28</v>
      </c>
      <c r="E429" s="9" t="s">
        <v>29</v>
      </c>
      <c r="F429" s="13">
        <v>73800</v>
      </c>
      <c r="G429" s="39">
        <v>20</v>
      </c>
      <c r="H429" s="45">
        <v>607.25</v>
      </c>
      <c r="I429" s="45">
        <v>599.11</v>
      </c>
      <c r="J429" s="40">
        <f>IF(D429="Short",H429-I429,I429-H429)</f>
        <v>8.1399999999999864</v>
      </c>
      <c r="K429" s="40">
        <f>J429*G429</f>
        <v>162.79999999999973</v>
      </c>
      <c r="L429" s="40">
        <f>IF(D429="Short",G429*H429,G429*I429)</f>
        <v>12145</v>
      </c>
      <c r="M429" s="40">
        <f>IF(D429="Short",G429*I429,H429*G429)</f>
        <v>11982.2</v>
      </c>
      <c r="N429" s="40">
        <f>L429+M429</f>
        <v>24127.200000000001</v>
      </c>
      <c r="O429" s="40">
        <f>N429*0.000134</f>
        <v>3.2330448000000001</v>
      </c>
      <c r="P429" s="40">
        <f>K429-O429</f>
        <v>159.56695519999974</v>
      </c>
      <c r="Q429" s="14"/>
      <c r="R429" s="14"/>
      <c r="S429" s="14"/>
    </row>
    <row r="430" spans="1:19" x14ac:dyDescent="0.25">
      <c r="A430" s="51">
        <v>46181</v>
      </c>
      <c r="B430" s="9" t="s">
        <v>27</v>
      </c>
      <c r="C430" s="12">
        <v>46184</v>
      </c>
      <c r="D430" s="9" t="s">
        <v>30</v>
      </c>
      <c r="E430" s="9" t="s">
        <v>29</v>
      </c>
      <c r="F430" s="13">
        <v>73800</v>
      </c>
      <c r="G430" s="39">
        <v>480</v>
      </c>
      <c r="H430" s="45">
        <v>599.11</v>
      </c>
      <c r="I430" s="45">
        <v>495.93</v>
      </c>
      <c r="J430" s="40">
        <f>IF(D430="Short",H430-I430,I430-H430)</f>
        <v>-103.18</v>
      </c>
      <c r="K430" s="40">
        <f>J430*G430</f>
        <v>-49526.400000000001</v>
      </c>
      <c r="L430" s="40">
        <f>IF(D430="Short",G430*H430,G430*I430)</f>
        <v>238046.4</v>
      </c>
      <c r="M430" s="40">
        <f>IF(D430="Short",G430*I430,H430*G430)</f>
        <v>287572.8</v>
      </c>
      <c r="N430" s="40">
        <f>L430+M430</f>
        <v>525619.19999999995</v>
      </c>
      <c r="O430" s="40">
        <f>N430*0.000134</f>
        <v>70.432972800000002</v>
      </c>
      <c r="P430" s="40">
        <f>K430-O430</f>
        <v>-49596.832972800003</v>
      </c>
      <c r="Q430" s="14"/>
      <c r="R430" s="14"/>
      <c r="S430" s="14"/>
    </row>
    <row r="431" spans="1:19" x14ac:dyDescent="0.25">
      <c r="A431" s="51">
        <v>46181</v>
      </c>
      <c r="B431" s="9" t="s">
        <v>31</v>
      </c>
      <c r="C431" s="12">
        <v>46182</v>
      </c>
      <c r="D431" s="9" t="s">
        <v>30</v>
      </c>
      <c r="E431" s="9" t="s">
        <v>29</v>
      </c>
      <c r="F431" s="13">
        <v>23200</v>
      </c>
      <c r="G431" s="39">
        <v>1170</v>
      </c>
      <c r="H431" s="45">
        <v>130.36000000000001</v>
      </c>
      <c r="I431" s="45">
        <v>77.97</v>
      </c>
      <c r="J431" s="40">
        <f>IF(D431="Short",H431-I431,I431-H431)</f>
        <v>-52.390000000000015</v>
      </c>
      <c r="K431" s="40">
        <f>J431*G431</f>
        <v>-61296.300000000017</v>
      </c>
      <c r="L431" s="40">
        <f>IF(D431="Short",G431*H431,G431*I431)</f>
        <v>91224.9</v>
      </c>
      <c r="M431" s="40">
        <f>IF(D431="Short",G431*I431,H431*G431)</f>
        <v>152521.20000000001</v>
      </c>
      <c r="N431" s="40">
        <f>L431+M431</f>
        <v>243746.1</v>
      </c>
      <c r="O431" s="40">
        <f>N431*0.000134</f>
        <v>32.661977400000005</v>
      </c>
      <c r="P431" s="40">
        <f>K431-O431</f>
        <v>-61328.961977400017</v>
      </c>
      <c r="Q431" s="14"/>
      <c r="R431" s="14"/>
      <c r="S431" s="14"/>
    </row>
    <row r="432" spans="1:19" x14ac:dyDescent="0.25">
      <c r="A432" s="51">
        <v>46181</v>
      </c>
      <c r="B432" s="9" t="s">
        <v>27</v>
      </c>
      <c r="C432" s="12">
        <v>46184</v>
      </c>
      <c r="D432" s="9" t="s">
        <v>30</v>
      </c>
      <c r="E432" s="9" t="s">
        <v>32</v>
      </c>
      <c r="F432" s="13">
        <v>74300</v>
      </c>
      <c r="G432" s="39">
        <v>120</v>
      </c>
      <c r="H432" s="45">
        <v>977.86</v>
      </c>
      <c r="I432" s="45">
        <v>1055.2</v>
      </c>
      <c r="J432" s="40">
        <f>IF(D432="Short",H432-I432,I432-H432)</f>
        <v>77.340000000000032</v>
      </c>
      <c r="K432" s="40">
        <f>J432*G432</f>
        <v>9280.8000000000029</v>
      </c>
      <c r="L432" s="40">
        <f>IF(D432="Short",G432*H432,G432*I432)</f>
        <v>126624</v>
      </c>
      <c r="M432" s="40">
        <f>IF(D432="Short",G432*I432,H432*G432)</f>
        <v>117343.2</v>
      </c>
      <c r="N432" s="40">
        <f>L432+M432</f>
        <v>243967.2</v>
      </c>
      <c r="O432" s="40">
        <f>N432*0.000134</f>
        <v>32.6916048</v>
      </c>
      <c r="P432" s="40">
        <f>K432-O432</f>
        <v>9248.1083952000026</v>
      </c>
      <c r="Q432" s="14"/>
      <c r="R432" s="14"/>
      <c r="S432" s="14"/>
    </row>
    <row r="433" spans="1:19" x14ac:dyDescent="0.25">
      <c r="A433" s="51">
        <v>46182</v>
      </c>
      <c r="B433" s="9" t="s">
        <v>27</v>
      </c>
      <c r="C433" s="12">
        <v>46184</v>
      </c>
      <c r="D433" s="9" t="s">
        <v>28</v>
      </c>
      <c r="E433" s="9" t="s">
        <v>32</v>
      </c>
      <c r="F433" s="13">
        <v>72100</v>
      </c>
      <c r="G433" s="39">
        <v>2280</v>
      </c>
      <c r="H433" s="45">
        <v>40.19</v>
      </c>
      <c r="I433" s="45">
        <v>34.21</v>
      </c>
      <c r="J433" s="40">
        <f>IF(D433="Short",H433-I433,I433-H433)</f>
        <v>5.9799999999999969</v>
      </c>
      <c r="K433" s="40">
        <f>J433*G433</f>
        <v>13634.399999999992</v>
      </c>
      <c r="L433" s="40">
        <f>IF(D433="Short",G433*H433,G433*I433)</f>
        <v>91633.2</v>
      </c>
      <c r="M433" s="40">
        <f>IF(D433="Short",G433*I433,H433*G433)</f>
        <v>77998.8</v>
      </c>
      <c r="N433" s="40">
        <f>L433+M433</f>
        <v>169632</v>
      </c>
      <c r="O433" s="40">
        <f>N433*0.000134</f>
        <v>22.730688000000001</v>
      </c>
      <c r="P433" s="40">
        <f>K433-O433</f>
        <v>13611.669311999993</v>
      </c>
      <c r="Q433" s="14"/>
      <c r="R433" s="14"/>
      <c r="S433" s="14"/>
    </row>
    <row r="434" spans="1:19" x14ac:dyDescent="0.25">
      <c r="A434" s="51">
        <v>46182</v>
      </c>
      <c r="B434" s="9" t="s">
        <v>27</v>
      </c>
      <c r="C434" s="12">
        <v>46184</v>
      </c>
      <c r="D434" s="9" t="s">
        <v>28</v>
      </c>
      <c r="E434" s="9" t="s">
        <v>32</v>
      </c>
      <c r="F434" s="13">
        <v>73900</v>
      </c>
      <c r="G434" s="39">
        <v>100</v>
      </c>
      <c r="H434" s="45">
        <v>412.66</v>
      </c>
      <c r="I434" s="45">
        <v>227.98</v>
      </c>
      <c r="J434" s="40">
        <f>IF(D434="Short",H434-I434,I434-H434)</f>
        <v>184.68000000000004</v>
      </c>
      <c r="K434" s="40">
        <f>J434*G434</f>
        <v>18468.000000000004</v>
      </c>
      <c r="L434" s="40">
        <f>IF(D434="Short",G434*H434,G434*I434)</f>
        <v>41266</v>
      </c>
      <c r="M434" s="40">
        <f>IF(D434="Short",G434*I434,H434*G434)</f>
        <v>22798</v>
      </c>
      <c r="N434" s="40">
        <f>L434+M434</f>
        <v>64064</v>
      </c>
      <c r="O434" s="40">
        <f>N434*0.000134</f>
        <v>8.5845760000000002</v>
      </c>
      <c r="P434" s="40">
        <f>K434-O434</f>
        <v>18459.415424000003</v>
      </c>
      <c r="Q434" s="14"/>
      <c r="R434" s="14"/>
      <c r="S434" s="14"/>
    </row>
    <row r="435" spans="1:19" x14ac:dyDescent="0.25">
      <c r="A435" s="51">
        <v>46182</v>
      </c>
      <c r="B435" s="9" t="s">
        <v>27</v>
      </c>
      <c r="C435" s="12">
        <v>46184</v>
      </c>
      <c r="D435" s="9" t="s">
        <v>28</v>
      </c>
      <c r="E435" s="9" t="s">
        <v>32</v>
      </c>
      <c r="F435" s="13">
        <v>74000</v>
      </c>
      <c r="G435" s="39">
        <v>140</v>
      </c>
      <c r="H435" s="45">
        <v>317.70999999999998</v>
      </c>
      <c r="I435" s="45">
        <v>286.43</v>
      </c>
      <c r="J435" s="40">
        <f>IF(D435="Short",H435-I435,I435-H435)</f>
        <v>31.279999999999973</v>
      </c>
      <c r="K435" s="40">
        <f>J435*G435</f>
        <v>4379.1999999999962</v>
      </c>
      <c r="L435" s="40">
        <f>IF(D435="Short",G435*H435,G435*I435)</f>
        <v>44479.399999999994</v>
      </c>
      <c r="M435" s="40">
        <f>IF(D435="Short",G435*I435,H435*G435)</f>
        <v>40100.200000000004</v>
      </c>
      <c r="N435" s="40">
        <f>L435+M435</f>
        <v>84579.6</v>
      </c>
      <c r="O435" s="40">
        <f>N435*0.000134</f>
        <v>11.333666400000002</v>
      </c>
      <c r="P435" s="40">
        <f>K435-O435</f>
        <v>4367.8663335999963</v>
      </c>
      <c r="Q435" s="14"/>
      <c r="R435" s="14"/>
      <c r="S435" s="14"/>
    </row>
    <row r="436" spans="1:19" x14ac:dyDescent="0.25">
      <c r="A436" s="51">
        <v>46182</v>
      </c>
      <c r="B436" s="9" t="s">
        <v>27</v>
      </c>
      <c r="C436" s="12">
        <v>46184</v>
      </c>
      <c r="D436" s="9" t="s">
        <v>28</v>
      </c>
      <c r="E436" s="9" t="s">
        <v>32</v>
      </c>
      <c r="F436" s="13">
        <v>73800</v>
      </c>
      <c r="G436" s="39">
        <v>880</v>
      </c>
      <c r="H436" s="45">
        <v>389.68</v>
      </c>
      <c r="I436" s="45">
        <v>148.58000000000001</v>
      </c>
      <c r="J436" s="40">
        <f>IF(D436="Short",H436-I436,I436-H436)</f>
        <v>241.1</v>
      </c>
      <c r="K436" s="40">
        <f>J436*G436</f>
        <v>212168</v>
      </c>
      <c r="L436" s="40">
        <f>IF(D436="Short",G436*H436,G436*I436)</f>
        <v>342918.40000000002</v>
      </c>
      <c r="M436" s="40">
        <f>IF(D436="Short",G436*I436,H436*G436)</f>
        <v>130750.40000000001</v>
      </c>
      <c r="N436" s="40">
        <f>L436+M436</f>
        <v>473668.80000000005</v>
      </c>
      <c r="O436" s="40">
        <f>N436*0.000134</f>
        <v>63.471619200000006</v>
      </c>
      <c r="P436" s="40">
        <f>K436-O436</f>
        <v>212104.52838080001</v>
      </c>
      <c r="Q436" s="14"/>
      <c r="R436" s="14"/>
      <c r="S436" s="14"/>
    </row>
    <row r="437" spans="1:19" x14ac:dyDescent="0.25">
      <c r="A437" s="51">
        <v>46182</v>
      </c>
      <c r="B437" s="9" t="s">
        <v>31</v>
      </c>
      <c r="C437" s="12">
        <v>46182</v>
      </c>
      <c r="D437" s="9" t="s">
        <v>28</v>
      </c>
      <c r="E437" s="9" t="s">
        <v>32</v>
      </c>
      <c r="F437" s="13">
        <v>23050</v>
      </c>
      <c r="G437" s="39">
        <v>2275</v>
      </c>
      <c r="H437" s="45">
        <v>6.8</v>
      </c>
      <c r="I437" s="45">
        <v>6.32</v>
      </c>
      <c r="J437" s="40">
        <f>IF(D437="Short",H437-I437,I437-H437)</f>
        <v>0.47999999999999954</v>
      </c>
      <c r="K437" s="40">
        <f>J437*G437</f>
        <v>1091.9999999999989</v>
      </c>
      <c r="L437" s="40">
        <f>IF(D437="Short",G437*H437,G437*I437)</f>
        <v>15470</v>
      </c>
      <c r="M437" s="40">
        <f>IF(D437="Short",G437*I437,H437*G437)</f>
        <v>14378</v>
      </c>
      <c r="N437" s="40">
        <f>L437+M437</f>
        <v>29848</v>
      </c>
      <c r="O437" s="40">
        <f>N437*0.000134</f>
        <v>3.9996320000000001</v>
      </c>
      <c r="P437" s="40">
        <f>K437-O437</f>
        <v>1088.0003679999988</v>
      </c>
      <c r="Q437" s="14"/>
      <c r="R437" s="14"/>
      <c r="S437" s="14"/>
    </row>
    <row r="438" spans="1:19" x14ac:dyDescent="0.25">
      <c r="A438" s="51">
        <v>46182</v>
      </c>
      <c r="B438" s="9" t="s">
        <v>31</v>
      </c>
      <c r="C438" s="12">
        <v>46182</v>
      </c>
      <c r="D438" s="9" t="s">
        <v>30</v>
      </c>
      <c r="E438" s="9" t="s">
        <v>32</v>
      </c>
      <c r="F438" s="13">
        <v>23200</v>
      </c>
      <c r="G438" s="39">
        <v>975</v>
      </c>
      <c r="H438" s="45">
        <v>0.25</v>
      </c>
      <c r="I438" s="45">
        <v>31.61</v>
      </c>
      <c r="J438" s="40">
        <f>IF(D438="Short",H438-I438,I438-H438)</f>
        <v>31.36</v>
      </c>
      <c r="K438" s="40">
        <f>J438*G438</f>
        <v>30576</v>
      </c>
      <c r="L438" s="40">
        <f>IF(D438="Short",G438*H438,G438*I438)</f>
        <v>30819.75</v>
      </c>
      <c r="M438" s="40">
        <f>IF(D438="Short",G438*I438,H438*G438)</f>
        <v>243.75</v>
      </c>
      <c r="N438" s="40">
        <f>L438+M438</f>
        <v>31063.5</v>
      </c>
      <c r="O438" s="40">
        <f>N438*0.000134</f>
        <v>4.162509</v>
      </c>
      <c r="P438" s="40">
        <f>K438-O438</f>
        <v>30571.837490999998</v>
      </c>
      <c r="Q438" s="14"/>
      <c r="R438" s="14"/>
      <c r="S438" s="14"/>
    </row>
    <row r="439" spans="1:19" x14ac:dyDescent="0.25">
      <c r="A439" s="51">
        <v>46182</v>
      </c>
      <c r="B439" s="9" t="s">
        <v>31</v>
      </c>
      <c r="C439" s="12">
        <v>46189</v>
      </c>
      <c r="D439" s="9" t="s">
        <v>28</v>
      </c>
      <c r="E439" s="9" t="s">
        <v>29</v>
      </c>
      <c r="F439" s="13">
        <v>23250</v>
      </c>
      <c r="G439" s="39">
        <v>325</v>
      </c>
      <c r="H439" s="45">
        <v>221.01</v>
      </c>
      <c r="I439" s="45">
        <v>211.46</v>
      </c>
      <c r="J439" s="40">
        <f>IF(D439="Short",H439-I439,I439-H439)</f>
        <v>9.5499999999999829</v>
      </c>
      <c r="K439" s="40">
        <f>J439*G439</f>
        <v>3103.7499999999945</v>
      </c>
      <c r="L439" s="40">
        <f>IF(D439="Short",G439*H439,G439*I439)</f>
        <v>71828.25</v>
      </c>
      <c r="M439" s="40">
        <f>IF(D439="Short",G439*I439,H439*G439)</f>
        <v>68724.5</v>
      </c>
      <c r="N439" s="40">
        <f>L439+M439</f>
        <v>140552.75</v>
      </c>
      <c r="O439" s="40">
        <f>N439*0.000134</f>
        <v>18.834068500000001</v>
      </c>
      <c r="P439" s="40">
        <f>K439-O439</f>
        <v>3084.9159314999947</v>
      </c>
      <c r="Q439" s="14"/>
      <c r="R439" s="14"/>
      <c r="S439" s="14"/>
    </row>
    <row r="440" spans="1:19" x14ac:dyDescent="0.25">
      <c r="A440" s="51">
        <v>46182</v>
      </c>
      <c r="B440" s="9" t="s">
        <v>27</v>
      </c>
      <c r="C440" s="12">
        <v>46184</v>
      </c>
      <c r="D440" s="9" t="s">
        <v>30</v>
      </c>
      <c r="E440" s="9" t="s">
        <v>29</v>
      </c>
      <c r="F440" s="13">
        <v>73900</v>
      </c>
      <c r="G440" s="39">
        <v>640</v>
      </c>
      <c r="H440" s="45">
        <v>466.09</v>
      </c>
      <c r="I440" s="45">
        <v>614.96</v>
      </c>
      <c r="J440" s="40">
        <f>IF(D440="Short",H440-I440,I440-H440)</f>
        <v>148.87000000000006</v>
      </c>
      <c r="K440" s="40">
        <f>J440*G440</f>
        <v>95276.800000000047</v>
      </c>
      <c r="L440" s="40">
        <f>IF(D440="Short",G440*H440,G440*I440)</f>
        <v>393574.40000000002</v>
      </c>
      <c r="M440" s="40">
        <f>IF(D440="Short",G440*I440,H440*G440)</f>
        <v>298297.59999999998</v>
      </c>
      <c r="N440" s="40">
        <f>L440+M440</f>
        <v>691872</v>
      </c>
      <c r="O440" s="40">
        <f>N440*0.000134</f>
        <v>92.710847999999999</v>
      </c>
      <c r="P440" s="40">
        <f>K440-O440</f>
        <v>95184.089152000044</v>
      </c>
      <c r="Q440" s="14"/>
      <c r="R440" s="14"/>
      <c r="S440" s="14"/>
    </row>
    <row r="441" spans="1:19" x14ac:dyDescent="0.25">
      <c r="A441" s="51">
        <v>46182</v>
      </c>
      <c r="B441" s="9" t="s">
        <v>27</v>
      </c>
      <c r="C441" s="12">
        <v>46184</v>
      </c>
      <c r="D441" s="9" t="s">
        <v>28</v>
      </c>
      <c r="E441" s="9" t="s">
        <v>32</v>
      </c>
      <c r="F441" s="13">
        <v>72400</v>
      </c>
      <c r="G441" s="39">
        <v>400</v>
      </c>
      <c r="H441" s="45">
        <v>45.61</v>
      </c>
      <c r="I441" s="45">
        <v>45.84</v>
      </c>
      <c r="J441" s="40">
        <f>IF(D441="Short",H441-I441,I441-H441)</f>
        <v>-0.23000000000000398</v>
      </c>
      <c r="K441" s="40">
        <f>J441*G441</f>
        <v>-92.000000000001592</v>
      </c>
      <c r="L441" s="40">
        <f>IF(D441="Short",G441*H441,G441*I441)</f>
        <v>18244</v>
      </c>
      <c r="M441" s="40">
        <f>IF(D441="Short",G441*I441,H441*G441)</f>
        <v>18336</v>
      </c>
      <c r="N441" s="40">
        <f>L441+M441</f>
        <v>36580</v>
      </c>
      <c r="O441" s="40">
        <f>N441*0.000134</f>
        <v>4.9017200000000001</v>
      </c>
      <c r="P441" s="40">
        <f>K441-O441</f>
        <v>-96.901720000001589</v>
      </c>
      <c r="Q441" s="14"/>
      <c r="R441" s="14"/>
      <c r="S441" s="14"/>
    </row>
    <row r="442" spans="1:19" x14ac:dyDescent="0.25">
      <c r="A442" s="51">
        <v>46182</v>
      </c>
      <c r="B442" s="9" t="s">
        <v>27</v>
      </c>
      <c r="C442" s="12">
        <v>46184</v>
      </c>
      <c r="D442" s="9" t="s">
        <v>30</v>
      </c>
      <c r="E442" s="9" t="s">
        <v>32</v>
      </c>
      <c r="F442" s="13">
        <v>72100</v>
      </c>
      <c r="G442" s="39">
        <v>1640</v>
      </c>
      <c r="H442" s="45">
        <v>34.21</v>
      </c>
      <c r="I442" s="45">
        <v>8.4700000000000006</v>
      </c>
      <c r="J442" s="40">
        <f>IF(D442="Short",H442-I442,I442-H442)</f>
        <v>-25.740000000000002</v>
      </c>
      <c r="K442" s="40">
        <f>J442*G442</f>
        <v>-42213.600000000006</v>
      </c>
      <c r="L442" s="40">
        <f>IF(D442="Short",G442*H442,G442*I442)</f>
        <v>13890.800000000001</v>
      </c>
      <c r="M442" s="40">
        <f>IF(D442="Short",G442*I442,H442*G442)</f>
        <v>56104.4</v>
      </c>
      <c r="N442" s="40">
        <f>L442+M442</f>
        <v>69995.199999999997</v>
      </c>
      <c r="O442" s="40">
        <f>N442*0.000134</f>
        <v>9.3793568</v>
      </c>
      <c r="P442" s="40">
        <f>K442-O442</f>
        <v>-42222.979356800002</v>
      </c>
      <c r="Q442" s="14"/>
      <c r="R442" s="14"/>
      <c r="S442" s="14"/>
    </row>
    <row r="443" spans="1:19" x14ac:dyDescent="0.25">
      <c r="A443" s="51">
        <v>46182</v>
      </c>
      <c r="B443" s="9" t="s">
        <v>27</v>
      </c>
      <c r="C443" s="12">
        <v>46184</v>
      </c>
      <c r="D443" s="9" t="s">
        <v>28</v>
      </c>
      <c r="E443" s="9" t="s">
        <v>32</v>
      </c>
      <c r="F443" s="13">
        <v>73900</v>
      </c>
      <c r="G443" s="39">
        <v>1180</v>
      </c>
      <c r="H443" s="45">
        <v>412.66</v>
      </c>
      <c r="I443" s="45">
        <v>604.29</v>
      </c>
      <c r="J443" s="40">
        <f>IF(D443="Short",H443-I443,I443-H443)</f>
        <v>-191.62999999999994</v>
      </c>
      <c r="K443" s="40">
        <f>J443*G443</f>
        <v>-226123.39999999994</v>
      </c>
      <c r="L443" s="40">
        <f>IF(D443="Short",G443*H443,G443*I443)</f>
        <v>486938.80000000005</v>
      </c>
      <c r="M443" s="40">
        <f>IF(D443="Short",G443*I443,H443*G443)</f>
        <v>713062.2</v>
      </c>
      <c r="N443" s="40">
        <f>L443+M443</f>
        <v>1200001</v>
      </c>
      <c r="O443" s="40">
        <f>N443*0.000134</f>
        <v>160.80013400000001</v>
      </c>
      <c r="P443" s="40">
        <f>K443-O443</f>
        <v>-226284.20013399993</v>
      </c>
      <c r="Q443" s="14"/>
      <c r="R443" s="14"/>
      <c r="S443" s="14"/>
    </row>
    <row r="444" spans="1:19" x14ac:dyDescent="0.25">
      <c r="A444" s="51">
        <v>46182</v>
      </c>
      <c r="B444" s="9" t="s">
        <v>31</v>
      </c>
      <c r="C444" s="12">
        <v>46182</v>
      </c>
      <c r="D444" s="9" t="s">
        <v>30</v>
      </c>
      <c r="E444" s="9" t="s">
        <v>32</v>
      </c>
      <c r="F444" s="13">
        <v>23250</v>
      </c>
      <c r="G444" s="39">
        <v>195</v>
      </c>
      <c r="H444" s="45">
        <v>129.19999999999999</v>
      </c>
      <c r="I444" s="45">
        <v>64.599999999999994</v>
      </c>
      <c r="J444" s="40">
        <f>IF(D444="Short",H444-I444,I444-H444)</f>
        <v>-64.599999999999994</v>
      </c>
      <c r="K444" s="40">
        <f>J444*G444</f>
        <v>-12596.999999999998</v>
      </c>
      <c r="L444" s="40">
        <f>IF(D444="Short",G444*H444,G444*I444)</f>
        <v>12596.999999999998</v>
      </c>
      <c r="M444" s="40">
        <f>IF(D444="Short",G444*I444,H444*G444)</f>
        <v>25193.999999999996</v>
      </c>
      <c r="N444" s="40">
        <f>L444+M444</f>
        <v>37790.999999999993</v>
      </c>
      <c r="O444" s="40">
        <f>N444*0.000134</f>
        <v>5.0639939999999992</v>
      </c>
      <c r="P444" s="40">
        <f>K444-O444</f>
        <v>-12602.063993999998</v>
      </c>
      <c r="Q444" s="14"/>
      <c r="R444" s="14"/>
      <c r="S444" s="14"/>
    </row>
    <row r="445" spans="1:19" x14ac:dyDescent="0.25">
      <c r="A445" s="51">
        <v>46183</v>
      </c>
      <c r="B445" s="9" t="s">
        <v>31</v>
      </c>
      <c r="C445" s="12">
        <v>46189</v>
      </c>
      <c r="D445" s="9" t="s">
        <v>28</v>
      </c>
      <c r="E445" s="9" t="s">
        <v>32</v>
      </c>
      <c r="F445" s="13">
        <v>22650</v>
      </c>
      <c r="G445" s="39">
        <v>325</v>
      </c>
      <c r="H445" s="45">
        <v>22.54</v>
      </c>
      <c r="I445" s="45">
        <v>21.92</v>
      </c>
      <c r="J445" s="40">
        <f>IF(D445="Short",H445-I445,I445-H445)</f>
        <v>0.61999999999999744</v>
      </c>
      <c r="K445" s="40">
        <f>J445*G445</f>
        <v>201.49999999999918</v>
      </c>
      <c r="L445" s="40">
        <f>IF(D445="Short",G445*H445,G445*I445)</f>
        <v>7325.5</v>
      </c>
      <c r="M445" s="40">
        <f>IF(D445="Short",G445*I445,H445*G445)</f>
        <v>7124.0000000000009</v>
      </c>
      <c r="N445" s="40">
        <f>L445+M445</f>
        <v>14449.5</v>
      </c>
      <c r="O445" s="40">
        <f>N445*0.000134</f>
        <v>1.9362330000000001</v>
      </c>
      <c r="P445" s="40">
        <f>K445-O445</f>
        <v>199.56376699999919</v>
      </c>
      <c r="Q445" s="14"/>
      <c r="R445" s="14"/>
      <c r="S445" s="14"/>
    </row>
    <row r="446" spans="1:19" x14ac:dyDescent="0.25">
      <c r="A446" s="51">
        <v>46183</v>
      </c>
      <c r="B446" s="9" t="s">
        <v>31</v>
      </c>
      <c r="C446" s="12">
        <v>46189</v>
      </c>
      <c r="D446" s="9" t="s">
        <v>28</v>
      </c>
      <c r="E446" s="9" t="s">
        <v>32</v>
      </c>
      <c r="F446" s="13">
        <v>23350</v>
      </c>
      <c r="G446" s="39">
        <v>2080</v>
      </c>
      <c r="H446" s="45">
        <v>229.64</v>
      </c>
      <c r="I446" s="45">
        <v>322.69</v>
      </c>
      <c r="J446" s="40">
        <f>IF(D446="Short",H446-I446,I446-H446)</f>
        <v>-93.050000000000011</v>
      </c>
      <c r="K446" s="40">
        <f>J446*G446</f>
        <v>-193544.00000000003</v>
      </c>
      <c r="L446" s="40">
        <f>IF(D446="Short",G446*H446,G446*I446)</f>
        <v>477651.19999999995</v>
      </c>
      <c r="M446" s="40">
        <f>IF(D446="Short",G446*I446,H446*G446)</f>
        <v>671195.2</v>
      </c>
      <c r="N446" s="40">
        <f>L446+M446</f>
        <v>1148846.3999999999</v>
      </c>
      <c r="O446" s="40">
        <f>N446*0.000134</f>
        <v>153.94541759999998</v>
      </c>
      <c r="P446" s="40">
        <f>K446-O446</f>
        <v>-193697.94541760004</v>
      </c>
      <c r="Q446" s="14"/>
      <c r="R446" s="14"/>
      <c r="S446" s="14"/>
    </row>
    <row r="447" spans="1:19" x14ac:dyDescent="0.25">
      <c r="A447" s="51">
        <v>46183</v>
      </c>
      <c r="B447" s="9" t="s">
        <v>31</v>
      </c>
      <c r="C447" s="12">
        <v>46189</v>
      </c>
      <c r="D447" s="9" t="s">
        <v>30</v>
      </c>
      <c r="E447" s="9" t="s">
        <v>32</v>
      </c>
      <c r="F447" s="13">
        <v>22650</v>
      </c>
      <c r="G447" s="39">
        <v>2015</v>
      </c>
      <c r="H447" s="45">
        <v>21.92</v>
      </c>
      <c r="I447" s="45">
        <v>23.63</v>
      </c>
      <c r="J447" s="40">
        <f>IF(D447="Short",H447-I447,I447-H447)</f>
        <v>1.7099999999999973</v>
      </c>
      <c r="K447" s="40">
        <f>J447*G447</f>
        <v>3445.6499999999946</v>
      </c>
      <c r="L447" s="40">
        <f>IF(D447="Short",G447*H447,G447*I447)</f>
        <v>47614.45</v>
      </c>
      <c r="M447" s="40">
        <f>IF(D447="Short",G447*I447,H447*G447)</f>
        <v>44168.800000000003</v>
      </c>
      <c r="N447" s="40">
        <f>L447+M447</f>
        <v>91783.25</v>
      </c>
      <c r="O447" s="40">
        <f>N447*0.000134</f>
        <v>12.2989555</v>
      </c>
      <c r="P447" s="40">
        <f>K447-O447</f>
        <v>3433.3510444999947</v>
      </c>
      <c r="Q447" s="14"/>
      <c r="R447" s="14"/>
      <c r="S447" s="14"/>
    </row>
    <row r="448" spans="1:19" x14ac:dyDescent="0.25">
      <c r="A448" s="51">
        <v>46183</v>
      </c>
      <c r="B448" s="9" t="s">
        <v>31</v>
      </c>
      <c r="C448" s="12">
        <v>46189</v>
      </c>
      <c r="D448" s="9" t="s">
        <v>28</v>
      </c>
      <c r="E448" s="9" t="s">
        <v>32</v>
      </c>
      <c r="F448" s="13">
        <v>23250</v>
      </c>
      <c r="G448" s="39">
        <v>390</v>
      </c>
      <c r="H448" s="45">
        <v>153.61000000000001</v>
      </c>
      <c r="I448" s="45">
        <v>211.98</v>
      </c>
      <c r="J448" s="40">
        <f>IF(D448="Short",H448-I448,I448-H448)</f>
        <v>-58.369999999999976</v>
      </c>
      <c r="K448" s="40">
        <f>J448*G448</f>
        <v>-22764.299999999992</v>
      </c>
      <c r="L448" s="40">
        <f>IF(D448="Short",G448*H448,G448*I448)</f>
        <v>59907.900000000009</v>
      </c>
      <c r="M448" s="40">
        <f>IF(D448="Short",G448*I448,H448*G448)</f>
        <v>82672.2</v>
      </c>
      <c r="N448" s="40">
        <f>L448+M448</f>
        <v>142580.1</v>
      </c>
      <c r="O448" s="40">
        <f>N448*0.000134</f>
        <v>19.105733400000002</v>
      </c>
      <c r="P448" s="40">
        <f>K448-O448</f>
        <v>-22783.405733399992</v>
      </c>
      <c r="Q448" s="14"/>
      <c r="R448" s="14"/>
      <c r="S448" s="14"/>
    </row>
    <row r="449" spans="1:19" x14ac:dyDescent="0.25">
      <c r="A449" s="51">
        <v>46183</v>
      </c>
      <c r="B449" s="9" t="s">
        <v>27</v>
      </c>
      <c r="C449" s="12">
        <v>46184</v>
      </c>
      <c r="D449" s="9" t="s">
        <v>30</v>
      </c>
      <c r="E449" s="9" t="s">
        <v>32</v>
      </c>
      <c r="F449" s="13">
        <v>73200</v>
      </c>
      <c r="G449" s="39">
        <v>260</v>
      </c>
      <c r="H449" s="45">
        <v>55.5</v>
      </c>
      <c r="I449" s="45">
        <v>47.68</v>
      </c>
      <c r="J449" s="40">
        <f>IF(D449="Short",H449-I449,I449-H449)</f>
        <v>-7.82</v>
      </c>
      <c r="K449" s="40">
        <f>J449*G449</f>
        <v>-2033.2</v>
      </c>
      <c r="L449" s="40">
        <f>IF(D449="Short",G449*H449,G449*I449)</f>
        <v>12396.8</v>
      </c>
      <c r="M449" s="40">
        <f>IF(D449="Short",G449*I449,H449*G449)</f>
        <v>14430</v>
      </c>
      <c r="N449" s="40">
        <f>L449+M449</f>
        <v>26826.799999999999</v>
      </c>
      <c r="O449" s="40">
        <f>N449*0.000134</f>
        <v>3.5947912</v>
      </c>
      <c r="P449" s="40">
        <f>K449-O449</f>
        <v>-2036.7947912</v>
      </c>
      <c r="Q449" s="14"/>
      <c r="R449" s="14"/>
      <c r="S449" s="14"/>
    </row>
    <row r="450" spans="1:19" x14ac:dyDescent="0.25">
      <c r="A450" s="51">
        <v>46183</v>
      </c>
      <c r="B450" s="9" t="s">
        <v>31</v>
      </c>
      <c r="C450" s="12">
        <v>46189</v>
      </c>
      <c r="D450" s="9" t="s">
        <v>28</v>
      </c>
      <c r="E450" s="9" t="s">
        <v>29</v>
      </c>
      <c r="F450" s="13">
        <v>23400</v>
      </c>
      <c r="G450" s="39">
        <v>780</v>
      </c>
      <c r="H450" s="45">
        <v>99.53</v>
      </c>
      <c r="I450" s="45">
        <v>188.03</v>
      </c>
      <c r="J450" s="40">
        <f>IF(D450="Short",H450-I450,I450-H450)</f>
        <v>-88.5</v>
      </c>
      <c r="K450" s="40">
        <f>J450*G450</f>
        <v>-69030</v>
      </c>
      <c r="L450" s="40">
        <f>IF(D450="Short",G450*H450,G450*I450)</f>
        <v>77633.399999999994</v>
      </c>
      <c r="M450" s="40">
        <f>IF(D450="Short",G450*I450,H450*G450)</f>
        <v>146663.4</v>
      </c>
      <c r="N450" s="40">
        <f>L450+M450</f>
        <v>224296.8</v>
      </c>
      <c r="O450" s="40">
        <f>N450*0.000134</f>
        <v>30.055771199999999</v>
      </c>
      <c r="P450" s="40">
        <f>K450-O450</f>
        <v>-69060.055771200001</v>
      </c>
      <c r="Q450" s="14"/>
      <c r="R450" s="14"/>
      <c r="S450" s="14"/>
    </row>
    <row r="451" spans="1:19" x14ac:dyDescent="0.25">
      <c r="A451" s="51">
        <v>46183</v>
      </c>
      <c r="B451" s="9" t="s">
        <v>27</v>
      </c>
      <c r="C451" s="12">
        <v>46184</v>
      </c>
      <c r="D451" s="9" t="s">
        <v>28</v>
      </c>
      <c r="E451" s="9" t="s">
        <v>32</v>
      </c>
      <c r="F451" s="13">
        <v>74500</v>
      </c>
      <c r="G451" s="39">
        <v>120</v>
      </c>
      <c r="H451" s="45">
        <v>650.29999999999995</v>
      </c>
      <c r="I451" s="45">
        <v>723.55</v>
      </c>
      <c r="J451" s="40">
        <f>IF(D451="Short",H451-I451,I451-H451)</f>
        <v>-73.25</v>
      </c>
      <c r="K451" s="40">
        <f>J451*G451</f>
        <v>-8790</v>
      </c>
      <c r="L451" s="40">
        <f>IF(D451="Short",G451*H451,G451*I451)</f>
        <v>78036</v>
      </c>
      <c r="M451" s="40">
        <f>IF(D451="Short",G451*I451,H451*G451)</f>
        <v>86826</v>
      </c>
      <c r="N451" s="40">
        <f>L451+M451</f>
        <v>164862</v>
      </c>
      <c r="O451" s="40">
        <f>N451*0.000134</f>
        <v>22.091508000000001</v>
      </c>
      <c r="P451" s="40">
        <f>K451-O451</f>
        <v>-8812.0915079999995</v>
      </c>
      <c r="Q451" s="14"/>
      <c r="R451" s="14"/>
      <c r="S451" s="14"/>
    </row>
    <row r="452" spans="1:19" x14ac:dyDescent="0.25">
      <c r="A452" s="51">
        <v>46183</v>
      </c>
      <c r="B452" s="9" t="s">
        <v>27</v>
      </c>
      <c r="C452" s="12">
        <v>46184</v>
      </c>
      <c r="D452" s="9" t="s">
        <v>28</v>
      </c>
      <c r="E452" s="9" t="s">
        <v>29</v>
      </c>
      <c r="F452" s="13">
        <v>74500</v>
      </c>
      <c r="G452" s="39">
        <v>420</v>
      </c>
      <c r="H452" s="45">
        <v>114.6</v>
      </c>
      <c r="I452" s="45">
        <v>314.14999999999998</v>
      </c>
      <c r="J452" s="40">
        <f>IF(D452="Short",H452-I452,I452-H452)</f>
        <v>-199.54999999999998</v>
      </c>
      <c r="K452" s="40">
        <f>J452*G452</f>
        <v>-83811</v>
      </c>
      <c r="L452" s="40">
        <f>IF(D452="Short",G452*H452,G452*I452)</f>
        <v>48132</v>
      </c>
      <c r="M452" s="40">
        <f>IF(D452="Short",G452*I452,H452*G452)</f>
        <v>131943</v>
      </c>
      <c r="N452" s="40">
        <f>L452+M452</f>
        <v>180075</v>
      </c>
      <c r="O452" s="40">
        <f>N452*0.000134</f>
        <v>24.130050000000001</v>
      </c>
      <c r="P452" s="40">
        <f>K452-O452</f>
        <v>-83835.130050000007</v>
      </c>
      <c r="Q452" s="14"/>
      <c r="R452" s="14"/>
      <c r="S452" s="14"/>
    </row>
    <row r="453" spans="1:19" x14ac:dyDescent="0.25">
      <c r="A453" s="51">
        <v>46183</v>
      </c>
      <c r="B453" s="9" t="s">
        <v>27</v>
      </c>
      <c r="C453" s="12">
        <v>46184</v>
      </c>
      <c r="D453" s="9" t="s">
        <v>28</v>
      </c>
      <c r="E453" s="9" t="s">
        <v>32</v>
      </c>
      <c r="F453" s="13">
        <v>72700</v>
      </c>
      <c r="G453" s="39">
        <v>2040</v>
      </c>
      <c r="H453" s="45">
        <v>13.53</v>
      </c>
      <c r="I453" s="45">
        <v>23.9</v>
      </c>
      <c r="J453" s="40">
        <f>IF(D453="Short",H453-I453,I453-H453)</f>
        <v>-10.37</v>
      </c>
      <c r="K453" s="40">
        <f>J453*G453</f>
        <v>-21154.799999999999</v>
      </c>
      <c r="L453" s="40">
        <f>IF(D453="Short",G453*H453,G453*I453)</f>
        <v>27601.199999999997</v>
      </c>
      <c r="M453" s="40">
        <f>IF(D453="Short",G453*I453,H453*G453)</f>
        <v>48756</v>
      </c>
      <c r="N453" s="40">
        <f>L453+M453</f>
        <v>76357.2</v>
      </c>
      <c r="O453" s="40">
        <f>N453*0.000134</f>
        <v>10.2318648</v>
      </c>
      <c r="P453" s="40">
        <f>K453-O453</f>
        <v>-21165.031864799999</v>
      </c>
      <c r="Q453" s="14"/>
      <c r="R453" s="14"/>
      <c r="S453" s="14"/>
    </row>
    <row r="454" spans="1:19" x14ac:dyDescent="0.25">
      <c r="A454" s="51">
        <v>46183</v>
      </c>
      <c r="B454" s="9" t="s">
        <v>27</v>
      </c>
      <c r="C454" s="12">
        <v>46184</v>
      </c>
      <c r="D454" s="9" t="s">
        <v>30</v>
      </c>
      <c r="E454" s="9" t="s">
        <v>32</v>
      </c>
      <c r="F454" s="13">
        <v>74300</v>
      </c>
      <c r="G454" s="39">
        <v>640</v>
      </c>
      <c r="H454" s="45">
        <v>359.22</v>
      </c>
      <c r="I454" s="45">
        <v>374.6</v>
      </c>
      <c r="J454" s="40">
        <f>IF(D454="Short",H454-I454,I454-H454)</f>
        <v>15.379999999999995</v>
      </c>
      <c r="K454" s="40">
        <f>J454*G454</f>
        <v>9843.1999999999971</v>
      </c>
      <c r="L454" s="40">
        <f>IF(D454="Short",G454*H454,G454*I454)</f>
        <v>239744</v>
      </c>
      <c r="M454" s="40">
        <f>IF(D454="Short",G454*I454,H454*G454)</f>
        <v>229900.80000000002</v>
      </c>
      <c r="N454" s="40">
        <f>L454+M454</f>
        <v>469644.80000000005</v>
      </c>
      <c r="O454" s="40">
        <f>N454*0.000134</f>
        <v>62.93240320000001</v>
      </c>
      <c r="P454" s="40">
        <f>K454-O454</f>
        <v>9780.2675967999967</v>
      </c>
      <c r="Q454" s="14"/>
      <c r="R454" s="14"/>
      <c r="S454" s="14"/>
    </row>
    <row r="455" spans="1:19" x14ac:dyDescent="0.25">
      <c r="A455" s="51">
        <v>46183</v>
      </c>
      <c r="B455" s="9" t="s">
        <v>27</v>
      </c>
      <c r="C455" s="12">
        <v>46184</v>
      </c>
      <c r="D455" s="9" t="s">
        <v>28</v>
      </c>
      <c r="E455" s="9" t="s">
        <v>29</v>
      </c>
      <c r="F455" s="13">
        <v>74400</v>
      </c>
      <c r="G455" s="39">
        <v>800</v>
      </c>
      <c r="H455" s="45">
        <v>359.25</v>
      </c>
      <c r="I455" s="45">
        <v>354.53</v>
      </c>
      <c r="J455" s="40">
        <f>IF(D455="Short",H455-I455,I455-H455)</f>
        <v>4.7200000000000273</v>
      </c>
      <c r="K455" s="40">
        <f>J455*G455</f>
        <v>3776.0000000000218</v>
      </c>
      <c r="L455" s="40">
        <f>IF(D455="Short",G455*H455,G455*I455)</f>
        <v>287400</v>
      </c>
      <c r="M455" s="40">
        <f>IF(D455="Short",G455*I455,H455*G455)</f>
        <v>283624</v>
      </c>
      <c r="N455" s="40">
        <f>L455+M455</f>
        <v>571024</v>
      </c>
      <c r="O455" s="40">
        <f>N455*0.000134</f>
        <v>76.517216000000005</v>
      </c>
      <c r="P455" s="40">
        <f>K455-O455</f>
        <v>3699.4827840000216</v>
      </c>
      <c r="Q455" s="14"/>
      <c r="R455" s="14"/>
      <c r="S455" s="14"/>
    </row>
    <row r="456" spans="1:19" x14ac:dyDescent="0.25">
      <c r="A456" s="51">
        <v>46183</v>
      </c>
      <c r="B456" s="9" t="s">
        <v>31</v>
      </c>
      <c r="C456" s="12">
        <v>46189</v>
      </c>
      <c r="D456" s="9" t="s">
        <v>28</v>
      </c>
      <c r="E456" s="9" t="s">
        <v>32</v>
      </c>
      <c r="F456" s="13">
        <v>22600</v>
      </c>
      <c r="G456" s="39">
        <v>650</v>
      </c>
      <c r="H456" s="45">
        <v>14.55</v>
      </c>
      <c r="I456" s="45">
        <v>17.7</v>
      </c>
      <c r="J456" s="40">
        <f>IF(D456="Short",H456-I456,I456-H456)</f>
        <v>-3.1499999999999986</v>
      </c>
      <c r="K456" s="40">
        <f>J456*G456</f>
        <v>-2047.4999999999991</v>
      </c>
      <c r="L456" s="40">
        <f>IF(D456="Short",G456*H456,G456*I456)</f>
        <v>9457.5</v>
      </c>
      <c r="M456" s="40">
        <f>IF(D456="Short",G456*I456,H456*G456)</f>
        <v>11505</v>
      </c>
      <c r="N456" s="40">
        <f>L456+M456</f>
        <v>20962.5</v>
      </c>
      <c r="O456" s="40">
        <f>N456*0.000134</f>
        <v>2.8089750000000002</v>
      </c>
      <c r="P456" s="40">
        <f>K456-O456</f>
        <v>-2050.308974999999</v>
      </c>
      <c r="Q456" s="14"/>
      <c r="R456" s="14"/>
      <c r="S456" s="14"/>
    </row>
    <row r="457" spans="1:19" x14ac:dyDescent="0.25">
      <c r="A457" s="51">
        <v>46183</v>
      </c>
      <c r="B457" s="9" t="s">
        <v>31</v>
      </c>
      <c r="C457" s="12">
        <v>46189</v>
      </c>
      <c r="D457" s="9" t="s">
        <v>28</v>
      </c>
      <c r="E457" s="9" t="s">
        <v>32</v>
      </c>
      <c r="F457" s="13">
        <v>23250</v>
      </c>
      <c r="G457" s="39">
        <v>975</v>
      </c>
      <c r="H457" s="45">
        <v>153.61000000000001</v>
      </c>
      <c r="I457" s="45">
        <v>148</v>
      </c>
      <c r="J457" s="40">
        <f>IF(D457="Short",H457-I457,I457-H457)</f>
        <v>5.6100000000000136</v>
      </c>
      <c r="K457" s="40">
        <f>J457*G457</f>
        <v>5469.7500000000136</v>
      </c>
      <c r="L457" s="40">
        <f>IF(D457="Short",G457*H457,G457*I457)</f>
        <v>149769.75</v>
      </c>
      <c r="M457" s="40">
        <f>IF(D457="Short",G457*I457,H457*G457)</f>
        <v>144300</v>
      </c>
      <c r="N457" s="40">
        <f>L457+M457</f>
        <v>294069.75</v>
      </c>
      <c r="O457" s="40">
        <f>N457*0.000134</f>
        <v>39.4053465</v>
      </c>
      <c r="P457" s="40">
        <f>K457-O457</f>
        <v>5430.3446535000139</v>
      </c>
      <c r="Q457" s="14"/>
      <c r="R457" s="14"/>
      <c r="S457" s="14"/>
    </row>
    <row r="458" spans="1:19" x14ac:dyDescent="0.25">
      <c r="A458" s="51">
        <v>46183</v>
      </c>
      <c r="B458" s="9" t="s">
        <v>31</v>
      </c>
      <c r="C458" s="12">
        <v>46189</v>
      </c>
      <c r="D458" s="9" t="s">
        <v>28</v>
      </c>
      <c r="E458" s="9" t="s">
        <v>29</v>
      </c>
      <c r="F458" s="13">
        <v>23350</v>
      </c>
      <c r="G458" s="39">
        <v>520</v>
      </c>
      <c r="H458" s="45">
        <v>183.32</v>
      </c>
      <c r="I458" s="45">
        <v>197.32</v>
      </c>
      <c r="J458" s="40">
        <f>IF(D458="Short",H458-I458,I458-H458)</f>
        <v>-14</v>
      </c>
      <c r="K458" s="40">
        <f>J458*G458</f>
        <v>-7280</v>
      </c>
      <c r="L458" s="40">
        <f>IF(D458="Short",G458*H458,G458*I458)</f>
        <v>95326.399999999994</v>
      </c>
      <c r="M458" s="40">
        <f>IF(D458="Short",G458*I458,H458*G458)</f>
        <v>102606.39999999999</v>
      </c>
      <c r="N458" s="40">
        <f>L458+M458</f>
        <v>197932.79999999999</v>
      </c>
      <c r="O458" s="40">
        <f>N458*0.000134</f>
        <v>26.5229952</v>
      </c>
      <c r="P458" s="40">
        <f>K458-O458</f>
        <v>-7306.5229952</v>
      </c>
      <c r="Q458" s="14"/>
      <c r="R458" s="14"/>
      <c r="S458" s="14"/>
    </row>
    <row r="459" spans="1:19" x14ac:dyDescent="0.25">
      <c r="A459" s="51">
        <v>46183</v>
      </c>
      <c r="B459" s="9" t="s">
        <v>31</v>
      </c>
      <c r="C459" s="12">
        <v>46189</v>
      </c>
      <c r="D459" s="9" t="s">
        <v>30</v>
      </c>
      <c r="E459" s="9" t="s">
        <v>29</v>
      </c>
      <c r="F459" s="13">
        <v>23400</v>
      </c>
      <c r="G459" s="39">
        <v>260</v>
      </c>
      <c r="H459" s="45">
        <v>188.03</v>
      </c>
      <c r="I459" s="45">
        <v>62.62</v>
      </c>
      <c r="J459" s="40">
        <f>IF(D459="Short",H459-I459,I459-H459)</f>
        <v>-125.41</v>
      </c>
      <c r="K459" s="40">
        <f>J459*G459</f>
        <v>-32606.6</v>
      </c>
      <c r="L459" s="40">
        <f>IF(D459="Short",G459*H459,G459*I459)</f>
        <v>16281.199999999999</v>
      </c>
      <c r="M459" s="40">
        <f>IF(D459="Short",G459*I459,H459*G459)</f>
        <v>48887.8</v>
      </c>
      <c r="N459" s="40">
        <f>L459+M459</f>
        <v>65169</v>
      </c>
      <c r="O459" s="40">
        <f>N459*0.000134</f>
        <v>8.7326460000000008</v>
      </c>
      <c r="P459" s="40">
        <f>K459-O459</f>
        <v>-32615.332645999999</v>
      </c>
      <c r="Q459" s="14"/>
      <c r="R459" s="14"/>
      <c r="S459" s="14"/>
    </row>
    <row r="460" spans="1:19" x14ac:dyDescent="0.25">
      <c r="A460" s="51">
        <v>46183</v>
      </c>
      <c r="B460" s="9" t="s">
        <v>27</v>
      </c>
      <c r="C460" s="12">
        <v>46184</v>
      </c>
      <c r="D460" s="9" t="s">
        <v>30</v>
      </c>
      <c r="E460" s="9" t="s">
        <v>29</v>
      </c>
      <c r="F460" s="13">
        <v>74500</v>
      </c>
      <c r="G460" s="39">
        <v>140</v>
      </c>
      <c r="H460" s="45">
        <v>314.14999999999998</v>
      </c>
      <c r="I460" s="45">
        <v>12.9</v>
      </c>
      <c r="J460" s="40">
        <f>IF(D460="Short",H460-I460,I460-H460)</f>
        <v>-301.25</v>
      </c>
      <c r="K460" s="40">
        <f>J460*G460</f>
        <v>-42175</v>
      </c>
      <c r="L460" s="40">
        <f>IF(D460="Short",G460*H460,G460*I460)</f>
        <v>1806</v>
      </c>
      <c r="M460" s="40">
        <f>IF(D460="Short",G460*I460,H460*G460)</f>
        <v>43981</v>
      </c>
      <c r="N460" s="40">
        <f>L460+M460</f>
        <v>45787</v>
      </c>
      <c r="O460" s="40">
        <f>N460*0.000134</f>
        <v>6.1354579999999999</v>
      </c>
      <c r="P460" s="40">
        <f>K460-O460</f>
        <v>-42181.135457999997</v>
      </c>
      <c r="Q460" s="14"/>
      <c r="R460" s="14"/>
      <c r="S460" s="14"/>
    </row>
    <row r="461" spans="1:19" x14ac:dyDescent="0.25">
      <c r="A461" s="51">
        <v>46183</v>
      </c>
      <c r="B461" s="9" t="s">
        <v>31</v>
      </c>
      <c r="C461" s="12">
        <v>46189</v>
      </c>
      <c r="D461" s="9" t="s">
        <v>28</v>
      </c>
      <c r="E461" s="9" t="s">
        <v>32</v>
      </c>
      <c r="F461" s="13">
        <v>23350</v>
      </c>
      <c r="G461" s="39">
        <v>195</v>
      </c>
      <c r="H461" s="45">
        <v>229.64</v>
      </c>
      <c r="I461" s="45">
        <v>173.75</v>
      </c>
      <c r="J461" s="40">
        <f>IF(D461="Short",H461-I461,I461-H461)</f>
        <v>55.889999999999986</v>
      </c>
      <c r="K461" s="40">
        <f>J461*G461</f>
        <v>10898.549999999997</v>
      </c>
      <c r="L461" s="40">
        <f>IF(D461="Short",G461*H461,G461*I461)</f>
        <v>44779.799999999996</v>
      </c>
      <c r="M461" s="40">
        <f>IF(D461="Short",G461*I461,H461*G461)</f>
        <v>33881.25</v>
      </c>
      <c r="N461" s="40">
        <f>L461+M461</f>
        <v>78661.049999999988</v>
      </c>
      <c r="O461" s="40">
        <f>N461*0.000134</f>
        <v>10.5405807</v>
      </c>
      <c r="P461" s="40">
        <f>K461-O461</f>
        <v>10888.009419299997</v>
      </c>
      <c r="Q461" s="14"/>
      <c r="R461" s="14"/>
      <c r="S461" s="14"/>
    </row>
    <row r="462" spans="1:19" x14ac:dyDescent="0.25">
      <c r="A462" s="51">
        <v>46184</v>
      </c>
      <c r="B462" s="9" t="s">
        <v>27</v>
      </c>
      <c r="C462" s="12">
        <v>46191</v>
      </c>
      <c r="D462" s="9" t="s">
        <v>28</v>
      </c>
      <c r="E462" s="9" t="s">
        <v>32</v>
      </c>
      <c r="F462" s="13">
        <v>73900</v>
      </c>
      <c r="G462" s="39">
        <v>260</v>
      </c>
      <c r="H462" s="45">
        <v>620.15</v>
      </c>
      <c r="I462" s="45">
        <v>31.65</v>
      </c>
      <c r="J462" s="40">
        <f>IF(D462="Short",H462-I462,I462-H462)</f>
        <v>588.5</v>
      </c>
      <c r="K462" s="40">
        <f>J462*G462</f>
        <v>153010</v>
      </c>
      <c r="L462" s="40">
        <f>IF(D462="Short",G462*H462,G462*I462)</f>
        <v>161239</v>
      </c>
      <c r="M462" s="40">
        <f>IF(D462="Short",G462*I462,H462*G462)</f>
        <v>8229</v>
      </c>
      <c r="N462" s="40">
        <f>L462+M462</f>
        <v>169468</v>
      </c>
      <c r="O462" s="40">
        <f>N462*0.000134</f>
        <v>22.708712000000002</v>
      </c>
      <c r="P462" s="40">
        <f>K462-O462</f>
        <v>152987.29128800001</v>
      </c>
      <c r="Q462" s="14"/>
      <c r="R462" s="14"/>
      <c r="S462" s="14"/>
    </row>
    <row r="463" spans="1:19" x14ac:dyDescent="0.25">
      <c r="A463" s="51">
        <v>46184</v>
      </c>
      <c r="B463" s="9" t="s">
        <v>31</v>
      </c>
      <c r="C463" s="12">
        <v>46189</v>
      </c>
      <c r="D463" s="9" t="s">
        <v>28</v>
      </c>
      <c r="E463" s="9" t="s">
        <v>29</v>
      </c>
      <c r="F463" s="13">
        <v>23200</v>
      </c>
      <c r="G463" s="39">
        <v>650</v>
      </c>
      <c r="H463" s="45">
        <v>135.16</v>
      </c>
      <c r="I463" s="45">
        <v>174.37</v>
      </c>
      <c r="J463" s="40">
        <f>IF(D463="Short",H463-I463,I463-H463)</f>
        <v>-39.210000000000008</v>
      </c>
      <c r="K463" s="40">
        <f>J463*G463</f>
        <v>-25486.500000000004</v>
      </c>
      <c r="L463" s="40">
        <f>IF(D463="Short",G463*H463,G463*I463)</f>
        <v>87854</v>
      </c>
      <c r="M463" s="40">
        <f>IF(D463="Short",G463*I463,H463*G463)</f>
        <v>113340.5</v>
      </c>
      <c r="N463" s="40">
        <f>L463+M463</f>
        <v>201194.5</v>
      </c>
      <c r="O463" s="40">
        <f>N463*0.000134</f>
        <v>26.960063000000002</v>
      </c>
      <c r="P463" s="40">
        <f>K463-O463</f>
        <v>-25513.460063000002</v>
      </c>
      <c r="Q463" s="14"/>
      <c r="R463" s="14"/>
      <c r="S463" s="14"/>
    </row>
    <row r="464" spans="1:19" x14ac:dyDescent="0.25">
      <c r="A464" s="51">
        <v>46184</v>
      </c>
      <c r="B464" s="9" t="s">
        <v>31</v>
      </c>
      <c r="C464" s="12">
        <v>46189</v>
      </c>
      <c r="D464" s="9" t="s">
        <v>30</v>
      </c>
      <c r="E464" s="9" t="s">
        <v>29</v>
      </c>
      <c r="F464" s="13">
        <v>23300</v>
      </c>
      <c r="G464" s="39">
        <v>325</v>
      </c>
      <c r="H464" s="45">
        <v>88.5</v>
      </c>
      <c r="I464" s="45">
        <v>223.45</v>
      </c>
      <c r="J464" s="40">
        <f>IF(D464="Short",H464-I464,I464-H464)</f>
        <v>134.94999999999999</v>
      </c>
      <c r="K464" s="40">
        <f>J464*G464</f>
        <v>43858.749999999993</v>
      </c>
      <c r="L464" s="40">
        <f>IF(D464="Short",G464*H464,G464*I464)</f>
        <v>72621.25</v>
      </c>
      <c r="M464" s="40">
        <f>IF(D464="Short",G464*I464,H464*G464)</f>
        <v>28762.5</v>
      </c>
      <c r="N464" s="40">
        <f>L464+M464</f>
        <v>101383.75</v>
      </c>
      <c r="O464" s="40">
        <f>N464*0.000134</f>
        <v>13.5854225</v>
      </c>
      <c r="P464" s="40">
        <f>K464-O464</f>
        <v>43845.164577499992</v>
      </c>
      <c r="Q464" s="14"/>
      <c r="R464" s="14"/>
      <c r="S464" s="14"/>
    </row>
    <row r="465" spans="1:19" x14ac:dyDescent="0.25">
      <c r="A465" s="51">
        <v>46184</v>
      </c>
      <c r="B465" s="9" t="s">
        <v>31</v>
      </c>
      <c r="C465" s="12">
        <v>46189</v>
      </c>
      <c r="D465" s="9" t="s">
        <v>28</v>
      </c>
      <c r="E465" s="9" t="s">
        <v>32</v>
      </c>
      <c r="F465" s="13">
        <v>22650</v>
      </c>
      <c r="G465" s="39">
        <v>1820</v>
      </c>
      <c r="H465" s="45">
        <v>23.63</v>
      </c>
      <c r="I465" s="45">
        <v>17.52</v>
      </c>
      <c r="J465" s="40">
        <f>IF(D465="Short",H465-I465,I465-H465)</f>
        <v>6.1099999999999994</v>
      </c>
      <c r="K465" s="40">
        <f>J465*G465</f>
        <v>11120.199999999999</v>
      </c>
      <c r="L465" s="40">
        <f>IF(D465="Short",G465*H465,G465*I465)</f>
        <v>43006.6</v>
      </c>
      <c r="M465" s="40">
        <f>IF(D465="Short",G465*I465,H465*G465)</f>
        <v>31886.399999999998</v>
      </c>
      <c r="N465" s="40">
        <f>L465+M465</f>
        <v>74893</v>
      </c>
      <c r="O465" s="40">
        <f>N465*0.000134</f>
        <v>10.035662</v>
      </c>
      <c r="P465" s="40">
        <f>K465-O465</f>
        <v>11110.164337999999</v>
      </c>
      <c r="Q465" s="14"/>
      <c r="R465" s="14"/>
      <c r="S465" s="14"/>
    </row>
    <row r="466" spans="1:19" x14ac:dyDescent="0.25">
      <c r="A466" s="51">
        <v>46184</v>
      </c>
      <c r="B466" s="9" t="s">
        <v>31</v>
      </c>
      <c r="C466" s="12">
        <v>46189</v>
      </c>
      <c r="D466" s="9" t="s">
        <v>30</v>
      </c>
      <c r="E466" s="9" t="s">
        <v>32</v>
      </c>
      <c r="F466" s="13">
        <v>23250</v>
      </c>
      <c r="G466" s="39">
        <v>1235</v>
      </c>
      <c r="H466" s="45">
        <v>211.98</v>
      </c>
      <c r="I466" s="45">
        <v>159.86000000000001</v>
      </c>
      <c r="J466" s="40">
        <f>IF(D466="Short",H466-I466,I466-H466)</f>
        <v>-52.119999999999976</v>
      </c>
      <c r="K466" s="40">
        <f>J466*G466</f>
        <v>-64368.199999999968</v>
      </c>
      <c r="L466" s="40">
        <f>IF(D466="Short",G466*H466,G466*I466)</f>
        <v>197427.1</v>
      </c>
      <c r="M466" s="40">
        <f>IF(D466="Short",G466*I466,H466*G466)</f>
        <v>261795.3</v>
      </c>
      <c r="N466" s="40">
        <f>L466+M466</f>
        <v>459222.4</v>
      </c>
      <c r="O466" s="40">
        <f>N466*0.000134</f>
        <v>61.535801600000006</v>
      </c>
      <c r="P466" s="40">
        <f>K466-O466</f>
        <v>-64429.735801599971</v>
      </c>
      <c r="Q466" s="14"/>
      <c r="R466" s="14"/>
      <c r="S466" s="14"/>
    </row>
    <row r="467" spans="1:19" x14ac:dyDescent="0.25">
      <c r="A467" s="51">
        <v>46184</v>
      </c>
      <c r="B467" s="9" t="s">
        <v>27</v>
      </c>
      <c r="C467" s="12">
        <v>46184</v>
      </c>
      <c r="D467" s="9" t="s">
        <v>28</v>
      </c>
      <c r="E467" s="9" t="s">
        <v>29</v>
      </c>
      <c r="F467" s="13">
        <v>74000</v>
      </c>
      <c r="G467" s="39">
        <v>620</v>
      </c>
      <c r="H467" s="45">
        <v>0.55000000000000004</v>
      </c>
      <c r="I467" s="45">
        <v>164.95</v>
      </c>
      <c r="J467" s="40">
        <f>IF(D467="Short",H467-I467,I467-H467)</f>
        <v>-164.39999999999998</v>
      </c>
      <c r="K467" s="40">
        <f>J467*G467</f>
        <v>-101927.99999999999</v>
      </c>
      <c r="L467" s="40">
        <f>IF(D467="Short",G467*H467,G467*I467)</f>
        <v>341</v>
      </c>
      <c r="M467" s="40">
        <f>IF(D467="Short",G467*I467,H467*G467)</f>
        <v>102269</v>
      </c>
      <c r="N467" s="40">
        <f>L467+M467</f>
        <v>102610</v>
      </c>
      <c r="O467" s="40">
        <f>N467*0.000134</f>
        <v>13.749740000000001</v>
      </c>
      <c r="P467" s="40">
        <f>K467-O467</f>
        <v>-101941.74973999998</v>
      </c>
      <c r="Q467" s="14"/>
      <c r="R467" s="14"/>
      <c r="S467" s="14"/>
    </row>
    <row r="468" spans="1:19" x14ac:dyDescent="0.25">
      <c r="A468" s="51">
        <v>46184</v>
      </c>
      <c r="B468" s="9" t="s">
        <v>27</v>
      </c>
      <c r="C468" s="12">
        <v>46184</v>
      </c>
      <c r="D468" s="9" t="s">
        <v>28</v>
      </c>
      <c r="E468" s="9" t="s">
        <v>32</v>
      </c>
      <c r="F468" s="13">
        <v>73700</v>
      </c>
      <c r="G468" s="39">
        <v>700</v>
      </c>
      <c r="H468" s="45">
        <v>2.6</v>
      </c>
      <c r="I468" s="45">
        <v>55.02</v>
      </c>
      <c r="J468" s="40">
        <f>IF(D468="Short",H468-I468,I468-H468)</f>
        <v>-52.42</v>
      </c>
      <c r="K468" s="40">
        <f>J468*G468</f>
        <v>-36694</v>
      </c>
      <c r="L468" s="40">
        <f>IF(D468="Short",G468*H468,G468*I468)</f>
        <v>1820</v>
      </c>
      <c r="M468" s="40">
        <f>IF(D468="Short",G468*I468,H468*G468)</f>
        <v>38514</v>
      </c>
      <c r="N468" s="40">
        <f>L468+M468</f>
        <v>40334</v>
      </c>
      <c r="O468" s="40">
        <f>N468*0.000134</f>
        <v>5.4047559999999999</v>
      </c>
      <c r="P468" s="40">
        <f>K468-O468</f>
        <v>-36699.404756000004</v>
      </c>
      <c r="Q468" s="14"/>
      <c r="R468" s="14"/>
      <c r="S468" s="14"/>
    </row>
    <row r="469" spans="1:19" x14ac:dyDescent="0.25">
      <c r="A469" s="51">
        <v>46184</v>
      </c>
      <c r="B469" s="9" t="s">
        <v>27</v>
      </c>
      <c r="C469" s="12">
        <v>46184</v>
      </c>
      <c r="D469" s="9" t="s">
        <v>30</v>
      </c>
      <c r="E469" s="9" t="s">
        <v>32</v>
      </c>
      <c r="F469" s="13">
        <v>74000</v>
      </c>
      <c r="G469" s="39">
        <v>600</v>
      </c>
      <c r="H469" s="45">
        <v>286.43</v>
      </c>
      <c r="I469" s="45">
        <v>146.35</v>
      </c>
      <c r="J469" s="40">
        <f>IF(D469="Short",H469-I469,I469-H469)</f>
        <v>-140.08000000000001</v>
      </c>
      <c r="K469" s="40">
        <f>J469*G469</f>
        <v>-84048.000000000015</v>
      </c>
      <c r="L469" s="40">
        <f>IF(D469="Short",G469*H469,G469*I469)</f>
        <v>87810</v>
      </c>
      <c r="M469" s="40">
        <f>IF(D469="Short",G469*I469,H469*G469)</f>
        <v>171858</v>
      </c>
      <c r="N469" s="40">
        <f>L469+M469</f>
        <v>259668</v>
      </c>
      <c r="O469" s="40">
        <f>N469*0.000134</f>
        <v>34.795512000000002</v>
      </c>
      <c r="P469" s="40">
        <f>K469-O469</f>
        <v>-84082.795512000012</v>
      </c>
      <c r="Q469" s="14"/>
      <c r="R469" s="14"/>
      <c r="S469" s="14"/>
    </row>
    <row r="470" spans="1:19" x14ac:dyDescent="0.25">
      <c r="A470" s="51">
        <v>46184</v>
      </c>
      <c r="B470" s="9" t="s">
        <v>27</v>
      </c>
      <c r="C470" s="12">
        <v>46191</v>
      </c>
      <c r="D470" s="9" t="s">
        <v>30</v>
      </c>
      <c r="E470" s="9" t="s">
        <v>29</v>
      </c>
      <c r="F470" s="13">
        <v>74100</v>
      </c>
      <c r="G470" s="39">
        <v>60</v>
      </c>
      <c r="H470" s="45">
        <v>719.23</v>
      </c>
      <c r="I470" s="45">
        <v>1028.23</v>
      </c>
      <c r="J470" s="40">
        <f>IF(D470="Short",H470-I470,I470-H470)</f>
        <v>309</v>
      </c>
      <c r="K470" s="40">
        <f>J470*G470</f>
        <v>18540</v>
      </c>
      <c r="L470" s="40">
        <f>IF(D470="Short",G470*H470,G470*I470)</f>
        <v>61693.8</v>
      </c>
      <c r="M470" s="40">
        <f>IF(D470="Short",G470*I470,H470*G470)</f>
        <v>43153.8</v>
      </c>
      <c r="N470" s="40">
        <f>L470+M470</f>
        <v>104847.6</v>
      </c>
      <c r="O470" s="40">
        <f>N470*0.000134</f>
        <v>14.049578400000001</v>
      </c>
      <c r="P470" s="40">
        <f>K470-O470</f>
        <v>18525.950421599999</v>
      </c>
      <c r="Q470" s="14"/>
      <c r="R470" s="14"/>
      <c r="S470" s="14"/>
    </row>
    <row r="471" spans="1:19" x14ac:dyDescent="0.25">
      <c r="A471" s="51">
        <v>46184</v>
      </c>
      <c r="B471" s="9" t="s">
        <v>27</v>
      </c>
      <c r="C471" s="12">
        <v>46191</v>
      </c>
      <c r="D471" s="9" t="s">
        <v>30</v>
      </c>
      <c r="E471" s="9" t="s">
        <v>29</v>
      </c>
      <c r="F471" s="13">
        <v>74000</v>
      </c>
      <c r="G471" s="39">
        <v>140</v>
      </c>
      <c r="H471" s="45">
        <v>747.02</v>
      </c>
      <c r="I471" s="45">
        <v>1097.8499999999999</v>
      </c>
      <c r="J471" s="40">
        <f>IF(D471="Short",H471-I471,I471-H471)</f>
        <v>350.82999999999993</v>
      </c>
      <c r="K471" s="40">
        <f>J471*G471</f>
        <v>49116.19999999999</v>
      </c>
      <c r="L471" s="40">
        <f>IF(D471="Short",G471*H471,G471*I471)</f>
        <v>153699</v>
      </c>
      <c r="M471" s="40">
        <f>IF(D471="Short",G471*I471,H471*G471)</f>
        <v>104582.8</v>
      </c>
      <c r="N471" s="40">
        <f>L471+M471</f>
        <v>258281.8</v>
      </c>
      <c r="O471" s="40">
        <f>N471*0.000134</f>
        <v>34.609761200000001</v>
      </c>
      <c r="P471" s="40">
        <f>K471-O471</f>
        <v>49081.590238799989</v>
      </c>
      <c r="Q471" s="14"/>
      <c r="R471" s="14"/>
      <c r="S471" s="14"/>
    </row>
    <row r="472" spans="1:19" x14ac:dyDescent="0.25">
      <c r="A472" s="51">
        <v>46184</v>
      </c>
      <c r="B472" s="9" t="s">
        <v>27</v>
      </c>
      <c r="C472" s="12">
        <v>46184</v>
      </c>
      <c r="D472" s="9" t="s">
        <v>28</v>
      </c>
      <c r="E472" s="9" t="s">
        <v>32</v>
      </c>
      <c r="F472" s="13">
        <v>73300</v>
      </c>
      <c r="G472" s="39">
        <v>600</v>
      </c>
      <c r="H472" s="45">
        <v>14.1</v>
      </c>
      <c r="I472" s="45">
        <v>13.34</v>
      </c>
      <c r="J472" s="40">
        <f>IF(D472="Short",H472-I472,I472-H472)</f>
        <v>0.75999999999999979</v>
      </c>
      <c r="K472" s="40">
        <f>J472*G472</f>
        <v>455.99999999999989</v>
      </c>
      <c r="L472" s="40">
        <f>IF(D472="Short",G472*H472,G472*I472)</f>
        <v>8460</v>
      </c>
      <c r="M472" s="40">
        <f>IF(D472="Short",G472*I472,H472*G472)</f>
        <v>8004</v>
      </c>
      <c r="N472" s="40">
        <f>L472+M472</f>
        <v>16464</v>
      </c>
      <c r="O472" s="40">
        <f>N472*0.000134</f>
        <v>2.2061760000000001</v>
      </c>
      <c r="P472" s="40">
        <f>K472-O472</f>
        <v>453.79382399999986</v>
      </c>
      <c r="Q472" s="14"/>
      <c r="R472" s="14"/>
      <c r="S472" s="14"/>
    </row>
    <row r="473" spans="1:19" x14ac:dyDescent="0.25">
      <c r="A473" s="51">
        <v>46184</v>
      </c>
      <c r="B473" s="9" t="s">
        <v>27</v>
      </c>
      <c r="C473" s="12">
        <v>46184</v>
      </c>
      <c r="D473" s="9" t="s">
        <v>30</v>
      </c>
      <c r="E473" s="9" t="s">
        <v>29</v>
      </c>
      <c r="F473" s="13">
        <v>74500</v>
      </c>
      <c r="G473" s="39">
        <v>440</v>
      </c>
      <c r="H473" s="45">
        <v>13.27</v>
      </c>
      <c r="I473" s="45">
        <v>12.9</v>
      </c>
      <c r="J473" s="40">
        <f>IF(D473="Short",H473-I473,I473-H473)</f>
        <v>-0.36999999999999922</v>
      </c>
      <c r="K473" s="40">
        <f>J473*G473</f>
        <v>-162.79999999999967</v>
      </c>
      <c r="L473" s="40">
        <f>IF(D473="Short",G473*H473,G473*I473)</f>
        <v>5676</v>
      </c>
      <c r="M473" s="40">
        <f>IF(D473="Short",G473*I473,H473*G473)</f>
        <v>5838.8</v>
      </c>
      <c r="N473" s="40">
        <f>L473+M473</f>
        <v>11514.8</v>
      </c>
      <c r="O473" s="40">
        <f>N473*0.000134</f>
        <v>1.5429831999999999</v>
      </c>
      <c r="P473" s="40">
        <f>K473-O473</f>
        <v>-164.34298319999968</v>
      </c>
      <c r="Q473" s="14"/>
      <c r="R473" s="14"/>
      <c r="S473" s="14"/>
    </row>
    <row r="474" spans="1:19" x14ac:dyDescent="0.25">
      <c r="A474" s="51">
        <v>46185</v>
      </c>
      <c r="B474" s="9" t="s">
        <v>34</v>
      </c>
      <c r="C474" s="12">
        <v>46203</v>
      </c>
      <c r="D474" s="9" t="s">
        <v>28</v>
      </c>
      <c r="E474" s="9" t="s">
        <v>32</v>
      </c>
      <c r="F474" s="13">
        <v>53000</v>
      </c>
      <c r="G474" s="39">
        <v>1980</v>
      </c>
      <c r="H474" s="45">
        <v>87.41</v>
      </c>
      <c r="I474" s="45">
        <v>87.54</v>
      </c>
      <c r="J474" s="40">
        <f>IF(D474="Short",H474-I474,I474-H474)</f>
        <v>-0.13000000000000966</v>
      </c>
      <c r="K474" s="40">
        <f>J474*G474</f>
        <v>-257.40000000001913</v>
      </c>
      <c r="L474" s="40">
        <f>IF(D474="Short",G474*H474,G474*I474)</f>
        <v>173071.8</v>
      </c>
      <c r="M474" s="40">
        <f>IF(D474="Short",G474*I474,H474*G474)</f>
        <v>173329.2</v>
      </c>
      <c r="N474" s="40">
        <f>L474+M474</f>
        <v>346401</v>
      </c>
      <c r="O474" s="40">
        <f>N474*0.000134</f>
        <v>46.417734000000003</v>
      </c>
      <c r="P474" s="40">
        <f>K474-O474</f>
        <v>-303.81773400001913</v>
      </c>
      <c r="Q474" s="14"/>
      <c r="R474" s="14"/>
      <c r="S474" s="14"/>
    </row>
    <row r="475" spans="1:19" x14ac:dyDescent="0.25">
      <c r="A475" s="51">
        <v>46185</v>
      </c>
      <c r="B475" s="9" t="s">
        <v>34</v>
      </c>
      <c r="C475" s="12">
        <v>46203</v>
      </c>
      <c r="D475" s="9" t="s">
        <v>30</v>
      </c>
      <c r="E475" s="9" t="s">
        <v>32</v>
      </c>
      <c r="F475" s="13">
        <v>58000</v>
      </c>
      <c r="G475" s="39">
        <v>60</v>
      </c>
      <c r="H475" s="45">
        <v>1503.22</v>
      </c>
      <c r="I475" s="45">
        <v>1491.32</v>
      </c>
      <c r="J475" s="40">
        <f>IF(D475="Short",H475-I475,I475-H475)</f>
        <v>-11.900000000000091</v>
      </c>
      <c r="K475" s="40">
        <f>J475*G475</f>
        <v>-714.00000000000546</v>
      </c>
      <c r="L475" s="40">
        <f>IF(D475="Short",G475*H475,G475*I475)</f>
        <v>89479.2</v>
      </c>
      <c r="M475" s="40">
        <f>IF(D475="Short",G475*I475,H475*G475)</f>
        <v>90193.2</v>
      </c>
      <c r="N475" s="40">
        <f>L475+M475</f>
        <v>179672.4</v>
      </c>
      <c r="O475" s="40">
        <f>N475*0.000134</f>
        <v>24.076101600000001</v>
      </c>
      <c r="P475" s="40">
        <f>K475-O475</f>
        <v>-738.07610160000547</v>
      </c>
      <c r="Q475" s="14"/>
      <c r="R475" s="14"/>
      <c r="S475" s="14"/>
    </row>
    <row r="476" spans="1:19" x14ac:dyDescent="0.25">
      <c r="A476" s="51">
        <v>46185</v>
      </c>
      <c r="B476" s="9" t="s">
        <v>27</v>
      </c>
      <c r="C476" s="12">
        <v>46191</v>
      </c>
      <c r="D476" s="9" t="s">
        <v>28</v>
      </c>
      <c r="E476" s="9" t="s">
        <v>32</v>
      </c>
      <c r="F476" s="13">
        <v>74800</v>
      </c>
      <c r="G476" s="39">
        <v>700</v>
      </c>
      <c r="H476" s="45">
        <v>602.87</v>
      </c>
      <c r="I476" s="45">
        <v>71.33</v>
      </c>
      <c r="J476" s="40">
        <f>IF(D476="Short",H476-I476,I476-H476)</f>
        <v>531.54</v>
      </c>
      <c r="K476" s="40">
        <f>J476*G476</f>
        <v>372078</v>
      </c>
      <c r="L476" s="40">
        <f>IF(D476="Short",G476*H476,G476*I476)</f>
        <v>422009</v>
      </c>
      <c r="M476" s="40">
        <f>IF(D476="Short",G476*I476,H476*G476)</f>
        <v>49931</v>
      </c>
      <c r="N476" s="40">
        <f>L476+M476</f>
        <v>471940</v>
      </c>
      <c r="O476" s="40">
        <f>N476*0.000134</f>
        <v>63.239960000000004</v>
      </c>
      <c r="P476" s="40">
        <f>K476-O476</f>
        <v>372014.76004000002</v>
      </c>
      <c r="Q476" s="14"/>
      <c r="R476" s="14"/>
      <c r="S476" s="14"/>
    </row>
    <row r="477" spans="1:19" x14ac:dyDescent="0.25">
      <c r="A477" s="51">
        <v>46185</v>
      </c>
      <c r="B477" s="9" t="s">
        <v>27</v>
      </c>
      <c r="C477" s="12">
        <v>46191</v>
      </c>
      <c r="D477" s="9" t="s">
        <v>30</v>
      </c>
      <c r="E477" s="9" t="s">
        <v>32</v>
      </c>
      <c r="F477" s="13">
        <v>72300</v>
      </c>
      <c r="G477" s="39">
        <v>960</v>
      </c>
      <c r="H477" s="45">
        <v>55.18</v>
      </c>
      <c r="I477" s="45">
        <v>11.7</v>
      </c>
      <c r="J477" s="40">
        <f>IF(D477="Short",H477-I477,I477-H477)</f>
        <v>-43.480000000000004</v>
      </c>
      <c r="K477" s="40">
        <f>J477*G477</f>
        <v>-41740.800000000003</v>
      </c>
      <c r="L477" s="40">
        <f>IF(D477="Short",G477*H477,G477*I477)</f>
        <v>11232</v>
      </c>
      <c r="M477" s="40">
        <f>IF(D477="Short",G477*I477,H477*G477)</f>
        <v>52972.800000000003</v>
      </c>
      <c r="N477" s="40">
        <f>L477+M477</f>
        <v>64204.800000000003</v>
      </c>
      <c r="O477" s="40">
        <f>N477*0.000134</f>
        <v>8.603443200000001</v>
      </c>
      <c r="P477" s="40">
        <f>K477-O477</f>
        <v>-41749.403443200004</v>
      </c>
      <c r="Q477" s="14"/>
      <c r="R477" s="14"/>
      <c r="S477" s="14"/>
    </row>
    <row r="478" spans="1:19" x14ac:dyDescent="0.25">
      <c r="A478" s="51">
        <v>46188</v>
      </c>
      <c r="B478" s="9" t="s">
        <v>31</v>
      </c>
      <c r="C478" s="12">
        <v>46189</v>
      </c>
      <c r="D478" s="9" t="s">
        <v>28</v>
      </c>
      <c r="E478" s="9" t="s">
        <v>32</v>
      </c>
      <c r="F478" s="13">
        <v>23500</v>
      </c>
      <c r="G478" s="39">
        <v>65</v>
      </c>
      <c r="H478" s="45">
        <v>7.35</v>
      </c>
      <c r="I478" s="45">
        <v>9.93</v>
      </c>
      <c r="J478" s="40">
        <f>IF(D478="Short",H478-I478,I478-H478)</f>
        <v>-2.58</v>
      </c>
      <c r="K478" s="40">
        <f>J478*G478</f>
        <v>-167.70000000000002</v>
      </c>
      <c r="L478" s="40">
        <f>IF(D478="Short",G478*H478,G478*I478)</f>
        <v>477.75</v>
      </c>
      <c r="M478" s="40">
        <f>IF(D478="Short",G478*I478,H478*G478)</f>
        <v>645.44999999999993</v>
      </c>
      <c r="N478" s="40">
        <f>L478+M478</f>
        <v>1123.1999999999998</v>
      </c>
      <c r="O478" s="40">
        <f>N478*0.000134</f>
        <v>0.15050879999999997</v>
      </c>
      <c r="P478" s="40">
        <f>K478-O478</f>
        <v>-167.85050880000003</v>
      </c>
      <c r="Q478" s="14"/>
      <c r="R478" s="14"/>
      <c r="S478" s="14"/>
    </row>
    <row r="479" spans="1:19" x14ac:dyDescent="0.25">
      <c r="A479" s="51">
        <v>46189</v>
      </c>
      <c r="B479" s="9" t="s">
        <v>27</v>
      </c>
      <c r="C479" s="12">
        <v>46191</v>
      </c>
      <c r="D479" s="9" t="s">
        <v>28</v>
      </c>
      <c r="E479" s="9" t="s">
        <v>32</v>
      </c>
      <c r="F479" s="13">
        <v>74900</v>
      </c>
      <c r="G479" s="39">
        <v>980</v>
      </c>
      <c r="H479" s="45">
        <v>16.059999999999999</v>
      </c>
      <c r="I479" s="45">
        <v>31.9</v>
      </c>
      <c r="J479" s="40">
        <f>IF(D479="Short",H479-I479,I479-H479)</f>
        <v>-15.84</v>
      </c>
      <c r="K479" s="40">
        <f>J479*G479</f>
        <v>-15523.2</v>
      </c>
      <c r="L479" s="40">
        <f>IF(D479="Short",G479*H479,G479*I479)</f>
        <v>15738.8</v>
      </c>
      <c r="M479" s="40">
        <f>IF(D479="Short",G479*I479,H479*G479)</f>
        <v>31262</v>
      </c>
      <c r="N479" s="40">
        <f>L479+M479</f>
        <v>47000.800000000003</v>
      </c>
      <c r="O479" s="40">
        <f>N479*0.000134</f>
        <v>6.2981072000000005</v>
      </c>
      <c r="P479" s="40">
        <f>K479-O479</f>
        <v>-15529.498107200001</v>
      </c>
      <c r="Q479" s="14"/>
      <c r="R479" s="14"/>
      <c r="S479" s="14"/>
    </row>
    <row r="480" spans="1:19" x14ac:dyDescent="0.25">
      <c r="A480" s="51">
        <v>46189</v>
      </c>
      <c r="B480" s="9" t="s">
        <v>31</v>
      </c>
      <c r="C480" s="12">
        <v>46196</v>
      </c>
      <c r="D480" s="9" t="s">
        <v>30</v>
      </c>
      <c r="E480" s="9" t="s">
        <v>32</v>
      </c>
      <c r="F480" s="13">
        <v>23400</v>
      </c>
      <c r="G480" s="39">
        <v>3120</v>
      </c>
      <c r="H480" s="45">
        <v>20.37</v>
      </c>
      <c r="I480" s="45">
        <v>6.26</v>
      </c>
      <c r="J480" s="40">
        <f>IF(D480="Short",H480-I480,I480-H480)</f>
        <v>-14.110000000000001</v>
      </c>
      <c r="K480" s="40">
        <f>J480*G480</f>
        <v>-44023.200000000004</v>
      </c>
      <c r="L480" s="40">
        <f>IF(D480="Short",G480*H480,G480*I480)</f>
        <v>19531.2</v>
      </c>
      <c r="M480" s="40">
        <f>IF(D480="Short",G480*I480,H480*G480)</f>
        <v>63554.400000000001</v>
      </c>
      <c r="N480" s="40">
        <f>L480+M480</f>
        <v>83085.600000000006</v>
      </c>
      <c r="O480" s="40">
        <f>N480*0.000134</f>
        <v>11.133470400000002</v>
      </c>
      <c r="P480" s="40">
        <f>K480-O480</f>
        <v>-44034.333470400001</v>
      </c>
      <c r="Q480" s="14"/>
      <c r="R480" s="14"/>
      <c r="S480" s="14"/>
    </row>
    <row r="481" spans="1:19" x14ac:dyDescent="0.25">
      <c r="A481" s="51">
        <v>46189</v>
      </c>
      <c r="B481" s="9" t="s">
        <v>31</v>
      </c>
      <c r="C481" s="12">
        <v>46196</v>
      </c>
      <c r="D481" s="9" t="s">
        <v>28</v>
      </c>
      <c r="E481" s="9" t="s">
        <v>32</v>
      </c>
      <c r="F481" s="13">
        <v>24000</v>
      </c>
      <c r="G481" s="39">
        <v>1755</v>
      </c>
      <c r="H481" s="45">
        <v>173.11</v>
      </c>
      <c r="I481" s="45">
        <v>24.48</v>
      </c>
      <c r="J481" s="40">
        <f>IF(D481="Short",H481-I481,I481-H481)</f>
        <v>148.63000000000002</v>
      </c>
      <c r="K481" s="40">
        <f>J481*G481</f>
        <v>260845.65000000005</v>
      </c>
      <c r="L481" s="40">
        <f>IF(D481="Short",G481*H481,G481*I481)</f>
        <v>303808.05000000005</v>
      </c>
      <c r="M481" s="40">
        <f>IF(D481="Short",G481*I481,H481*G481)</f>
        <v>42962.400000000001</v>
      </c>
      <c r="N481" s="40">
        <f>L481+M481</f>
        <v>346770.45000000007</v>
      </c>
      <c r="O481" s="40">
        <f>N481*0.000134</f>
        <v>46.467240300000007</v>
      </c>
      <c r="P481" s="40">
        <f>K481-O481</f>
        <v>260799.18275970005</v>
      </c>
      <c r="Q481" s="14"/>
      <c r="R481" s="14"/>
      <c r="S481" s="14"/>
    </row>
    <row r="482" spans="1:19" x14ac:dyDescent="0.25">
      <c r="A482" s="51">
        <v>46189</v>
      </c>
      <c r="B482" s="9" t="s">
        <v>31</v>
      </c>
      <c r="C482" s="12">
        <v>46189</v>
      </c>
      <c r="D482" s="9" t="s">
        <v>28</v>
      </c>
      <c r="E482" s="9" t="s">
        <v>32</v>
      </c>
      <c r="F482" s="13">
        <v>23800</v>
      </c>
      <c r="G482" s="39">
        <v>6110</v>
      </c>
      <c r="H482" s="45">
        <v>0.91</v>
      </c>
      <c r="I482" s="45">
        <v>6.03</v>
      </c>
      <c r="J482" s="40">
        <f>IF(D482="Short",H482-I482,I482-H482)</f>
        <v>-5.12</v>
      </c>
      <c r="K482" s="40">
        <f>J482*G482</f>
        <v>-31283.200000000001</v>
      </c>
      <c r="L482" s="40">
        <f>IF(D482="Short",G482*H482,G482*I482)</f>
        <v>5560.1</v>
      </c>
      <c r="M482" s="40">
        <f>IF(D482="Short",G482*I482,H482*G482)</f>
        <v>36843.300000000003</v>
      </c>
      <c r="N482" s="40">
        <f>L482+M482</f>
        <v>42403.4</v>
      </c>
      <c r="O482" s="40">
        <f>N482*0.000134</f>
        <v>5.6820556</v>
      </c>
      <c r="P482" s="40">
        <f>K482-O482</f>
        <v>-31288.882055599999</v>
      </c>
      <c r="Q482" s="14"/>
      <c r="R482" s="14"/>
      <c r="S482" s="14"/>
    </row>
    <row r="483" spans="1:19" x14ac:dyDescent="0.25">
      <c r="A483" s="51">
        <v>46189</v>
      </c>
      <c r="B483" s="9" t="s">
        <v>31</v>
      </c>
      <c r="C483" s="12">
        <v>46196</v>
      </c>
      <c r="D483" s="9" t="s">
        <v>28</v>
      </c>
      <c r="E483" s="9" t="s">
        <v>32</v>
      </c>
      <c r="F483" s="13">
        <v>23950</v>
      </c>
      <c r="G483" s="39">
        <v>390</v>
      </c>
      <c r="H483" s="45">
        <v>150.69</v>
      </c>
      <c r="I483" s="45">
        <v>119.21</v>
      </c>
      <c r="J483" s="40">
        <f>IF(D483="Short",H483-I483,I483-H483)</f>
        <v>31.480000000000004</v>
      </c>
      <c r="K483" s="40">
        <f>J483*G483</f>
        <v>12277.2</v>
      </c>
      <c r="L483" s="40">
        <f>IF(D483="Short",G483*H483,G483*I483)</f>
        <v>58769.1</v>
      </c>
      <c r="M483" s="40">
        <f>IF(D483="Short",G483*I483,H483*G483)</f>
        <v>46491.899999999994</v>
      </c>
      <c r="N483" s="40">
        <f>L483+M483</f>
        <v>105261</v>
      </c>
      <c r="O483" s="40">
        <f>N483*0.000134</f>
        <v>14.104974</v>
      </c>
      <c r="P483" s="40">
        <f>K483-O483</f>
        <v>12263.095026000001</v>
      </c>
      <c r="Q483" s="14"/>
      <c r="R483" s="14"/>
      <c r="S483" s="14"/>
    </row>
    <row r="484" spans="1:19" x14ac:dyDescent="0.25">
      <c r="A484" s="51">
        <v>46189</v>
      </c>
      <c r="B484" s="9" t="s">
        <v>31</v>
      </c>
      <c r="C484" s="12">
        <v>46189</v>
      </c>
      <c r="D484" s="9" t="s">
        <v>30</v>
      </c>
      <c r="E484" s="9" t="s">
        <v>32</v>
      </c>
      <c r="F484" s="13">
        <v>23950</v>
      </c>
      <c r="G484" s="39">
        <v>2860</v>
      </c>
      <c r="H484" s="45">
        <v>15.85</v>
      </c>
      <c r="I484" s="45">
        <v>43.52</v>
      </c>
      <c r="J484" s="40">
        <f>IF(D484="Short",H484-I484,I484-H484)</f>
        <v>27.67</v>
      </c>
      <c r="K484" s="40">
        <f>J484*G484</f>
        <v>79136.200000000012</v>
      </c>
      <c r="L484" s="40">
        <f>IF(D484="Short",G484*H484,G484*I484)</f>
        <v>124467.20000000001</v>
      </c>
      <c r="M484" s="40">
        <f>IF(D484="Short",G484*I484,H484*G484)</f>
        <v>45331</v>
      </c>
      <c r="N484" s="40">
        <f>L484+M484</f>
        <v>169798.2</v>
      </c>
      <c r="O484" s="40">
        <f>N484*0.000134</f>
        <v>22.752958800000002</v>
      </c>
      <c r="P484" s="40">
        <f>K484-O484</f>
        <v>79113.447041200008</v>
      </c>
      <c r="Q484" s="14"/>
      <c r="R484" s="14"/>
      <c r="S484" s="14"/>
    </row>
    <row r="485" spans="1:19" x14ac:dyDescent="0.25">
      <c r="A485" s="51">
        <v>46189</v>
      </c>
      <c r="B485" s="9" t="s">
        <v>27</v>
      </c>
      <c r="C485" s="12">
        <v>46191</v>
      </c>
      <c r="D485" s="9" t="s">
        <v>28</v>
      </c>
      <c r="E485" s="9" t="s">
        <v>29</v>
      </c>
      <c r="F485" s="13">
        <v>76300</v>
      </c>
      <c r="G485" s="39">
        <v>280</v>
      </c>
      <c r="H485" s="45">
        <v>570.57000000000005</v>
      </c>
      <c r="I485" s="45">
        <v>565.65</v>
      </c>
      <c r="J485" s="40">
        <f>IF(D485="Short",H485-I485,I485-H485)</f>
        <v>4.9200000000000728</v>
      </c>
      <c r="K485" s="40">
        <f>J485*G485</f>
        <v>1377.6000000000204</v>
      </c>
      <c r="L485" s="40">
        <f>IF(D485="Short",G485*H485,G485*I485)</f>
        <v>159759.6</v>
      </c>
      <c r="M485" s="40">
        <f>IF(D485="Short",G485*I485,H485*G485)</f>
        <v>158382</v>
      </c>
      <c r="N485" s="40">
        <f>L485+M485</f>
        <v>318141.59999999998</v>
      </c>
      <c r="O485" s="40">
        <f>N485*0.000134</f>
        <v>42.630974399999999</v>
      </c>
      <c r="P485" s="40">
        <f>K485-O485</f>
        <v>1334.9690256000204</v>
      </c>
      <c r="Q485" s="14"/>
      <c r="R485" s="14"/>
      <c r="S485" s="14"/>
    </row>
    <row r="486" spans="1:19" x14ac:dyDescent="0.25">
      <c r="A486" s="51">
        <v>46189</v>
      </c>
      <c r="B486" s="9" t="s">
        <v>27</v>
      </c>
      <c r="C486" s="12">
        <v>46191</v>
      </c>
      <c r="D486" s="9" t="s">
        <v>28</v>
      </c>
      <c r="E486" s="9" t="s">
        <v>32</v>
      </c>
      <c r="F486" s="13">
        <v>76600</v>
      </c>
      <c r="G486" s="39">
        <v>280</v>
      </c>
      <c r="H486" s="45">
        <v>366.07</v>
      </c>
      <c r="I486" s="45">
        <v>138.44999999999999</v>
      </c>
      <c r="J486" s="40">
        <f>IF(D486="Short",H486-I486,I486-H486)</f>
        <v>227.62</v>
      </c>
      <c r="K486" s="40">
        <f>J486*G486</f>
        <v>63733.599999999999</v>
      </c>
      <c r="L486" s="40">
        <f>IF(D486="Short",G486*H486,G486*I486)</f>
        <v>102499.59999999999</v>
      </c>
      <c r="M486" s="40">
        <f>IF(D486="Short",G486*I486,H486*G486)</f>
        <v>38766</v>
      </c>
      <c r="N486" s="40">
        <f>L486+M486</f>
        <v>141265.59999999998</v>
      </c>
      <c r="O486" s="40">
        <f>N486*0.000134</f>
        <v>18.929590399999999</v>
      </c>
      <c r="P486" s="40">
        <f>K486-O486</f>
        <v>63714.670409599996</v>
      </c>
      <c r="Q486" s="14"/>
      <c r="R486" s="14"/>
      <c r="S486" s="14"/>
    </row>
    <row r="487" spans="1:19" x14ac:dyDescent="0.25">
      <c r="A487" s="51">
        <v>46189</v>
      </c>
      <c r="B487" s="9" t="s">
        <v>27</v>
      </c>
      <c r="C487" s="12">
        <v>46191</v>
      </c>
      <c r="D487" s="9" t="s">
        <v>30</v>
      </c>
      <c r="E487" s="9" t="s">
        <v>32</v>
      </c>
      <c r="F487" s="13">
        <v>74900</v>
      </c>
      <c r="G487" s="39">
        <v>560</v>
      </c>
      <c r="H487" s="45">
        <v>31.9</v>
      </c>
      <c r="I487" s="45">
        <v>5.3</v>
      </c>
      <c r="J487" s="40">
        <f>IF(D487="Short",H487-I487,I487-H487)</f>
        <v>-26.599999999999998</v>
      </c>
      <c r="K487" s="40">
        <f>J487*G487</f>
        <v>-14895.999999999998</v>
      </c>
      <c r="L487" s="40">
        <f>IF(D487="Short",G487*H487,G487*I487)</f>
        <v>2968</v>
      </c>
      <c r="M487" s="40">
        <f>IF(D487="Short",G487*I487,H487*G487)</f>
        <v>17864</v>
      </c>
      <c r="N487" s="40">
        <f>L487+M487</f>
        <v>20832</v>
      </c>
      <c r="O487" s="40">
        <f>N487*0.000134</f>
        <v>2.7914880000000002</v>
      </c>
      <c r="P487" s="40">
        <f>K487-O487</f>
        <v>-14898.791487999999</v>
      </c>
      <c r="Q487" s="14"/>
      <c r="R487" s="14"/>
      <c r="S487" s="14"/>
    </row>
    <row r="488" spans="1:19" x14ac:dyDescent="0.25">
      <c r="A488" s="51">
        <v>46189</v>
      </c>
      <c r="B488" s="9" t="s">
        <v>27</v>
      </c>
      <c r="C488" s="12">
        <v>46191</v>
      </c>
      <c r="D488" s="9" t="s">
        <v>28</v>
      </c>
      <c r="E488" s="9" t="s">
        <v>32</v>
      </c>
      <c r="F488" s="13">
        <v>76500</v>
      </c>
      <c r="G488" s="39">
        <v>280</v>
      </c>
      <c r="H488" s="45">
        <v>328.54</v>
      </c>
      <c r="I488" s="45">
        <v>104.36</v>
      </c>
      <c r="J488" s="40">
        <f>IF(D488="Short",H488-I488,I488-H488)</f>
        <v>224.18</v>
      </c>
      <c r="K488" s="40">
        <f>J488*G488</f>
        <v>62770.400000000001</v>
      </c>
      <c r="L488" s="40">
        <f>IF(D488="Short",G488*H488,G488*I488)</f>
        <v>91991.200000000012</v>
      </c>
      <c r="M488" s="40">
        <f>IF(D488="Short",G488*I488,H488*G488)</f>
        <v>29220.799999999999</v>
      </c>
      <c r="N488" s="40">
        <f>L488+M488</f>
        <v>121212.00000000001</v>
      </c>
      <c r="O488" s="40">
        <f>N488*0.000134</f>
        <v>16.242408000000001</v>
      </c>
      <c r="P488" s="40">
        <f>K488-O488</f>
        <v>62754.157592000003</v>
      </c>
      <c r="Q488" s="14"/>
      <c r="R488" s="14"/>
      <c r="S488" s="14"/>
    </row>
    <row r="489" spans="1:19" x14ac:dyDescent="0.25">
      <c r="A489" s="51">
        <v>46189</v>
      </c>
      <c r="B489" s="9" t="s">
        <v>27</v>
      </c>
      <c r="C489" s="12">
        <v>46191</v>
      </c>
      <c r="D489" s="9" t="s">
        <v>28</v>
      </c>
      <c r="E489" s="9" t="s">
        <v>32</v>
      </c>
      <c r="F489" s="13">
        <v>74300</v>
      </c>
      <c r="G489" s="39">
        <v>280</v>
      </c>
      <c r="H489" s="45">
        <v>15.87</v>
      </c>
      <c r="I489" s="45">
        <v>16.05</v>
      </c>
      <c r="J489" s="40">
        <f>IF(D489="Short",H489-I489,I489-H489)</f>
        <v>-0.18000000000000149</v>
      </c>
      <c r="K489" s="40">
        <f>J489*G489</f>
        <v>-50.400000000000418</v>
      </c>
      <c r="L489" s="40">
        <f>IF(D489="Short",G489*H489,G489*I489)</f>
        <v>4443.5999999999995</v>
      </c>
      <c r="M489" s="40">
        <f>IF(D489="Short",G489*I489,H489*G489)</f>
        <v>4494</v>
      </c>
      <c r="N489" s="40">
        <f>L489+M489</f>
        <v>8937.5999999999985</v>
      </c>
      <c r="O489" s="40">
        <f>N489*0.000134</f>
        <v>1.1976383999999998</v>
      </c>
      <c r="P489" s="40">
        <f>K489-O489</f>
        <v>-51.59763840000042</v>
      </c>
      <c r="Q489" s="14"/>
      <c r="R489" s="14"/>
      <c r="S489" s="14"/>
    </row>
    <row r="490" spans="1:19" x14ac:dyDescent="0.25">
      <c r="A490" s="51">
        <v>46190</v>
      </c>
      <c r="B490" s="9" t="s">
        <v>31</v>
      </c>
      <c r="C490" s="12">
        <v>46196</v>
      </c>
      <c r="D490" s="9" t="s">
        <v>30</v>
      </c>
      <c r="E490" s="9" t="s">
        <v>32</v>
      </c>
      <c r="F490" s="13">
        <v>23400</v>
      </c>
      <c r="G490" s="39">
        <v>3965</v>
      </c>
      <c r="H490" s="45">
        <v>20.37</v>
      </c>
      <c r="I490" s="45">
        <v>14.86</v>
      </c>
      <c r="J490" s="40">
        <f>IF(D490="Short",H490-I490,I490-H490)</f>
        <v>-5.5100000000000016</v>
      </c>
      <c r="K490" s="40">
        <f>J490*G490</f>
        <v>-21847.150000000005</v>
      </c>
      <c r="L490" s="40">
        <f>IF(D490="Short",G490*H490,G490*I490)</f>
        <v>58919.899999999994</v>
      </c>
      <c r="M490" s="40">
        <f>IF(D490="Short",G490*I490,H490*G490)</f>
        <v>80767.05</v>
      </c>
      <c r="N490" s="40">
        <f>L490+M490</f>
        <v>139686.95000000001</v>
      </c>
      <c r="O490" s="40">
        <f>N490*0.000134</f>
        <v>18.718051300000003</v>
      </c>
      <c r="P490" s="40">
        <f>K490-O490</f>
        <v>-21865.868051300004</v>
      </c>
      <c r="Q490" s="14"/>
      <c r="R490" s="14"/>
      <c r="S490" s="14"/>
    </row>
    <row r="491" spans="1:19" x14ac:dyDescent="0.25">
      <c r="A491" s="51">
        <v>46190</v>
      </c>
      <c r="B491" s="9" t="s">
        <v>27</v>
      </c>
      <c r="C491" s="12">
        <v>46191</v>
      </c>
      <c r="D491" s="9" t="s">
        <v>28</v>
      </c>
      <c r="E491" s="9" t="s">
        <v>29</v>
      </c>
      <c r="F491" s="13">
        <v>77900</v>
      </c>
      <c r="G491" s="39">
        <v>1140</v>
      </c>
      <c r="H491" s="45">
        <v>37.78</v>
      </c>
      <c r="I491" s="45">
        <v>37.9</v>
      </c>
      <c r="J491" s="40">
        <f>IF(D491="Short",H491-I491,I491-H491)</f>
        <v>-0.11999999999999744</v>
      </c>
      <c r="K491" s="40">
        <f>J491*G491</f>
        <v>-136.79999999999708</v>
      </c>
      <c r="L491" s="40">
        <f>IF(D491="Short",G491*H491,G491*I491)</f>
        <v>43069.200000000004</v>
      </c>
      <c r="M491" s="40">
        <f>IF(D491="Short",G491*I491,H491*G491)</f>
        <v>43206</v>
      </c>
      <c r="N491" s="40">
        <f>L491+M491</f>
        <v>86275.200000000012</v>
      </c>
      <c r="O491" s="40">
        <f>N491*0.000134</f>
        <v>11.560876800000003</v>
      </c>
      <c r="P491" s="40">
        <f>K491-O491</f>
        <v>-148.36087679999707</v>
      </c>
      <c r="Q491" s="14"/>
      <c r="R491" s="14"/>
      <c r="S491" s="14"/>
    </row>
    <row r="492" spans="1:19" x14ac:dyDescent="0.25">
      <c r="A492" s="51">
        <v>46190</v>
      </c>
      <c r="B492" s="9" t="s">
        <v>31</v>
      </c>
      <c r="C492" s="12">
        <v>46196</v>
      </c>
      <c r="D492" s="9" t="s">
        <v>30</v>
      </c>
      <c r="E492" s="9" t="s">
        <v>32</v>
      </c>
      <c r="F492" s="13">
        <v>24100</v>
      </c>
      <c r="G492" s="39">
        <v>260</v>
      </c>
      <c r="H492" s="45">
        <v>162.6</v>
      </c>
      <c r="I492" s="45">
        <v>163</v>
      </c>
      <c r="J492" s="40">
        <f>IF(D492="Short",H492-I492,I492-H492)</f>
        <v>0.40000000000000568</v>
      </c>
      <c r="K492" s="40">
        <f>J492*G492</f>
        <v>104.00000000000148</v>
      </c>
      <c r="L492" s="40">
        <f>IF(D492="Short",G492*H492,G492*I492)</f>
        <v>42380</v>
      </c>
      <c r="M492" s="40">
        <f>IF(D492="Short",G492*I492,H492*G492)</f>
        <v>42276</v>
      </c>
      <c r="N492" s="40">
        <f>L492+M492</f>
        <v>84656</v>
      </c>
      <c r="O492" s="40">
        <f>N492*0.000134</f>
        <v>11.343904</v>
      </c>
      <c r="P492" s="40">
        <f>K492-O492</f>
        <v>92.656096000001483</v>
      </c>
      <c r="Q492" s="14"/>
      <c r="R492" s="14"/>
      <c r="S492" s="14"/>
    </row>
    <row r="493" spans="1:19" x14ac:dyDescent="0.25">
      <c r="A493" s="51">
        <v>46190</v>
      </c>
      <c r="B493" s="9" t="s">
        <v>31</v>
      </c>
      <c r="C493" s="12">
        <v>46196</v>
      </c>
      <c r="D493" s="9" t="s">
        <v>28</v>
      </c>
      <c r="E493" s="9" t="s">
        <v>32</v>
      </c>
      <c r="F493" s="13">
        <v>24100</v>
      </c>
      <c r="G493" s="39">
        <v>2665</v>
      </c>
      <c r="H493" s="45">
        <v>163</v>
      </c>
      <c r="I493" s="45">
        <v>147.28</v>
      </c>
      <c r="J493" s="40">
        <f>IF(D493="Short",H493-I493,I493-H493)</f>
        <v>15.719999999999999</v>
      </c>
      <c r="K493" s="40">
        <f>J493*G493</f>
        <v>41893.799999999996</v>
      </c>
      <c r="L493" s="40">
        <f>IF(D493="Short",G493*H493,G493*I493)</f>
        <v>434395</v>
      </c>
      <c r="M493" s="40">
        <f>IF(D493="Short",G493*I493,H493*G493)</f>
        <v>392501.2</v>
      </c>
      <c r="N493" s="40">
        <f>L493+M493</f>
        <v>826896.2</v>
      </c>
      <c r="O493" s="40">
        <f>N493*0.000134</f>
        <v>110.8040908</v>
      </c>
      <c r="P493" s="40">
        <f>K493-O493</f>
        <v>41782.995909199999</v>
      </c>
      <c r="Q493" s="14"/>
      <c r="R493" s="14"/>
      <c r="S493" s="14"/>
    </row>
    <row r="494" spans="1:19" x14ac:dyDescent="0.25">
      <c r="A494" s="51">
        <v>46190</v>
      </c>
      <c r="B494" s="9" t="s">
        <v>31</v>
      </c>
      <c r="C494" s="12">
        <v>46196</v>
      </c>
      <c r="D494" s="9" t="s">
        <v>30</v>
      </c>
      <c r="E494" s="9" t="s">
        <v>32</v>
      </c>
      <c r="F494" s="13">
        <v>23600</v>
      </c>
      <c r="G494" s="39">
        <v>130</v>
      </c>
      <c r="H494" s="45">
        <v>23.1</v>
      </c>
      <c r="I494" s="45">
        <v>16.23</v>
      </c>
      <c r="J494" s="40">
        <f>IF(D494="Short",H494-I494,I494-H494)</f>
        <v>-6.870000000000001</v>
      </c>
      <c r="K494" s="40">
        <f>J494*G494</f>
        <v>-893.10000000000014</v>
      </c>
      <c r="L494" s="40">
        <f>IF(D494="Short",G494*H494,G494*I494)</f>
        <v>2109.9</v>
      </c>
      <c r="M494" s="40">
        <f>IF(D494="Short",G494*I494,H494*G494)</f>
        <v>3003</v>
      </c>
      <c r="N494" s="40">
        <f>L494+M494</f>
        <v>5112.8999999999996</v>
      </c>
      <c r="O494" s="40">
        <f>N494*0.000134</f>
        <v>0.68512859999999998</v>
      </c>
      <c r="P494" s="40">
        <f>K494-O494</f>
        <v>-893.78512860000012</v>
      </c>
      <c r="Q494" s="14"/>
      <c r="R494" s="14"/>
      <c r="S494" s="14"/>
    </row>
    <row r="495" spans="1:19" x14ac:dyDescent="0.25">
      <c r="A495" s="51">
        <v>46190</v>
      </c>
      <c r="B495" s="9" t="s">
        <v>31</v>
      </c>
      <c r="C495" s="12">
        <v>46196</v>
      </c>
      <c r="D495" s="9" t="s">
        <v>28</v>
      </c>
      <c r="E495" s="9" t="s">
        <v>32</v>
      </c>
      <c r="F495" s="13">
        <v>24000</v>
      </c>
      <c r="G495" s="39">
        <v>65</v>
      </c>
      <c r="H495" s="45">
        <v>115.95</v>
      </c>
      <c r="I495" s="45">
        <v>12.92</v>
      </c>
      <c r="J495" s="40">
        <f>IF(D495="Short",H495-I495,I495-H495)</f>
        <v>103.03</v>
      </c>
      <c r="K495" s="40">
        <f>J495*G495</f>
        <v>6696.95</v>
      </c>
      <c r="L495" s="40">
        <f>IF(D495="Short",G495*H495,G495*I495)</f>
        <v>7536.75</v>
      </c>
      <c r="M495" s="40">
        <f>IF(D495="Short",G495*I495,H495*G495)</f>
        <v>839.8</v>
      </c>
      <c r="N495" s="40">
        <f>L495+M495</f>
        <v>8376.5499999999993</v>
      </c>
      <c r="O495" s="40">
        <f>N495*0.000134</f>
        <v>1.1224577</v>
      </c>
      <c r="P495" s="40">
        <f>K495-O495</f>
        <v>6695.8275422999995</v>
      </c>
      <c r="Q495" s="14"/>
      <c r="R495" s="14"/>
      <c r="S495" s="14"/>
    </row>
    <row r="496" spans="1:19" x14ac:dyDescent="0.25">
      <c r="A496" s="51">
        <v>46190</v>
      </c>
      <c r="B496" s="9" t="s">
        <v>31</v>
      </c>
      <c r="C496" s="12">
        <v>46196</v>
      </c>
      <c r="D496" s="9" t="s">
        <v>28</v>
      </c>
      <c r="E496" s="9" t="s">
        <v>32</v>
      </c>
      <c r="F496" s="13">
        <v>24000</v>
      </c>
      <c r="G496" s="39">
        <v>2795</v>
      </c>
      <c r="H496" s="45">
        <v>173.11</v>
      </c>
      <c r="I496" s="45">
        <v>148.69999999999999</v>
      </c>
      <c r="J496" s="40">
        <f>IF(D496="Short",H496-I496,I496-H496)</f>
        <v>24.410000000000025</v>
      </c>
      <c r="K496" s="40">
        <f>J496*G496</f>
        <v>68225.95000000007</v>
      </c>
      <c r="L496" s="40">
        <f>IF(D496="Short",G496*H496,G496*I496)</f>
        <v>483842.45</v>
      </c>
      <c r="M496" s="40">
        <f>IF(D496="Short",G496*I496,H496*G496)</f>
        <v>415616.49999999994</v>
      </c>
      <c r="N496" s="40">
        <f>L496+M496</f>
        <v>899458.95</v>
      </c>
      <c r="O496" s="40">
        <f>N496*0.000134</f>
        <v>120.5274993</v>
      </c>
      <c r="P496" s="40">
        <f>K496-O496</f>
        <v>68105.422500700064</v>
      </c>
      <c r="Q496" s="14"/>
      <c r="R496" s="14"/>
      <c r="S496" s="14"/>
    </row>
    <row r="497" spans="1:19" x14ac:dyDescent="0.25">
      <c r="A497" s="51">
        <v>46190</v>
      </c>
      <c r="B497" s="9" t="s">
        <v>31</v>
      </c>
      <c r="C497" s="12">
        <v>46196</v>
      </c>
      <c r="D497" s="9" t="s">
        <v>28</v>
      </c>
      <c r="E497" s="9" t="s">
        <v>29</v>
      </c>
      <c r="F497" s="13">
        <v>24600</v>
      </c>
      <c r="G497" s="39">
        <v>1820</v>
      </c>
      <c r="H497" s="45">
        <v>17.239999999999998</v>
      </c>
      <c r="I497" s="45">
        <v>16.95</v>
      </c>
      <c r="J497" s="40">
        <f>IF(D497="Short",H497-I497,I497-H497)</f>
        <v>0.28999999999999915</v>
      </c>
      <c r="K497" s="40">
        <f>J497*G497</f>
        <v>527.79999999999848</v>
      </c>
      <c r="L497" s="40">
        <f>IF(D497="Short",G497*H497,G497*I497)</f>
        <v>31376.799999999996</v>
      </c>
      <c r="M497" s="40">
        <f>IF(D497="Short",G497*I497,H497*G497)</f>
        <v>30849</v>
      </c>
      <c r="N497" s="40">
        <f>L497+M497</f>
        <v>62225.799999999996</v>
      </c>
      <c r="O497" s="40">
        <f>N497*0.000134</f>
        <v>8.3382571999999993</v>
      </c>
      <c r="P497" s="40">
        <f>K497-O497</f>
        <v>519.46174279999843</v>
      </c>
      <c r="Q497" s="14"/>
      <c r="R497" s="14"/>
      <c r="S497" s="14"/>
    </row>
    <row r="498" spans="1:19" x14ac:dyDescent="0.25">
      <c r="A498" s="51">
        <v>46190</v>
      </c>
      <c r="B498" s="9" t="s">
        <v>27</v>
      </c>
      <c r="C498" s="12">
        <v>46191</v>
      </c>
      <c r="D498" s="9" t="s">
        <v>28</v>
      </c>
      <c r="E498" s="9" t="s">
        <v>32</v>
      </c>
      <c r="F498" s="13">
        <v>77200</v>
      </c>
      <c r="G498" s="39">
        <v>280</v>
      </c>
      <c r="H498" s="45">
        <v>242.93</v>
      </c>
      <c r="I498" s="45">
        <v>96.99</v>
      </c>
      <c r="J498" s="40">
        <f>IF(D498="Short",H498-I498,I498-H498)</f>
        <v>145.94</v>
      </c>
      <c r="K498" s="40">
        <f>J498*G498</f>
        <v>40863.199999999997</v>
      </c>
      <c r="L498" s="40">
        <f>IF(D498="Short",G498*H498,G498*I498)</f>
        <v>68020.400000000009</v>
      </c>
      <c r="M498" s="40">
        <f>IF(D498="Short",G498*I498,H498*G498)</f>
        <v>27157.199999999997</v>
      </c>
      <c r="N498" s="40">
        <f>L498+M498</f>
        <v>95177.600000000006</v>
      </c>
      <c r="O498" s="40">
        <f>N498*0.000134</f>
        <v>12.753798400000001</v>
      </c>
      <c r="P498" s="40">
        <f>K498-O498</f>
        <v>40850.446201599996</v>
      </c>
      <c r="Q498" s="14"/>
      <c r="R498" s="14"/>
      <c r="S498" s="14"/>
    </row>
    <row r="499" spans="1:19" x14ac:dyDescent="0.25">
      <c r="A499" s="51">
        <v>46190</v>
      </c>
      <c r="B499" s="9" t="s">
        <v>27</v>
      </c>
      <c r="C499" s="12">
        <v>46191</v>
      </c>
      <c r="D499" s="9" t="s">
        <v>30</v>
      </c>
      <c r="E499" s="9" t="s">
        <v>32</v>
      </c>
      <c r="F499" s="13">
        <v>76200</v>
      </c>
      <c r="G499" s="39">
        <v>780</v>
      </c>
      <c r="H499" s="45">
        <v>20.89</v>
      </c>
      <c r="I499" s="45">
        <v>5</v>
      </c>
      <c r="J499" s="40">
        <f>IF(D499="Short",H499-I499,I499-H499)</f>
        <v>-15.89</v>
      </c>
      <c r="K499" s="40">
        <f>J499*G499</f>
        <v>-12394.2</v>
      </c>
      <c r="L499" s="40">
        <f>IF(D499="Short",G499*H499,G499*I499)</f>
        <v>3900</v>
      </c>
      <c r="M499" s="40">
        <f>IF(D499="Short",G499*I499,H499*G499)</f>
        <v>16294.2</v>
      </c>
      <c r="N499" s="40">
        <f>L499+M499</f>
        <v>20194.2</v>
      </c>
      <c r="O499" s="40">
        <f>N499*0.000134</f>
        <v>2.7060228000000004</v>
      </c>
      <c r="P499" s="40">
        <f>K499-O499</f>
        <v>-12396.9060228</v>
      </c>
      <c r="Q499" s="14"/>
      <c r="R499" s="14"/>
      <c r="S499" s="14"/>
    </row>
    <row r="500" spans="1:19" x14ac:dyDescent="0.25">
      <c r="A500" s="51">
        <v>46190</v>
      </c>
      <c r="B500" s="9" t="s">
        <v>31</v>
      </c>
      <c r="C500" s="12">
        <v>46196</v>
      </c>
      <c r="D500" s="9" t="s">
        <v>30</v>
      </c>
      <c r="E500" s="9" t="s">
        <v>29</v>
      </c>
      <c r="F500" s="13">
        <v>24000</v>
      </c>
      <c r="G500" s="39">
        <v>910</v>
      </c>
      <c r="H500" s="45">
        <v>188.21</v>
      </c>
      <c r="I500" s="45">
        <v>164.27</v>
      </c>
      <c r="J500" s="40">
        <f>IF(D500="Short",H500-I500,I500-H500)</f>
        <v>-23.939999999999998</v>
      </c>
      <c r="K500" s="40">
        <f>J500*G500</f>
        <v>-21785.399999999998</v>
      </c>
      <c r="L500" s="40">
        <f>IF(D500="Short",G500*H500,G500*I500)</f>
        <v>149485.70000000001</v>
      </c>
      <c r="M500" s="40">
        <f>IF(D500="Short",G500*I500,H500*G500)</f>
        <v>171271.1</v>
      </c>
      <c r="N500" s="40">
        <f>L500+M500</f>
        <v>320756.80000000005</v>
      </c>
      <c r="O500" s="40">
        <f>N500*0.000134</f>
        <v>42.981411200000011</v>
      </c>
      <c r="P500" s="40">
        <f>K500-O500</f>
        <v>-21828.381411199996</v>
      </c>
      <c r="Q500" s="14"/>
      <c r="R500" s="14"/>
      <c r="S500" s="14"/>
    </row>
    <row r="501" spans="1:19" x14ac:dyDescent="0.25">
      <c r="A501" s="51">
        <v>46190</v>
      </c>
      <c r="B501" s="9" t="s">
        <v>27</v>
      </c>
      <c r="C501" s="12">
        <v>46191</v>
      </c>
      <c r="D501" s="9" t="s">
        <v>30</v>
      </c>
      <c r="E501" s="9" t="s">
        <v>29</v>
      </c>
      <c r="F501" s="13">
        <v>77000</v>
      </c>
      <c r="G501" s="39">
        <v>560</v>
      </c>
      <c r="H501" s="45">
        <v>350.21</v>
      </c>
      <c r="I501" s="45">
        <v>275.17</v>
      </c>
      <c r="J501" s="40">
        <f>IF(D501="Short",H501-I501,I501-H501)</f>
        <v>-75.039999999999964</v>
      </c>
      <c r="K501" s="40">
        <f>J501*G501</f>
        <v>-42022.39999999998</v>
      </c>
      <c r="L501" s="40">
        <f>IF(D501="Short",G501*H501,G501*I501)</f>
        <v>154095.20000000001</v>
      </c>
      <c r="M501" s="40">
        <f>IF(D501="Short",G501*I501,H501*G501)</f>
        <v>196117.59999999998</v>
      </c>
      <c r="N501" s="40">
        <f>L501+M501</f>
        <v>350212.8</v>
      </c>
      <c r="O501" s="40">
        <f>N501*0.000134</f>
        <v>46.9285152</v>
      </c>
      <c r="P501" s="40">
        <f>K501-O501</f>
        <v>-42069.328515199981</v>
      </c>
      <c r="Q501" s="14"/>
      <c r="R501" s="14"/>
      <c r="S501" s="14"/>
    </row>
    <row r="502" spans="1:19" x14ac:dyDescent="0.25">
      <c r="A502" s="51">
        <v>46190</v>
      </c>
      <c r="B502" s="9" t="s">
        <v>31</v>
      </c>
      <c r="C502" s="12">
        <v>46196</v>
      </c>
      <c r="D502" s="9" t="s">
        <v>30</v>
      </c>
      <c r="E502" s="9" t="s">
        <v>32</v>
      </c>
      <c r="F502" s="13">
        <v>23400</v>
      </c>
      <c r="G502" s="39">
        <v>1235</v>
      </c>
      <c r="H502" s="45">
        <v>10.73</v>
      </c>
      <c r="I502" s="45">
        <v>6.26</v>
      </c>
      <c r="J502" s="40">
        <f>IF(D502="Short",H502-I502,I502-H502)</f>
        <v>-4.4700000000000006</v>
      </c>
      <c r="K502" s="40">
        <f>J502*G502</f>
        <v>-5520.4500000000007</v>
      </c>
      <c r="L502" s="40">
        <f>IF(D502="Short",G502*H502,G502*I502)</f>
        <v>7731.0999999999995</v>
      </c>
      <c r="M502" s="40">
        <f>IF(D502="Short",G502*I502,H502*G502)</f>
        <v>13251.550000000001</v>
      </c>
      <c r="N502" s="40">
        <f>L502+M502</f>
        <v>20982.65</v>
      </c>
      <c r="O502" s="40">
        <f>N502*0.000134</f>
        <v>2.8116751000000004</v>
      </c>
      <c r="P502" s="40">
        <f>K502-O502</f>
        <v>-5523.2616751000005</v>
      </c>
      <c r="Q502" s="14"/>
      <c r="R502" s="14"/>
      <c r="S502" s="14"/>
    </row>
    <row r="503" spans="1:19" x14ac:dyDescent="0.25">
      <c r="A503" s="51">
        <v>46190</v>
      </c>
      <c r="B503" s="9" t="s">
        <v>31</v>
      </c>
      <c r="C503" s="12">
        <v>46196</v>
      </c>
      <c r="D503" s="9" t="s">
        <v>30</v>
      </c>
      <c r="E503" s="9" t="s">
        <v>29</v>
      </c>
      <c r="F503" s="13">
        <v>24050</v>
      </c>
      <c r="G503" s="39">
        <v>1820</v>
      </c>
      <c r="H503" s="45">
        <v>166.69</v>
      </c>
      <c r="I503" s="45">
        <v>148.57</v>
      </c>
      <c r="J503" s="40">
        <f>IF(D503="Short",H503-I503,I503-H503)</f>
        <v>-18.120000000000005</v>
      </c>
      <c r="K503" s="40">
        <f>J503*G503</f>
        <v>-32978.400000000009</v>
      </c>
      <c r="L503" s="40">
        <f>IF(D503="Short",G503*H503,G503*I503)</f>
        <v>270397.39999999997</v>
      </c>
      <c r="M503" s="40">
        <f>IF(D503="Short",G503*I503,H503*G503)</f>
        <v>303375.8</v>
      </c>
      <c r="N503" s="40">
        <f>L503+M503</f>
        <v>573773.19999999995</v>
      </c>
      <c r="O503" s="40">
        <f>N503*0.000134</f>
        <v>76.8856088</v>
      </c>
      <c r="P503" s="40">
        <f>K503-O503</f>
        <v>-33055.285608800012</v>
      </c>
      <c r="Q503" s="14"/>
      <c r="R503" s="14"/>
      <c r="S503" s="14"/>
    </row>
    <row r="504" spans="1:19" x14ac:dyDescent="0.25">
      <c r="A504" s="51">
        <v>46190</v>
      </c>
      <c r="B504" s="9" t="s">
        <v>27</v>
      </c>
      <c r="C504" s="12">
        <v>46191</v>
      </c>
      <c r="D504" s="9" t="s">
        <v>28</v>
      </c>
      <c r="E504" s="9" t="s">
        <v>32</v>
      </c>
      <c r="F504" s="13">
        <v>77100</v>
      </c>
      <c r="G504" s="39">
        <v>560</v>
      </c>
      <c r="H504" s="45">
        <v>188.87</v>
      </c>
      <c r="I504" s="45">
        <v>118.36</v>
      </c>
      <c r="J504" s="40">
        <f>IF(D504="Short",H504-I504,I504-H504)</f>
        <v>70.510000000000005</v>
      </c>
      <c r="K504" s="40">
        <f>J504*G504</f>
        <v>39485.600000000006</v>
      </c>
      <c r="L504" s="40">
        <f>IF(D504="Short",G504*H504,G504*I504)</f>
        <v>105767.2</v>
      </c>
      <c r="M504" s="40">
        <f>IF(D504="Short",G504*I504,H504*G504)</f>
        <v>66281.600000000006</v>
      </c>
      <c r="N504" s="40">
        <f>L504+M504</f>
        <v>172048.8</v>
      </c>
      <c r="O504" s="40">
        <f>N504*0.000134</f>
        <v>23.054539200000001</v>
      </c>
      <c r="P504" s="40">
        <f>K504-O504</f>
        <v>39462.545460800007</v>
      </c>
      <c r="Q504" s="14"/>
      <c r="R504" s="14"/>
      <c r="S504" s="14"/>
    </row>
    <row r="505" spans="1:19" x14ac:dyDescent="0.25">
      <c r="A505" s="51">
        <v>46190</v>
      </c>
      <c r="B505" s="9" t="s">
        <v>27</v>
      </c>
      <c r="C505" s="12">
        <v>46191</v>
      </c>
      <c r="D505" s="9" t="s">
        <v>30</v>
      </c>
      <c r="E505" s="9" t="s">
        <v>29</v>
      </c>
      <c r="F505" s="13">
        <v>76900</v>
      </c>
      <c r="G505" s="39">
        <v>280</v>
      </c>
      <c r="H505" s="45">
        <v>414.06</v>
      </c>
      <c r="I505" s="45">
        <v>302.31</v>
      </c>
      <c r="J505" s="40">
        <f>IF(D505="Short",H505-I505,I505-H505)</f>
        <v>-111.75</v>
      </c>
      <c r="K505" s="40">
        <f>J505*G505</f>
        <v>-31290</v>
      </c>
      <c r="L505" s="40">
        <f>IF(D505="Short",G505*H505,G505*I505)</f>
        <v>84646.8</v>
      </c>
      <c r="M505" s="40">
        <f>IF(D505="Short",G505*I505,H505*G505)</f>
        <v>115936.8</v>
      </c>
      <c r="N505" s="40">
        <f>L505+M505</f>
        <v>200583.6</v>
      </c>
      <c r="O505" s="40">
        <f>N505*0.000134</f>
        <v>26.878202400000003</v>
      </c>
      <c r="P505" s="40">
        <f>K505-O505</f>
        <v>-31316.878202399999</v>
      </c>
      <c r="Q505" s="14"/>
      <c r="R505" s="14"/>
      <c r="S505" s="14"/>
    </row>
    <row r="506" spans="1:19" x14ac:dyDescent="0.25">
      <c r="A506" s="51">
        <v>46191</v>
      </c>
      <c r="B506" s="9" t="s">
        <v>31</v>
      </c>
      <c r="C506" s="12">
        <v>46196</v>
      </c>
      <c r="D506" s="9" t="s">
        <v>30</v>
      </c>
      <c r="E506" s="9" t="s">
        <v>32</v>
      </c>
      <c r="F506" s="13">
        <v>23600</v>
      </c>
      <c r="G506" s="39">
        <v>2210</v>
      </c>
      <c r="H506" s="45">
        <v>23.1</v>
      </c>
      <c r="I506" s="45">
        <v>9.7200000000000006</v>
      </c>
      <c r="J506" s="40">
        <f>IF(D506="Short",H506-I506,I506-H506)</f>
        <v>-13.38</v>
      </c>
      <c r="K506" s="40">
        <f>J506*G506</f>
        <v>-29569.800000000003</v>
      </c>
      <c r="L506" s="40">
        <f>IF(D506="Short",G506*H506,G506*I506)</f>
        <v>21481.200000000001</v>
      </c>
      <c r="M506" s="40">
        <f>IF(D506="Short",G506*I506,H506*G506)</f>
        <v>51051</v>
      </c>
      <c r="N506" s="40">
        <f>L506+M506</f>
        <v>72532.2</v>
      </c>
      <c r="O506" s="40">
        <f>N506*0.000134</f>
        <v>9.7193147999999994</v>
      </c>
      <c r="P506" s="40">
        <f>K506-O506</f>
        <v>-29579.519314800003</v>
      </c>
      <c r="Q506" s="14"/>
      <c r="R506" s="14"/>
      <c r="S506" s="14"/>
    </row>
    <row r="507" spans="1:19" x14ac:dyDescent="0.25">
      <c r="A507" s="51">
        <v>46191</v>
      </c>
      <c r="B507" s="9" t="s">
        <v>31</v>
      </c>
      <c r="C507" s="12">
        <v>46196</v>
      </c>
      <c r="D507" s="9" t="s">
        <v>28</v>
      </c>
      <c r="E507" s="9" t="s">
        <v>29</v>
      </c>
      <c r="F507" s="13">
        <v>24500</v>
      </c>
      <c r="G507" s="39">
        <v>1820</v>
      </c>
      <c r="H507" s="45">
        <v>22.43</v>
      </c>
      <c r="I507" s="45">
        <v>15.4</v>
      </c>
      <c r="J507" s="40">
        <f>IF(D507="Short",H507-I507,I507-H507)</f>
        <v>7.0299999999999994</v>
      </c>
      <c r="K507" s="40">
        <f>J507*G507</f>
        <v>12794.599999999999</v>
      </c>
      <c r="L507" s="40">
        <f>IF(D507="Short",G507*H507,G507*I507)</f>
        <v>40822.6</v>
      </c>
      <c r="M507" s="40">
        <f>IF(D507="Short",G507*I507,H507*G507)</f>
        <v>28028</v>
      </c>
      <c r="N507" s="40">
        <f>L507+M507</f>
        <v>68850.600000000006</v>
      </c>
      <c r="O507" s="40">
        <f>N507*0.000134</f>
        <v>9.225980400000001</v>
      </c>
      <c r="P507" s="40">
        <f>K507-O507</f>
        <v>12785.374019599998</v>
      </c>
      <c r="Q507" s="14"/>
      <c r="R507" s="14"/>
      <c r="S507" s="14"/>
    </row>
    <row r="508" spans="1:19" x14ac:dyDescent="0.25">
      <c r="A508" s="51">
        <v>46191</v>
      </c>
      <c r="B508" s="9" t="s">
        <v>27</v>
      </c>
      <c r="C508" s="12">
        <v>46198</v>
      </c>
      <c r="D508" s="9" t="s">
        <v>28</v>
      </c>
      <c r="E508" s="9" t="s">
        <v>32</v>
      </c>
      <c r="F508" s="13">
        <v>77300</v>
      </c>
      <c r="G508" s="39">
        <v>940</v>
      </c>
      <c r="H508" s="45">
        <v>412.31</v>
      </c>
      <c r="I508" s="45">
        <v>847.01</v>
      </c>
      <c r="J508" s="40">
        <f>IF(D508="Short",H508-I508,I508-H508)</f>
        <v>-434.7</v>
      </c>
      <c r="K508" s="40">
        <f>J508*G508</f>
        <v>-408618</v>
      </c>
      <c r="L508" s="40">
        <f>IF(D508="Short",G508*H508,G508*I508)</f>
        <v>387571.4</v>
      </c>
      <c r="M508" s="40">
        <f>IF(D508="Short",G508*I508,H508*G508)</f>
        <v>796189.4</v>
      </c>
      <c r="N508" s="40">
        <f>L508+M508</f>
        <v>1183760.8</v>
      </c>
      <c r="O508" s="40">
        <f>N508*0.000134</f>
        <v>158.6239472</v>
      </c>
      <c r="P508" s="40">
        <f>K508-O508</f>
        <v>-408776.62394720002</v>
      </c>
      <c r="Q508" s="14"/>
      <c r="R508" s="14"/>
      <c r="S508" s="14"/>
    </row>
    <row r="509" spans="1:19" x14ac:dyDescent="0.25">
      <c r="A509" s="51">
        <v>46191</v>
      </c>
      <c r="B509" s="9" t="s">
        <v>27</v>
      </c>
      <c r="C509" s="12">
        <v>46198</v>
      </c>
      <c r="D509" s="9" t="s">
        <v>30</v>
      </c>
      <c r="E509" s="9" t="s">
        <v>32</v>
      </c>
      <c r="F509" s="13">
        <v>75200</v>
      </c>
      <c r="G509" s="39">
        <v>2420</v>
      </c>
      <c r="H509" s="45">
        <v>37.369999999999997</v>
      </c>
      <c r="I509" s="45">
        <v>103.68</v>
      </c>
      <c r="J509" s="40">
        <f>IF(D509="Short",H509-I509,I509-H509)</f>
        <v>66.31</v>
      </c>
      <c r="K509" s="40">
        <f>J509*G509</f>
        <v>160470.20000000001</v>
      </c>
      <c r="L509" s="40">
        <f>IF(D509="Short",G509*H509,G509*I509)</f>
        <v>250905.60000000001</v>
      </c>
      <c r="M509" s="40">
        <f>IF(D509="Short",G509*I509,H509*G509)</f>
        <v>90435.4</v>
      </c>
      <c r="N509" s="40">
        <f>L509+M509</f>
        <v>341341</v>
      </c>
      <c r="O509" s="40">
        <f>N509*0.000134</f>
        <v>45.739694</v>
      </c>
      <c r="P509" s="40">
        <f>K509-O509</f>
        <v>160424.46030600002</v>
      </c>
      <c r="Q509" s="14"/>
      <c r="R509" s="14"/>
      <c r="S509" s="14"/>
    </row>
    <row r="510" spans="1:19" x14ac:dyDescent="0.25">
      <c r="A510" s="51">
        <v>46191</v>
      </c>
      <c r="B510" s="9" t="s">
        <v>31</v>
      </c>
      <c r="C510" s="12">
        <v>46196</v>
      </c>
      <c r="D510" s="9" t="s">
        <v>28</v>
      </c>
      <c r="E510" s="9" t="s">
        <v>32</v>
      </c>
      <c r="F510" s="13">
        <v>24150</v>
      </c>
      <c r="G510" s="39">
        <v>2730</v>
      </c>
      <c r="H510" s="45">
        <v>114.95</v>
      </c>
      <c r="I510" s="45">
        <v>219.67</v>
      </c>
      <c r="J510" s="40">
        <f>IF(D510="Short",H510-I510,I510-H510)</f>
        <v>-104.71999999999998</v>
      </c>
      <c r="K510" s="40">
        <f>J510*G510</f>
        <v>-285885.59999999998</v>
      </c>
      <c r="L510" s="40">
        <f>IF(D510="Short",G510*H510,G510*I510)</f>
        <v>313813.5</v>
      </c>
      <c r="M510" s="40">
        <f>IF(D510="Short",G510*I510,H510*G510)</f>
        <v>599699.1</v>
      </c>
      <c r="N510" s="40">
        <f>L510+M510</f>
        <v>913512.6</v>
      </c>
      <c r="O510" s="40">
        <f>N510*0.000134</f>
        <v>122.4106884</v>
      </c>
      <c r="P510" s="40">
        <f>K510-O510</f>
        <v>-286008.01068839995</v>
      </c>
      <c r="Q510" s="14"/>
      <c r="R510" s="14"/>
      <c r="S510" s="14"/>
    </row>
    <row r="511" spans="1:19" x14ac:dyDescent="0.25">
      <c r="A511" s="51">
        <v>46191</v>
      </c>
      <c r="B511" s="9" t="s">
        <v>31</v>
      </c>
      <c r="C511" s="12">
        <v>46196</v>
      </c>
      <c r="D511" s="9" t="s">
        <v>30</v>
      </c>
      <c r="E511" s="9" t="s">
        <v>32</v>
      </c>
      <c r="F511" s="13">
        <v>23800</v>
      </c>
      <c r="G511" s="39">
        <v>5200</v>
      </c>
      <c r="H511" s="45">
        <v>17.989999999999998</v>
      </c>
      <c r="I511" s="45">
        <v>46.05</v>
      </c>
      <c r="J511" s="40">
        <f>IF(D511="Short",H511-I511,I511-H511)</f>
        <v>28.06</v>
      </c>
      <c r="K511" s="40">
        <f>J511*G511</f>
        <v>145912</v>
      </c>
      <c r="L511" s="40">
        <f>IF(D511="Short",G511*H511,G511*I511)</f>
        <v>239459.99999999997</v>
      </c>
      <c r="M511" s="40">
        <f>IF(D511="Short",G511*I511,H511*G511)</f>
        <v>93547.999999999985</v>
      </c>
      <c r="N511" s="40">
        <f>L511+M511</f>
        <v>333007.99999999994</v>
      </c>
      <c r="O511" s="40">
        <f>N511*0.000134</f>
        <v>44.623071999999993</v>
      </c>
      <c r="P511" s="40">
        <f>K511-O511</f>
        <v>145867.37692800001</v>
      </c>
      <c r="Q511" s="14"/>
      <c r="R511" s="14"/>
      <c r="S511" s="14"/>
    </row>
    <row r="512" spans="1:19" x14ac:dyDescent="0.25">
      <c r="A512" s="51">
        <v>46191</v>
      </c>
      <c r="B512" s="9" t="s">
        <v>27</v>
      </c>
      <c r="C512" s="12">
        <v>46198</v>
      </c>
      <c r="D512" s="9" t="s">
        <v>28</v>
      </c>
      <c r="E512" s="9" t="s">
        <v>32</v>
      </c>
      <c r="F512" s="13">
        <v>77400</v>
      </c>
      <c r="G512" s="39">
        <v>280</v>
      </c>
      <c r="H512" s="45">
        <v>438.71</v>
      </c>
      <c r="I512" s="45">
        <v>920.91</v>
      </c>
      <c r="J512" s="40">
        <f>IF(D512="Short",H512-I512,I512-H512)</f>
        <v>-482.2</v>
      </c>
      <c r="K512" s="40">
        <f>J512*G512</f>
        <v>-135016</v>
      </c>
      <c r="L512" s="40">
        <f>IF(D512="Short",G512*H512,G512*I512)</f>
        <v>122838.79999999999</v>
      </c>
      <c r="M512" s="40">
        <f>IF(D512="Short",G512*I512,H512*G512)</f>
        <v>257854.8</v>
      </c>
      <c r="N512" s="40">
        <f>L512+M512</f>
        <v>380693.6</v>
      </c>
      <c r="O512" s="40">
        <f>N512*0.000134</f>
        <v>51.0129424</v>
      </c>
      <c r="P512" s="40">
        <f>K512-O512</f>
        <v>-135067.0129424</v>
      </c>
      <c r="Q512" s="14"/>
      <c r="R512" s="14"/>
      <c r="S512" s="14"/>
    </row>
    <row r="513" spans="1:19" x14ac:dyDescent="0.25">
      <c r="A513" s="51">
        <v>46191</v>
      </c>
      <c r="B513" s="9" t="s">
        <v>27</v>
      </c>
      <c r="C513" s="12">
        <v>46198</v>
      </c>
      <c r="D513" s="9" t="s">
        <v>30</v>
      </c>
      <c r="E513" s="9" t="s">
        <v>32</v>
      </c>
      <c r="F513" s="13">
        <v>75500</v>
      </c>
      <c r="G513" s="39">
        <v>180</v>
      </c>
      <c r="H513" s="45">
        <v>43.68</v>
      </c>
      <c r="I513" s="45">
        <v>10.92</v>
      </c>
      <c r="J513" s="40">
        <f>IF(D513="Short",H513-I513,I513-H513)</f>
        <v>-32.76</v>
      </c>
      <c r="K513" s="40">
        <f>J513*G513</f>
        <v>-5896.7999999999993</v>
      </c>
      <c r="L513" s="40">
        <f>IF(D513="Short",G513*H513,G513*I513)</f>
        <v>1965.6</v>
      </c>
      <c r="M513" s="40">
        <f>IF(D513="Short",G513*I513,H513*G513)</f>
        <v>7862.4</v>
      </c>
      <c r="N513" s="40">
        <f>L513+M513</f>
        <v>9828</v>
      </c>
      <c r="O513" s="40">
        <f>N513*0.000134</f>
        <v>1.3169520000000001</v>
      </c>
      <c r="P513" s="40">
        <f>K513-O513</f>
        <v>-5898.1169519999994</v>
      </c>
      <c r="Q513" s="14"/>
      <c r="R513" s="14"/>
      <c r="S513" s="14"/>
    </row>
    <row r="514" spans="1:19" x14ac:dyDescent="0.25">
      <c r="A514" s="51">
        <v>46191</v>
      </c>
      <c r="B514" s="9" t="s">
        <v>27</v>
      </c>
      <c r="C514" s="12">
        <v>46198</v>
      </c>
      <c r="D514" s="9" t="s">
        <v>30</v>
      </c>
      <c r="E514" s="9" t="s">
        <v>29</v>
      </c>
      <c r="F514" s="13">
        <v>77400</v>
      </c>
      <c r="G514" s="39">
        <v>280</v>
      </c>
      <c r="H514" s="45">
        <v>546.53</v>
      </c>
      <c r="I514" s="45">
        <v>282.68</v>
      </c>
      <c r="J514" s="40">
        <f>IF(D514="Short",H514-I514,I514-H514)</f>
        <v>-263.84999999999997</v>
      </c>
      <c r="K514" s="40">
        <f>J514*G514</f>
        <v>-73877.999999999985</v>
      </c>
      <c r="L514" s="40">
        <f>IF(D514="Short",G514*H514,G514*I514)</f>
        <v>79150.400000000009</v>
      </c>
      <c r="M514" s="40">
        <f>IF(D514="Short",G514*I514,H514*G514)</f>
        <v>153028.4</v>
      </c>
      <c r="N514" s="40">
        <f>L514+M514</f>
        <v>232178.8</v>
      </c>
      <c r="O514" s="40">
        <f>N514*0.000134</f>
        <v>31.111959200000001</v>
      </c>
      <c r="P514" s="40">
        <f>K514-O514</f>
        <v>-73909.111959199989</v>
      </c>
      <c r="Q514" s="14"/>
      <c r="R514" s="14"/>
      <c r="S514" s="14"/>
    </row>
    <row r="515" spans="1:19" x14ac:dyDescent="0.25">
      <c r="A515" s="51">
        <v>46191</v>
      </c>
      <c r="B515" s="9" t="s">
        <v>31</v>
      </c>
      <c r="C515" s="12">
        <v>46196</v>
      </c>
      <c r="D515" s="9" t="s">
        <v>30</v>
      </c>
      <c r="E515" s="9" t="s">
        <v>29</v>
      </c>
      <c r="F515" s="13">
        <v>24150</v>
      </c>
      <c r="G515" s="39">
        <v>2210</v>
      </c>
      <c r="H515" s="45">
        <v>131.74</v>
      </c>
      <c r="I515" s="45">
        <v>58.82</v>
      </c>
      <c r="J515" s="40">
        <f>IF(D515="Short",H515-I515,I515-H515)</f>
        <v>-72.920000000000016</v>
      </c>
      <c r="K515" s="40">
        <f>J515*G515</f>
        <v>-161153.20000000004</v>
      </c>
      <c r="L515" s="40">
        <f>IF(D515="Short",G515*H515,G515*I515)</f>
        <v>129992.2</v>
      </c>
      <c r="M515" s="40">
        <f>IF(D515="Short",G515*I515,H515*G515)</f>
        <v>291145.40000000002</v>
      </c>
      <c r="N515" s="40">
        <f>L515+M515</f>
        <v>421137.60000000003</v>
      </c>
      <c r="O515" s="40">
        <f>N515*0.000134</f>
        <v>56.432438400000009</v>
      </c>
      <c r="P515" s="40">
        <f>K515-O515</f>
        <v>-161209.63243840003</v>
      </c>
      <c r="Q515" s="14"/>
      <c r="R515" s="14"/>
      <c r="S515" s="14"/>
    </row>
    <row r="516" spans="1:19" x14ac:dyDescent="0.25">
      <c r="A516" s="51">
        <v>46191</v>
      </c>
      <c r="B516" s="9" t="s">
        <v>27</v>
      </c>
      <c r="C516" s="12">
        <v>46198</v>
      </c>
      <c r="D516" s="9" t="s">
        <v>30</v>
      </c>
      <c r="E516" s="9" t="s">
        <v>29</v>
      </c>
      <c r="F516" s="13">
        <v>77300</v>
      </c>
      <c r="G516" s="39">
        <v>420</v>
      </c>
      <c r="H516" s="45">
        <v>580.99</v>
      </c>
      <c r="I516" s="45">
        <v>312.39</v>
      </c>
      <c r="J516" s="40">
        <f>IF(D516="Short",H516-I516,I516-H516)</f>
        <v>-268.60000000000002</v>
      </c>
      <c r="K516" s="40">
        <f>J516*G516</f>
        <v>-112812.00000000001</v>
      </c>
      <c r="L516" s="40">
        <f>IF(D516="Short",G516*H516,G516*I516)</f>
        <v>131203.79999999999</v>
      </c>
      <c r="M516" s="40">
        <f>IF(D516="Short",G516*I516,H516*G516)</f>
        <v>244015.80000000002</v>
      </c>
      <c r="N516" s="40">
        <f>L516+M516</f>
        <v>375219.6</v>
      </c>
      <c r="O516" s="40">
        <f>N516*0.000134</f>
        <v>50.279426399999998</v>
      </c>
      <c r="P516" s="40">
        <f>K516-O516</f>
        <v>-112862.27942640001</v>
      </c>
      <c r="Q516" s="14"/>
      <c r="R516" s="14"/>
      <c r="S516" s="14"/>
    </row>
    <row r="517" spans="1:19" x14ac:dyDescent="0.25">
      <c r="A517" s="51">
        <v>46191</v>
      </c>
      <c r="B517" s="9" t="s">
        <v>31</v>
      </c>
      <c r="C517" s="12">
        <v>46196</v>
      </c>
      <c r="D517" s="9" t="s">
        <v>30</v>
      </c>
      <c r="E517" s="9" t="s">
        <v>29</v>
      </c>
      <c r="F517" s="13">
        <v>24150</v>
      </c>
      <c r="G517" s="39">
        <v>1170</v>
      </c>
      <c r="H517" s="45">
        <v>131.74</v>
      </c>
      <c r="I517" s="45">
        <v>133.16</v>
      </c>
      <c r="J517" s="40">
        <f>IF(D517="Short",H517-I517,I517-H517)</f>
        <v>1.4199999999999875</v>
      </c>
      <c r="K517" s="40">
        <f>J517*G517</f>
        <v>1661.3999999999853</v>
      </c>
      <c r="L517" s="40">
        <f>IF(D517="Short",G517*H517,G517*I517)</f>
        <v>155797.19999999998</v>
      </c>
      <c r="M517" s="40">
        <f>IF(D517="Short",G517*I517,H517*G517)</f>
        <v>154135.80000000002</v>
      </c>
      <c r="N517" s="40">
        <f>L517+M517</f>
        <v>309933</v>
      </c>
      <c r="O517" s="40">
        <f>N517*0.000134</f>
        <v>41.531022</v>
      </c>
      <c r="P517" s="40">
        <f>K517-O517</f>
        <v>1619.8689779999854</v>
      </c>
      <c r="Q517" s="14"/>
      <c r="R517" s="14"/>
      <c r="S517" s="14"/>
    </row>
    <row r="518" spans="1:19" x14ac:dyDescent="0.25">
      <c r="A518" s="51">
        <v>46191</v>
      </c>
      <c r="B518" s="9" t="s">
        <v>31</v>
      </c>
      <c r="C518" s="12">
        <v>46196</v>
      </c>
      <c r="D518" s="9" t="s">
        <v>30</v>
      </c>
      <c r="E518" s="9" t="s">
        <v>29</v>
      </c>
      <c r="F518" s="13">
        <v>24100</v>
      </c>
      <c r="G518" s="39">
        <v>3380</v>
      </c>
      <c r="H518" s="45">
        <v>140.57</v>
      </c>
      <c r="I518" s="45">
        <v>111.8</v>
      </c>
      <c r="J518" s="40">
        <f>IF(D518="Short",H518-I518,I518-H518)</f>
        <v>-28.769999999999996</v>
      </c>
      <c r="K518" s="40">
        <f>J518*G518</f>
        <v>-97242.599999999991</v>
      </c>
      <c r="L518" s="40">
        <f>IF(D518="Short",G518*H518,G518*I518)</f>
        <v>377884</v>
      </c>
      <c r="M518" s="40">
        <f>IF(D518="Short",G518*I518,H518*G518)</f>
        <v>475126.6</v>
      </c>
      <c r="N518" s="40">
        <f>L518+M518</f>
        <v>853010.6</v>
      </c>
      <c r="O518" s="40">
        <f>N518*0.000134</f>
        <v>114.30342040000001</v>
      </c>
      <c r="P518" s="40">
        <f>K518-O518</f>
        <v>-97356.903420399991</v>
      </c>
      <c r="Q518" s="14"/>
      <c r="R518" s="14"/>
      <c r="S518" s="14"/>
    </row>
    <row r="519" spans="1:19" x14ac:dyDescent="0.25">
      <c r="A519" s="51">
        <v>46191</v>
      </c>
      <c r="B519" s="9" t="s">
        <v>27</v>
      </c>
      <c r="C519" s="12">
        <v>46191</v>
      </c>
      <c r="D519" s="9" t="s">
        <v>28</v>
      </c>
      <c r="E519" s="9" t="s">
        <v>32</v>
      </c>
      <c r="F519" s="13">
        <v>76900</v>
      </c>
      <c r="G519" s="39">
        <v>1120</v>
      </c>
      <c r="H519" s="45">
        <v>0.86</v>
      </c>
      <c r="I519" s="45">
        <v>14.45</v>
      </c>
      <c r="J519" s="40">
        <f>IF(D519="Short",H519-I519,I519-H519)</f>
        <v>-13.59</v>
      </c>
      <c r="K519" s="40">
        <f>J519*G519</f>
        <v>-15220.8</v>
      </c>
      <c r="L519" s="40">
        <f>IF(D519="Short",G519*H519,G519*I519)</f>
        <v>963.19999999999993</v>
      </c>
      <c r="M519" s="40">
        <f>IF(D519="Short",G519*I519,H519*G519)</f>
        <v>16184</v>
      </c>
      <c r="N519" s="40">
        <f>L519+M519</f>
        <v>17147.2</v>
      </c>
      <c r="O519" s="40">
        <f>N519*0.000134</f>
        <v>2.2977248000000001</v>
      </c>
      <c r="P519" s="40">
        <f>K519-O519</f>
        <v>-15223.0977248</v>
      </c>
      <c r="Q519" s="14"/>
      <c r="R519" s="14"/>
      <c r="S519" s="14"/>
    </row>
    <row r="520" spans="1:19" x14ac:dyDescent="0.25">
      <c r="A520" s="51">
        <v>46191</v>
      </c>
      <c r="B520" s="9" t="s">
        <v>27</v>
      </c>
      <c r="C520" s="12">
        <v>46191</v>
      </c>
      <c r="D520" s="9" t="s">
        <v>28</v>
      </c>
      <c r="E520" s="9" t="s">
        <v>29</v>
      </c>
      <c r="F520" s="13">
        <v>77400</v>
      </c>
      <c r="G520" s="39">
        <v>280</v>
      </c>
      <c r="H520" s="45">
        <v>5</v>
      </c>
      <c r="I520" s="45">
        <v>7.35</v>
      </c>
      <c r="J520" s="40">
        <f>IF(D520="Short",H520-I520,I520-H520)</f>
        <v>-2.3499999999999996</v>
      </c>
      <c r="K520" s="40">
        <f>J520*G520</f>
        <v>-657.99999999999989</v>
      </c>
      <c r="L520" s="40">
        <f>IF(D520="Short",G520*H520,G520*I520)</f>
        <v>1400</v>
      </c>
      <c r="M520" s="40">
        <f>IF(D520="Short",G520*I520,H520*G520)</f>
        <v>2058</v>
      </c>
      <c r="N520" s="40">
        <f>L520+M520</f>
        <v>3458</v>
      </c>
      <c r="O520" s="40">
        <f>N520*0.000134</f>
        <v>0.46337200000000001</v>
      </c>
      <c r="P520" s="40">
        <f>K520-O520</f>
        <v>-658.46337199999994</v>
      </c>
      <c r="Q520" s="14"/>
      <c r="R520" s="14"/>
      <c r="S520" s="14"/>
    </row>
    <row r="521" spans="1:19" x14ac:dyDescent="0.25">
      <c r="A521" s="51">
        <v>46191</v>
      </c>
      <c r="B521" s="9" t="s">
        <v>27</v>
      </c>
      <c r="C521" s="12">
        <v>46191</v>
      </c>
      <c r="D521" s="9" t="s">
        <v>30</v>
      </c>
      <c r="E521" s="9" t="s">
        <v>32</v>
      </c>
      <c r="F521" s="13">
        <v>77300</v>
      </c>
      <c r="G521" s="39">
        <v>560</v>
      </c>
      <c r="H521" s="45">
        <v>53.17</v>
      </c>
      <c r="I521" s="45">
        <v>109.35</v>
      </c>
      <c r="J521" s="40">
        <f>IF(D521="Short",H521-I521,I521-H521)</f>
        <v>56.179999999999993</v>
      </c>
      <c r="K521" s="40">
        <f>J521*G521</f>
        <v>31460.799999999996</v>
      </c>
      <c r="L521" s="40">
        <f>IF(D521="Short",G521*H521,G521*I521)</f>
        <v>61236</v>
      </c>
      <c r="M521" s="40">
        <f>IF(D521="Short",G521*I521,H521*G521)</f>
        <v>29775.200000000001</v>
      </c>
      <c r="N521" s="40">
        <f>L521+M521</f>
        <v>91011.199999999997</v>
      </c>
      <c r="O521" s="40">
        <f>N521*0.000134</f>
        <v>12.1955008</v>
      </c>
      <c r="P521" s="40">
        <f>K521-O521</f>
        <v>31448.604499199995</v>
      </c>
      <c r="Q521" s="14"/>
      <c r="R521" s="14"/>
      <c r="S521" s="14"/>
    </row>
    <row r="522" spans="1:19" x14ac:dyDescent="0.25">
      <c r="A522" s="51">
        <v>46191</v>
      </c>
      <c r="B522" s="9" t="s">
        <v>27</v>
      </c>
      <c r="C522" s="12">
        <v>46191</v>
      </c>
      <c r="D522" s="9" t="s">
        <v>30</v>
      </c>
      <c r="E522" s="9" t="s">
        <v>29</v>
      </c>
      <c r="F522" s="13">
        <v>77200</v>
      </c>
      <c r="G522" s="39">
        <v>280</v>
      </c>
      <c r="H522" s="45">
        <v>104.62</v>
      </c>
      <c r="I522" s="45">
        <v>43.6</v>
      </c>
      <c r="J522" s="40">
        <f>IF(D522="Short",H522-I522,I522-H522)</f>
        <v>-61.02</v>
      </c>
      <c r="K522" s="40">
        <f>J522*G522</f>
        <v>-17085.600000000002</v>
      </c>
      <c r="L522" s="40">
        <f>IF(D522="Short",G522*H522,G522*I522)</f>
        <v>12208</v>
      </c>
      <c r="M522" s="40">
        <f>IF(D522="Short",G522*I522,H522*G522)</f>
        <v>29293.600000000002</v>
      </c>
      <c r="N522" s="40">
        <f>L522+M522</f>
        <v>41501.600000000006</v>
      </c>
      <c r="O522" s="40">
        <f>N522*0.000134</f>
        <v>5.5612144000000008</v>
      </c>
      <c r="P522" s="40">
        <f>K522-O522</f>
        <v>-17091.161214400003</v>
      </c>
      <c r="Q522" s="14"/>
      <c r="R522" s="14"/>
      <c r="S522" s="14"/>
    </row>
    <row r="523" spans="1:19" x14ac:dyDescent="0.25">
      <c r="A523" s="51">
        <v>46191</v>
      </c>
      <c r="B523" s="9" t="s">
        <v>27</v>
      </c>
      <c r="C523" s="12">
        <v>46198</v>
      </c>
      <c r="D523" s="9" t="s">
        <v>28</v>
      </c>
      <c r="E523" s="9" t="s">
        <v>32</v>
      </c>
      <c r="F523" s="13">
        <v>77200</v>
      </c>
      <c r="G523" s="39">
        <v>720</v>
      </c>
      <c r="H523" s="45">
        <v>444.14</v>
      </c>
      <c r="I523" s="45">
        <v>634.11</v>
      </c>
      <c r="J523" s="40">
        <f>IF(D523="Short",H523-I523,I523-H523)</f>
        <v>-189.97000000000003</v>
      </c>
      <c r="K523" s="40">
        <f>J523*G523</f>
        <v>-136778.40000000002</v>
      </c>
      <c r="L523" s="40">
        <f>IF(D523="Short",G523*H523,G523*I523)</f>
        <v>319780.8</v>
      </c>
      <c r="M523" s="40">
        <f>IF(D523="Short",G523*I523,H523*G523)</f>
        <v>456559.2</v>
      </c>
      <c r="N523" s="40">
        <f>L523+M523</f>
        <v>776340</v>
      </c>
      <c r="O523" s="40">
        <f>N523*0.000134</f>
        <v>104.02956</v>
      </c>
      <c r="P523" s="40">
        <f>K523-O523</f>
        <v>-136882.42956000002</v>
      </c>
      <c r="Q523" s="14"/>
      <c r="R523" s="14"/>
      <c r="S523" s="14"/>
    </row>
    <row r="524" spans="1:19" x14ac:dyDescent="0.25">
      <c r="A524" s="51">
        <v>46191</v>
      </c>
      <c r="B524" s="9" t="s">
        <v>27</v>
      </c>
      <c r="C524" s="12">
        <v>46191</v>
      </c>
      <c r="D524" s="9" t="s">
        <v>30</v>
      </c>
      <c r="E524" s="9" t="s">
        <v>32</v>
      </c>
      <c r="F524" s="13">
        <v>77200</v>
      </c>
      <c r="G524" s="39">
        <v>560</v>
      </c>
      <c r="H524" s="45">
        <v>96.99</v>
      </c>
      <c r="I524" s="45">
        <v>65.53</v>
      </c>
      <c r="J524" s="40">
        <f>IF(D524="Short",H524-I524,I524-H524)</f>
        <v>-31.459999999999994</v>
      </c>
      <c r="K524" s="40">
        <f>J524*G524</f>
        <v>-17617.599999999995</v>
      </c>
      <c r="L524" s="40">
        <f>IF(D524="Short",G524*H524,G524*I524)</f>
        <v>36696.800000000003</v>
      </c>
      <c r="M524" s="40">
        <f>IF(D524="Short",G524*I524,H524*G524)</f>
        <v>54314.399999999994</v>
      </c>
      <c r="N524" s="40">
        <f>L524+M524</f>
        <v>91011.199999999997</v>
      </c>
      <c r="O524" s="40">
        <f>N524*0.000134</f>
        <v>12.1955008</v>
      </c>
      <c r="P524" s="40">
        <f>K524-O524</f>
        <v>-17629.795500799995</v>
      </c>
      <c r="Q524" s="14"/>
      <c r="R524" s="14"/>
      <c r="S524" s="14"/>
    </row>
    <row r="525" spans="1:19" x14ac:dyDescent="0.25">
      <c r="A525" s="51">
        <v>46191</v>
      </c>
      <c r="B525" s="9" t="s">
        <v>31</v>
      </c>
      <c r="C525" s="12">
        <v>46196</v>
      </c>
      <c r="D525" s="9" t="s">
        <v>30</v>
      </c>
      <c r="E525" s="9" t="s">
        <v>32</v>
      </c>
      <c r="F525" s="13">
        <v>24100</v>
      </c>
      <c r="G525" s="39">
        <v>1950</v>
      </c>
      <c r="H525" s="45">
        <v>147.28</v>
      </c>
      <c r="I525" s="45">
        <v>119.11</v>
      </c>
      <c r="J525" s="40">
        <f>IF(D525="Short",H525-I525,I525-H525)</f>
        <v>-28.17</v>
      </c>
      <c r="K525" s="40">
        <f>J525*G525</f>
        <v>-54931.5</v>
      </c>
      <c r="L525" s="40">
        <f>IF(D525="Short",G525*H525,G525*I525)</f>
        <v>232264.5</v>
      </c>
      <c r="M525" s="40">
        <f>IF(D525="Short",G525*I525,H525*G525)</f>
        <v>287196</v>
      </c>
      <c r="N525" s="40">
        <f>L525+M525</f>
        <v>519460.5</v>
      </c>
      <c r="O525" s="40">
        <f>N525*0.000134</f>
        <v>69.607707000000005</v>
      </c>
      <c r="P525" s="40">
        <f>K525-O525</f>
        <v>-55001.107707000003</v>
      </c>
      <c r="Q525" s="14"/>
      <c r="R525" s="14"/>
      <c r="S525" s="14"/>
    </row>
    <row r="526" spans="1:19" x14ac:dyDescent="0.25">
      <c r="A526" s="51">
        <v>46191</v>
      </c>
      <c r="B526" s="9" t="s">
        <v>31</v>
      </c>
      <c r="C526" s="12">
        <v>46196</v>
      </c>
      <c r="D526" s="9" t="s">
        <v>30</v>
      </c>
      <c r="E526" s="9" t="s">
        <v>32</v>
      </c>
      <c r="F526" s="13">
        <v>23600</v>
      </c>
      <c r="G526" s="39">
        <v>1495</v>
      </c>
      <c r="H526" s="45">
        <v>10.74</v>
      </c>
      <c r="I526" s="45">
        <v>0.71</v>
      </c>
      <c r="J526" s="40">
        <f>IF(D526="Short",H526-I526,I526-H526)</f>
        <v>-10.030000000000001</v>
      </c>
      <c r="K526" s="40">
        <f>J526*G526</f>
        <v>-14994.850000000002</v>
      </c>
      <c r="L526" s="40">
        <f>IF(D526="Short",G526*H526,G526*I526)</f>
        <v>1061.45</v>
      </c>
      <c r="M526" s="40">
        <f>IF(D526="Short",G526*I526,H526*G526)</f>
        <v>16056.300000000001</v>
      </c>
      <c r="N526" s="40">
        <f>L526+M526</f>
        <v>17117.75</v>
      </c>
      <c r="O526" s="40">
        <f>N526*0.000134</f>
        <v>2.2937785000000002</v>
      </c>
      <c r="P526" s="40">
        <f>K526-O526</f>
        <v>-14997.143778500002</v>
      </c>
      <c r="Q526" s="14"/>
      <c r="R526" s="14"/>
      <c r="S526" s="14"/>
    </row>
    <row r="527" spans="1:19" x14ac:dyDescent="0.25">
      <c r="A527" s="51">
        <v>46191</v>
      </c>
      <c r="B527" s="9" t="s">
        <v>31</v>
      </c>
      <c r="C527" s="12">
        <v>46196</v>
      </c>
      <c r="D527" s="9" t="s">
        <v>28</v>
      </c>
      <c r="E527" s="9" t="s">
        <v>29</v>
      </c>
      <c r="F527" s="13">
        <v>25000</v>
      </c>
      <c r="G527" s="39">
        <v>2730</v>
      </c>
      <c r="H527" s="45">
        <v>3.15</v>
      </c>
      <c r="I527" s="45">
        <v>3.55</v>
      </c>
      <c r="J527" s="40">
        <f>IF(D527="Short",H527-I527,I527-H527)</f>
        <v>-0.39999999999999991</v>
      </c>
      <c r="K527" s="40">
        <f>J527*G527</f>
        <v>-1091.9999999999998</v>
      </c>
      <c r="L527" s="40">
        <f>IF(D527="Short",G527*H527,G527*I527)</f>
        <v>8599.5</v>
      </c>
      <c r="M527" s="40">
        <f>IF(D527="Short",G527*I527,H527*G527)</f>
        <v>9691.5</v>
      </c>
      <c r="N527" s="40">
        <f>L527+M527</f>
        <v>18291</v>
      </c>
      <c r="O527" s="40">
        <f>N527*0.000134</f>
        <v>2.4509940000000001</v>
      </c>
      <c r="P527" s="40">
        <f>K527-O527</f>
        <v>-1094.4509939999998</v>
      </c>
      <c r="Q527" s="14"/>
      <c r="R527" s="14"/>
      <c r="S527" s="14"/>
    </row>
    <row r="528" spans="1:19" x14ac:dyDescent="0.25">
      <c r="A528" s="51">
        <v>46191</v>
      </c>
      <c r="B528" s="9" t="s">
        <v>31</v>
      </c>
      <c r="C528" s="12">
        <v>46196</v>
      </c>
      <c r="D528" s="9" t="s">
        <v>30</v>
      </c>
      <c r="E528" s="9" t="s">
        <v>29</v>
      </c>
      <c r="F528" s="13">
        <v>24050</v>
      </c>
      <c r="G528" s="39">
        <v>1820</v>
      </c>
      <c r="H528" s="45">
        <v>154.46</v>
      </c>
      <c r="I528" s="45">
        <v>122.47</v>
      </c>
      <c r="J528" s="40">
        <f>IF(D528="Short",H528-I528,I528-H528)</f>
        <v>-31.990000000000009</v>
      </c>
      <c r="K528" s="40">
        <f>J528*G528</f>
        <v>-58221.800000000017</v>
      </c>
      <c r="L528" s="40">
        <f>IF(D528="Short",G528*H528,G528*I528)</f>
        <v>222895.4</v>
      </c>
      <c r="M528" s="40">
        <f>IF(D528="Short",G528*I528,H528*G528)</f>
        <v>281117.2</v>
      </c>
      <c r="N528" s="40">
        <f>L528+M528</f>
        <v>504012.6</v>
      </c>
      <c r="O528" s="40">
        <f>N528*0.000134</f>
        <v>67.537688399999993</v>
      </c>
      <c r="P528" s="40">
        <f>K528-O528</f>
        <v>-58289.337688400017</v>
      </c>
      <c r="Q528" s="14"/>
      <c r="R528" s="14"/>
      <c r="S528" s="14"/>
    </row>
    <row r="529" spans="1:19" x14ac:dyDescent="0.25">
      <c r="A529" s="51">
        <v>46191</v>
      </c>
      <c r="B529" s="9" t="s">
        <v>27</v>
      </c>
      <c r="C529" s="12">
        <v>46191</v>
      </c>
      <c r="D529" s="9" t="s">
        <v>28</v>
      </c>
      <c r="E529" s="9" t="s">
        <v>29</v>
      </c>
      <c r="F529" s="13">
        <v>77700</v>
      </c>
      <c r="G529" s="39">
        <v>920</v>
      </c>
      <c r="H529" s="45">
        <v>13.31</v>
      </c>
      <c r="I529" s="45">
        <v>12.28</v>
      </c>
      <c r="J529" s="40">
        <f>IF(D529="Short",H529-I529,I529-H529)</f>
        <v>1.0300000000000011</v>
      </c>
      <c r="K529" s="40">
        <f>J529*G529</f>
        <v>947.60000000000105</v>
      </c>
      <c r="L529" s="40">
        <f>IF(D529="Short",G529*H529,G529*I529)</f>
        <v>12245.2</v>
      </c>
      <c r="M529" s="40">
        <f>IF(D529="Short",G529*I529,H529*G529)</f>
        <v>11297.599999999999</v>
      </c>
      <c r="N529" s="40">
        <f>L529+M529</f>
        <v>23542.799999999999</v>
      </c>
      <c r="O529" s="40">
        <f>N529*0.000134</f>
        <v>3.1547352000000002</v>
      </c>
      <c r="P529" s="40">
        <f>K529-O529</f>
        <v>944.44526480000104</v>
      </c>
      <c r="Q529" s="14"/>
      <c r="R529" s="14"/>
      <c r="S529" s="14"/>
    </row>
    <row r="530" spans="1:19" x14ac:dyDescent="0.25">
      <c r="A530" s="51">
        <v>46191</v>
      </c>
      <c r="B530" s="9" t="s">
        <v>27</v>
      </c>
      <c r="C530" s="12">
        <v>46191</v>
      </c>
      <c r="D530" s="9" t="s">
        <v>30</v>
      </c>
      <c r="E530" s="9" t="s">
        <v>29</v>
      </c>
      <c r="F530" s="13">
        <v>77100</v>
      </c>
      <c r="G530" s="39">
        <v>840</v>
      </c>
      <c r="H530" s="45">
        <v>196.21</v>
      </c>
      <c r="I530" s="45">
        <v>123.25</v>
      </c>
      <c r="J530" s="40">
        <f>IF(D530="Short",H530-I530,I530-H530)</f>
        <v>-72.960000000000008</v>
      </c>
      <c r="K530" s="40">
        <f>J530*G530</f>
        <v>-61286.400000000009</v>
      </c>
      <c r="L530" s="40">
        <f>IF(D530="Short",G530*H530,G530*I530)</f>
        <v>103530</v>
      </c>
      <c r="M530" s="40">
        <f>IF(D530="Short",G530*I530,H530*G530)</f>
        <v>164816.4</v>
      </c>
      <c r="N530" s="40">
        <f>L530+M530</f>
        <v>268346.40000000002</v>
      </c>
      <c r="O530" s="40">
        <f>N530*0.000134</f>
        <v>35.958417600000004</v>
      </c>
      <c r="P530" s="40">
        <f>K530-O530</f>
        <v>-61322.358417600008</v>
      </c>
      <c r="Q530" s="14"/>
      <c r="R530" s="14"/>
      <c r="S530" s="14"/>
    </row>
    <row r="531" spans="1:19" x14ac:dyDescent="0.25">
      <c r="A531" s="51">
        <v>46191</v>
      </c>
      <c r="B531" s="9" t="s">
        <v>27</v>
      </c>
      <c r="C531" s="12">
        <v>46191</v>
      </c>
      <c r="D531" s="9" t="s">
        <v>28</v>
      </c>
      <c r="E531" s="9" t="s">
        <v>32</v>
      </c>
      <c r="F531" s="13">
        <v>76200</v>
      </c>
      <c r="G531" s="39">
        <v>60</v>
      </c>
      <c r="H531" s="45">
        <v>5</v>
      </c>
      <c r="I531" s="45">
        <v>7</v>
      </c>
      <c r="J531" s="40">
        <f>IF(D531="Short",H531-I531,I531-H531)</f>
        <v>-2</v>
      </c>
      <c r="K531" s="40">
        <f>J531*G531</f>
        <v>-120</v>
      </c>
      <c r="L531" s="40">
        <f>IF(D531="Short",G531*H531,G531*I531)</f>
        <v>300</v>
      </c>
      <c r="M531" s="40">
        <f>IF(D531="Short",G531*I531,H531*G531)</f>
        <v>420</v>
      </c>
      <c r="N531" s="40">
        <f>L531+M531</f>
        <v>720</v>
      </c>
      <c r="O531" s="40">
        <f>N531*0.000134</f>
        <v>9.648000000000001E-2</v>
      </c>
      <c r="P531" s="40">
        <f>K531-O531</f>
        <v>-120.09648</v>
      </c>
      <c r="Q531" s="14"/>
      <c r="R531" s="14"/>
      <c r="S531" s="14"/>
    </row>
    <row r="532" spans="1:19" x14ac:dyDescent="0.25">
      <c r="A532" s="51">
        <v>46192</v>
      </c>
      <c r="B532" s="9" t="s">
        <v>27</v>
      </c>
      <c r="C532" s="12">
        <v>46198</v>
      </c>
      <c r="D532" s="9" t="s">
        <v>28</v>
      </c>
      <c r="E532" s="9" t="s">
        <v>29</v>
      </c>
      <c r="F532" s="13">
        <v>78900</v>
      </c>
      <c r="G532" s="39">
        <v>960</v>
      </c>
      <c r="H532" s="45">
        <v>46.9</v>
      </c>
      <c r="I532" s="45">
        <v>52.94</v>
      </c>
      <c r="J532" s="40">
        <f>IF(D532="Short",H532-I532,I532-H532)</f>
        <v>-6.0399999999999991</v>
      </c>
      <c r="K532" s="40">
        <f>J532*G532</f>
        <v>-5798.4</v>
      </c>
      <c r="L532" s="40">
        <f>IF(D532="Short",G532*H532,G532*I532)</f>
        <v>45024</v>
      </c>
      <c r="M532" s="40">
        <f>IF(D532="Short",G532*I532,H532*G532)</f>
        <v>50822.399999999994</v>
      </c>
      <c r="N532" s="40">
        <f>L532+M532</f>
        <v>95846.399999999994</v>
      </c>
      <c r="O532" s="40">
        <f>N532*0.000134</f>
        <v>12.8434176</v>
      </c>
      <c r="P532" s="40">
        <f>K532-O532</f>
        <v>-5811.2434175999997</v>
      </c>
      <c r="Q532" s="14"/>
      <c r="R532" s="14"/>
      <c r="S532" s="14"/>
    </row>
    <row r="533" spans="1:19" x14ac:dyDescent="0.25">
      <c r="A533" s="51">
        <v>46192</v>
      </c>
      <c r="B533" s="9" t="s">
        <v>27</v>
      </c>
      <c r="C533" s="12">
        <v>46198</v>
      </c>
      <c r="D533" s="9" t="s">
        <v>28</v>
      </c>
      <c r="E533" s="9" t="s">
        <v>29</v>
      </c>
      <c r="F533" s="13">
        <v>76600</v>
      </c>
      <c r="G533" s="39">
        <v>120</v>
      </c>
      <c r="H533" s="45">
        <v>601.13</v>
      </c>
      <c r="I533" s="45">
        <v>789.95</v>
      </c>
      <c r="J533" s="40">
        <f>IF(D533="Short",H533-I533,I533-H533)</f>
        <v>-188.82000000000005</v>
      </c>
      <c r="K533" s="40">
        <f>J533*G533</f>
        <v>-22658.400000000005</v>
      </c>
      <c r="L533" s="40">
        <f>IF(D533="Short",G533*H533,G533*I533)</f>
        <v>72135.600000000006</v>
      </c>
      <c r="M533" s="40">
        <f>IF(D533="Short",G533*I533,H533*G533)</f>
        <v>94794</v>
      </c>
      <c r="N533" s="40">
        <f>L533+M533</f>
        <v>166929.60000000001</v>
      </c>
      <c r="O533" s="40">
        <f>N533*0.000134</f>
        <v>22.368566400000002</v>
      </c>
      <c r="P533" s="40">
        <f>K533-O533</f>
        <v>-22680.768566400006</v>
      </c>
      <c r="Q533" s="14"/>
      <c r="R533" s="14"/>
      <c r="S533" s="14"/>
    </row>
    <row r="534" spans="1:19" x14ac:dyDescent="0.25">
      <c r="A534" s="51">
        <v>46192</v>
      </c>
      <c r="B534" s="9" t="s">
        <v>27</v>
      </c>
      <c r="C534" s="12">
        <v>46198</v>
      </c>
      <c r="D534" s="9" t="s">
        <v>30</v>
      </c>
      <c r="E534" s="9" t="s">
        <v>29</v>
      </c>
      <c r="F534" s="13">
        <v>78900</v>
      </c>
      <c r="G534" s="39">
        <v>980</v>
      </c>
      <c r="H534" s="45">
        <v>52.94</v>
      </c>
      <c r="I534" s="45">
        <v>33.82</v>
      </c>
      <c r="J534" s="40">
        <f>IF(D534="Short",H534-I534,I534-H534)</f>
        <v>-19.119999999999997</v>
      </c>
      <c r="K534" s="40">
        <f>J534*G534</f>
        <v>-18737.599999999999</v>
      </c>
      <c r="L534" s="40">
        <f>IF(D534="Short",G534*H534,G534*I534)</f>
        <v>33143.599999999999</v>
      </c>
      <c r="M534" s="40">
        <f>IF(D534="Short",G534*I534,H534*G534)</f>
        <v>51881.2</v>
      </c>
      <c r="N534" s="40">
        <f>L534+M534</f>
        <v>85024.799999999988</v>
      </c>
      <c r="O534" s="40">
        <f>N534*0.000134</f>
        <v>11.393323199999999</v>
      </c>
      <c r="P534" s="40">
        <f>K534-O534</f>
        <v>-18748.9933232</v>
      </c>
      <c r="Q534" s="14"/>
      <c r="R534" s="14"/>
      <c r="S534" s="14"/>
    </row>
    <row r="535" spans="1:19" x14ac:dyDescent="0.25">
      <c r="A535" s="51">
        <v>46192</v>
      </c>
      <c r="B535" s="9" t="s">
        <v>31</v>
      </c>
      <c r="C535" s="12">
        <v>46196</v>
      </c>
      <c r="D535" s="9" t="s">
        <v>30</v>
      </c>
      <c r="E535" s="9" t="s">
        <v>32</v>
      </c>
      <c r="F535" s="13">
        <v>23600</v>
      </c>
      <c r="G535" s="39">
        <v>1300</v>
      </c>
      <c r="H535" s="45">
        <v>7.7</v>
      </c>
      <c r="I535" s="45">
        <v>0.71</v>
      </c>
      <c r="J535" s="40">
        <f>IF(D535="Short",H535-I535,I535-H535)</f>
        <v>-6.99</v>
      </c>
      <c r="K535" s="40">
        <f>J535*G535</f>
        <v>-9087</v>
      </c>
      <c r="L535" s="40">
        <f>IF(D535="Short",G535*H535,G535*I535)</f>
        <v>923</v>
      </c>
      <c r="M535" s="40">
        <f>IF(D535="Short",G535*I535,H535*G535)</f>
        <v>10010</v>
      </c>
      <c r="N535" s="40">
        <f>L535+M535</f>
        <v>10933</v>
      </c>
      <c r="O535" s="40">
        <f>N535*0.000134</f>
        <v>1.465022</v>
      </c>
      <c r="P535" s="40">
        <f>K535-O535</f>
        <v>-9088.4650220000003</v>
      </c>
      <c r="Q535" s="14"/>
      <c r="R535" s="14"/>
      <c r="S535" s="14"/>
    </row>
    <row r="536" spans="1:19" x14ac:dyDescent="0.25">
      <c r="A536" s="51">
        <v>46192</v>
      </c>
      <c r="B536" s="9" t="s">
        <v>31</v>
      </c>
      <c r="C536" s="12">
        <v>46196</v>
      </c>
      <c r="D536" s="9" t="s">
        <v>28</v>
      </c>
      <c r="E536" s="9" t="s">
        <v>29</v>
      </c>
      <c r="F536" s="13">
        <v>23950</v>
      </c>
      <c r="G536" s="39">
        <v>1300</v>
      </c>
      <c r="H536" s="45">
        <v>134.63</v>
      </c>
      <c r="I536" s="45">
        <v>199.67</v>
      </c>
      <c r="J536" s="40">
        <f>IF(D536="Short",H536-I536,I536-H536)</f>
        <v>-65.039999999999992</v>
      </c>
      <c r="K536" s="40">
        <f>J536*G536</f>
        <v>-84551.999999999985</v>
      </c>
      <c r="L536" s="40">
        <f>IF(D536="Short",G536*H536,G536*I536)</f>
        <v>175019</v>
      </c>
      <c r="M536" s="40">
        <f>IF(D536="Short",G536*I536,H536*G536)</f>
        <v>259570.99999999997</v>
      </c>
      <c r="N536" s="40">
        <f>L536+M536</f>
        <v>434590</v>
      </c>
      <c r="O536" s="40">
        <f>N536*0.000134</f>
        <v>58.235060000000004</v>
      </c>
      <c r="P536" s="40">
        <f>K536-O536</f>
        <v>-84610.235059999992</v>
      </c>
      <c r="Q536" s="14"/>
      <c r="R536" s="14"/>
      <c r="S536" s="14"/>
    </row>
    <row r="537" spans="1:19" x14ac:dyDescent="0.25">
      <c r="A537" s="51">
        <v>46192</v>
      </c>
      <c r="B537" s="9" t="s">
        <v>31</v>
      </c>
      <c r="C537" s="12">
        <v>46196</v>
      </c>
      <c r="D537" s="9" t="s">
        <v>28</v>
      </c>
      <c r="E537" s="9" t="s">
        <v>29</v>
      </c>
      <c r="F537" s="13">
        <v>23950</v>
      </c>
      <c r="G537" s="39">
        <v>3640</v>
      </c>
      <c r="H537" s="45">
        <v>134.63</v>
      </c>
      <c r="I537" s="45">
        <v>147.85</v>
      </c>
      <c r="J537" s="40">
        <f>IF(D537="Short",H537-I537,I537-H537)</f>
        <v>-13.219999999999999</v>
      </c>
      <c r="K537" s="40">
        <f>J537*G537</f>
        <v>-48120.799999999996</v>
      </c>
      <c r="L537" s="40">
        <f>IF(D537="Short",G537*H537,G537*I537)</f>
        <v>490053.2</v>
      </c>
      <c r="M537" s="40">
        <f>IF(D537="Short",G537*I537,H537*G537)</f>
        <v>538174</v>
      </c>
      <c r="N537" s="40">
        <f>L537+M537</f>
        <v>1028227.2</v>
      </c>
      <c r="O537" s="40">
        <f>N537*0.000134</f>
        <v>137.78244480000001</v>
      </c>
      <c r="P537" s="40">
        <f>K537-O537</f>
        <v>-48258.582444799998</v>
      </c>
      <c r="Q537" s="14"/>
      <c r="R537" s="14"/>
      <c r="S537" s="14"/>
    </row>
    <row r="538" spans="1:19" x14ac:dyDescent="0.25">
      <c r="A538" s="51">
        <v>46192</v>
      </c>
      <c r="B538" s="9" t="s">
        <v>27</v>
      </c>
      <c r="C538" s="12">
        <v>46198</v>
      </c>
      <c r="D538" s="9" t="s">
        <v>28</v>
      </c>
      <c r="E538" s="9" t="s">
        <v>32</v>
      </c>
      <c r="F538" s="13">
        <v>77200</v>
      </c>
      <c r="G538" s="39">
        <v>240</v>
      </c>
      <c r="H538" s="45">
        <v>444.14</v>
      </c>
      <c r="I538" s="45">
        <v>822.3</v>
      </c>
      <c r="J538" s="40">
        <f>IF(D538="Short",H538-I538,I538-H538)</f>
        <v>-378.15999999999997</v>
      </c>
      <c r="K538" s="40">
        <f>J538*G538</f>
        <v>-90758.399999999994</v>
      </c>
      <c r="L538" s="40">
        <f>IF(D538="Short",G538*H538,G538*I538)</f>
        <v>106593.59999999999</v>
      </c>
      <c r="M538" s="40">
        <f>IF(D538="Short",G538*I538,H538*G538)</f>
        <v>197352</v>
      </c>
      <c r="N538" s="40">
        <f>L538+M538</f>
        <v>303945.59999999998</v>
      </c>
      <c r="O538" s="40">
        <f>N538*0.000134</f>
        <v>40.728710399999997</v>
      </c>
      <c r="P538" s="40">
        <f>K538-O538</f>
        <v>-90799.128710399993</v>
      </c>
      <c r="Q538" s="14"/>
      <c r="R538" s="14"/>
      <c r="S538" s="14"/>
    </row>
    <row r="539" spans="1:19" x14ac:dyDescent="0.25">
      <c r="A539" s="51">
        <v>46192</v>
      </c>
      <c r="B539" s="9" t="s">
        <v>31</v>
      </c>
      <c r="C539" s="12">
        <v>46196</v>
      </c>
      <c r="D539" s="9" t="s">
        <v>28</v>
      </c>
      <c r="E539" s="9" t="s">
        <v>32</v>
      </c>
      <c r="F539" s="13">
        <v>24000</v>
      </c>
      <c r="G539" s="39">
        <v>2730</v>
      </c>
      <c r="H539" s="45">
        <v>78.599999999999994</v>
      </c>
      <c r="I539" s="45">
        <v>12.92</v>
      </c>
      <c r="J539" s="40">
        <f>IF(D539="Short",H539-I539,I539-H539)</f>
        <v>65.679999999999993</v>
      </c>
      <c r="K539" s="40">
        <f>J539*G539</f>
        <v>179306.4</v>
      </c>
      <c r="L539" s="40">
        <f>IF(D539="Short",G539*H539,G539*I539)</f>
        <v>214577.99999999997</v>
      </c>
      <c r="M539" s="40">
        <f>IF(D539="Short",G539*I539,H539*G539)</f>
        <v>35271.599999999999</v>
      </c>
      <c r="N539" s="40">
        <f>L539+M539</f>
        <v>249849.59999999998</v>
      </c>
      <c r="O539" s="40">
        <f>N539*0.000134</f>
        <v>33.4798464</v>
      </c>
      <c r="P539" s="40">
        <f>K539-O539</f>
        <v>179272.92015359999</v>
      </c>
      <c r="Q539" s="14"/>
      <c r="R539" s="14"/>
      <c r="S539" s="14"/>
    </row>
    <row r="540" spans="1:19" x14ac:dyDescent="0.25">
      <c r="A540" s="51">
        <v>46192</v>
      </c>
      <c r="B540" s="9" t="s">
        <v>31</v>
      </c>
      <c r="C540" s="12">
        <v>46196</v>
      </c>
      <c r="D540" s="9" t="s">
        <v>30</v>
      </c>
      <c r="E540" s="9" t="s">
        <v>32</v>
      </c>
      <c r="F540" s="13">
        <v>23600</v>
      </c>
      <c r="G540" s="39">
        <v>2470</v>
      </c>
      <c r="H540" s="45">
        <v>10.74</v>
      </c>
      <c r="I540" s="45">
        <v>16.23</v>
      </c>
      <c r="J540" s="40">
        <f>IF(D540="Short",H540-I540,I540-H540)</f>
        <v>5.49</v>
      </c>
      <c r="K540" s="40">
        <f>J540*G540</f>
        <v>13560.300000000001</v>
      </c>
      <c r="L540" s="40">
        <f>IF(D540="Short",G540*H540,G540*I540)</f>
        <v>40088.1</v>
      </c>
      <c r="M540" s="40">
        <f>IF(D540="Short",G540*I540,H540*G540)</f>
        <v>26527.8</v>
      </c>
      <c r="N540" s="40">
        <f>L540+M540</f>
        <v>66615.899999999994</v>
      </c>
      <c r="O540" s="40">
        <f>N540*0.000134</f>
        <v>8.9265305999999995</v>
      </c>
      <c r="P540" s="40">
        <f>K540-O540</f>
        <v>13551.373469400001</v>
      </c>
      <c r="Q540" s="14"/>
      <c r="R540" s="14"/>
      <c r="S540" s="14"/>
    </row>
    <row r="541" spans="1:19" x14ac:dyDescent="0.25">
      <c r="A541" s="51">
        <v>46192</v>
      </c>
      <c r="B541" s="9" t="s">
        <v>27</v>
      </c>
      <c r="C541" s="12">
        <v>46198</v>
      </c>
      <c r="D541" s="9" t="s">
        <v>30</v>
      </c>
      <c r="E541" s="9" t="s">
        <v>32</v>
      </c>
      <c r="F541" s="13">
        <v>75500</v>
      </c>
      <c r="G541" s="39">
        <v>1100</v>
      </c>
      <c r="H541" s="45">
        <v>92.91</v>
      </c>
      <c r="I541" s="45">
        <v>10.92</v>
      </c>
      <c r="J541" s="40">
        <f>IF(D541="Short",H541-I541,I541-H541)</f>
        <v>-81.99</v>
      </c>
      <c r="K541" s="40">
        <f>J541*G541</f>
        <v>-90189</v>
      </c>
      <c r="L541" s="40">
        <f>IF(D541="Short",G541*H541,G541*I541)</f>
        <v>12012</v>
      </c>
      <c r="M541" s="40">
        <f>IF(D541="Short",G541*I541,H541*G541)</f>
        <v>102201</v>
      </c>
      <c r="N541" s="40">
        <f>L541+M541</f>
        <v>114213</v>
      </c>
      <c r="O541" s="40">
        <f>N541*0.000134</f>
        <v>15.304542</v>
      </c>
      <c r="P541" s="40">
        <f>K541-O541</f>
        <v>-90204.304541999998</v>
      </c>
      <c r="Q541" s="14"/>
      <c r="R541" s="14"/>
      <c r="S541" s="14"/>
    </row>
    <row r="542" spans="1:19" x14ac:dyDescent="0.25">
      <c r="A542" s="51">
        <v>46192</v>
      </c>
      <c r="B542" s="9" t="s">
        <v>31</v>
      </c>
      <c r="C542" s="12">
        <v>46196</v>
      </c>
      <c r="D542" s="9" t="s">
        <v>28</v>
      </c>
      <c r="E542" s="9" t="s">
        <v>32</v>
      </c>
      <c r="F542" s="13">
        <v>24100</v>
      </c>
      <c r="G542" s="39">
        <v>585</v>
      </c>
      <c r="H542" s="45">
        <v>185.98</v>
      </c>
      <c r="I542" s="45">
        <v>203.98</v>
      </c>
      <c r="J542" s="40">
        <f>IF(D542="Short",H542-I542,I542-H542)</f>
        <v>-18</v>
      </c>
      <c r="K542" s="40">
        <f>J542*G542</f>
        <v>-10530</v>
      </c>
      <c r="L542" s="40">
        <f>IF(D542="Short",G542*H542,G542*I542)</f>
        <v>108798.29999999999</v>
      </c>
      <c r="M542" s="40">
        <f>IF(D542="Short",G542*I542,H542*G542)</f>
        <v>119328.29999999999</v>
      </c>
      <c r="N542" s="40">
        <f>L542+M542</f>
        <v>228126.59999999998</v>
      </c>
      <c r="O542" s="40">
        <f>N542*0.000134</f>
        <v>30.568964399999999</v>
      </c>
      <c r="P542" s="40">
        <f>K542-O542</f>
        <v>-10560.568964399999</v>
      </c>
      <c r="Q542" s="14"/>
      <c r="R542" s="14"/>
      <c r="S542" s="14"/>
    </row>
    <row r="543" spans="1:19" x14ac:dyDescent="0.25">
      <c r="A543" s="51">
        <v>46192</v>
      </c>
      <c r="B543" s="9" t="s">
        <v>27</v>
      </c>
      <c r="C543" s="12">
        <v>46198</v>
      </c>
      <c r="D543" s="9" t="s">
        <v>30</v>
      </c>
      <c r="E543" s="9" t="s">
        <v>29</v>
      </c>
      <c r="F543" s="13">
        <v>76700</v>
      </c>
      <c r="G543" s="39">
        <v>1000</v>
      </c>
      <c r="H543" s="45">
        <v>572.85</v>
      </c>
      <c r="I543" s="45">
        <v>560.89</v>
      </c>
      <c r="J543" s="40">
        <f>IF(D543="Short",H543-I543,I543-H543)</f>
        <v>-11.960000000000036</v>
      </c>
      <c r="K543" s="40">
        <f>J543*G543</f>
        <v>-11960.000000000036</v>
      </c>
      <c r="L543" s="40">
        <f>IF(D543="Short",G543*H543,G543*I543)</f>
        <v>560890</v>
      </c>
      <c r="M543" s="40">
        <f>IF(D543="Short",G543*I543,H543*G543)</f>
        <v>572850</v>
      </c>
      <c r="N543" s="40">
        <f>L543+M543</f>
        <v>1133740</v>
      </c>
      <c r="O543" s="40">
        <f>N543*0.000134</f>
        <v>151.92116000000001</v>
      </c>
      <c r="P543" s="40">
        <f>K543-O543</f>
        <v>-12111.921160000036</v>
      </c>
      <c r="Q543" s="14"/>
      <c r="R543" s="14"/>
      <c r="S543" s="14"/>
    </row>
    <row r="544" spans="1:19" x14ac:dyDescent="0.25">
      <c r="A544" s="51">
        <v>46192</v>
      </c>
      <c r="B544" s="9" t="s">
        <v>27</v>
      </c>
      <c r="C544" s="12">
        <v>46198</v>
      </c>
      <c r="D544" s="9" t="s">
        <v>28</v>
      </c>
      <c r="E544" s="9" t="s">
        <v>29</v>
      </c>
      <c r="F544" s="13">
        <v>76500</v>
      </c>
      <c r="G544" s="39">
        <v>280</v>
      </c>
      <c r="H544" s="45">
        <v>658.49</v>
      </c>
      <c r="I544" s="45">
        <v>921.74</v>
      </c>
      <c r="J544" s="40">
        <f>IF(D544="Short",H544-I544,I544-H544)</f>
        <v>-263.25</v>
      </c>
      <c r="K544" s="40">
        <f>J544*G544</f>
        <v>-73710</v>
      </c>
      <c r="L544" s="40">
        <f>IF(D544="Short",G544*H544,G544*I544)</f>
        <v>184377.2</v>
      </c>
      <c r="M544" s="40">
        <f>IF(D544="Short",G544*I544,H544*G544)</f>
        <v>258087.2</v>
      </c>
      <c r="N544" s="40">
        <f>L544+M544</f>
        <v>442464.4</v>
      </c>
      <c r="O544" s="40">
        <f>N544*0.000134</f>
        <v>59.290229600000004</v>
      </c>
      <c r="P544" s="40">
        <f>K544-O544</f>
        <v>-73769.290229599996</v>
      </c>
      <c r="Q544" s="14"/>
      <c r="R544" s="14"/>
      <c r="S544" s="14"/>
    </row>
    <row r="545" spans="1:19" x14ac:dyDescent="0.25">
      <c r="A545" s="51">
        <v>46192</v>
      </c>
      <c r="B545" s="9" t="s">
        <v>31</v>
      </c>
      <c r="C545" s="12">
        <v>46196</v>
      </c>
      <c r="D545" s="9" t="s">
        <v>30</v>
      </c>
      <c r="E545" s="9" t="s">
        <v>29</v>
      </c>
      <c r="F545" s="13">
        <v>24400</v>
      </c>
      <c r="G545" s="39">
        <v>2925</v>
      </c>
      <c r="H545" s="45">
        <v>15.17</v>
      </c>
      <c r="I545" s="45">
        <v>10.11</v>
      </c>
      <c r="J545" s="40">
        <f>IF(D545="Short",H545-I545,I545-H545)</f>
        <v>-5.0600000000000005</v>
      </c>
      <c r="K545" s="40">
        <f>J545*G545</f>
        <v>-14800.500000000002</v>
      </c>
      <c r="L545" s="40">
        <f>IF(D545="Short",G545*H545,G545*I545)</f>
        <v>29571.75</v>
      </c>
      <c r="M545" s="40">
        <f>IF(D545="Short",G545*I545,H545*G545)</f>
        <v>44372.25</v>
      </c>
      <c r="N545" s="40">
        <f>L545+M545</f>
        <v>73944</v>
      </c>
      <c r="O545" s="40">
        <f>N545*0.000134</f>
        <v>9.9084959999999995</v>
      </c>
      <c r="P545" s="40">
        <f>K545-O545</f>
        <v>-14810.408496000002</v>
      </c>
      <c r="Q545" s="14"/>
      <c r="R545" s="14"/>
      <c r="S545" s="14"/>
    </row>
    <row r="546" spans="1:19" x14ac:dyDescent="0.25">
      <c r="A546" s="51">
        <v>46192</v>
      </c>
      <c r="B546" s="9" t="s">
        <v>31</v>
      </c>
      <c r="C546" s="12">
        <v>46196</v>
      </c>
      <c r="D546" s="9" t="s">
        <v>30</v>
      </c>
      <c r="E546" s="9" t="s">
        <v>29</v>
      </c>
      <c r="F546" s="13">
        <v>24400</v>
      </c>
      <c r="G546" s="39">
        <v>2210</v>
      </c>
      <c r="H546" s="45">
        <v>15.17</v>
      </c>
      <c r="I546" s="45">
        <v>14</v>
      </c>
      <c r="J546" s="40">
        <f>IF(D546="Short",H546-I546,I546-H546)</f>
        <v>-1.17</v>
      </c>
      <c r="K546" s="40">
        <f>J546*G546</f>
        <v>-2585.6999999999998</v>
      </c>
      <c r="L546" s="40">
        <f>IF(D546="Short",G546*H546,G546*I546)</f>
        <v>30940</v>
      </c>
      <c r="M546" s="40">
        <f>IF(D546="Short",G546*I546,H546*G546)</f>
        <v>33525.699999999997</v>
      </c>
      <c r="N546" s="40">
        <f>L546+M546</f>
        <v>64465.7</v>
      </c>
      <c r="O546" s="40">
        <f>N546*0.000134</f>
        <v>8.6384038000000007</v>
      </c>
      <c r="P546" s="40">
        <f>K546-O546</f>
        <v>-2594.3384037999999</v>
      </c>
      <c r="Q546" s="14"/>
      <c r="R546" s="14"/>
      <c r="S546" s="14"/>
    </row>
    <row r="547" spans="1:19" x14ac:dyDescent="0.25">
      <c r="A547" s="51">
        <v>46192</v>
      </c>
      <c r="B547" s="9" t="s">
        <v>31</v>
      </c>
      <c r="C547" s="12">
        <v>46196</v>
      </c>
      <c r="D547" s="9" t="s">
        <v>28</v>
      </c>
      <c r="E547" s="9" t="s">
        <v>32</v>
      </c>
      <c r="F547" s="13">
        <v>24000</v>
      </c>
      <c r="G547" s="39">
        <v>2145</v>
      </c>
      <c r="H547" s="45">
        <v>173.11</v>
      </c>
      <c r="I547" s="45">
        <v>127.85</v>
      </c>
      <c r="J547" s="40">
        <f>IF(D547="Short",H547-I547,I547-H547)</f>
        <v>45.260000000000019</v>
      </c>
      <c r="K547" s="40">
        <f>J547*G547</f>
        <v>97082.700000000041</v>
      </c>
      <c r="L547" s="40">
        <f>IF(D547="Short",G547*H547,G547*I547)</f>
        <v>371320.95</v>
      </c>
      <c r="M547" s="40">
        <f>IF(D547="Short",G547*I547,H547*G547)</f>
        <v>274238.25</v>
      </c>
      <c r="N547" s="40">
        <f>L547+M547</f>
        <v>645559.19999999995</v>
      </c>
      <c r="O547" s="40">
        <f>N547*0.000134</f>
        <v>86.504932799999992</v>
      </c>
      <c r="P547" s="40">
        <f>K547-O547</f>
        <v>96996.195067200038</v>
      </c>
      <c r="Q547" s="14"/>
      <c r="R547" s="14"/>
      <c r="S547" s="14"/>
    </row>
    <row r="548" spans="1:19" x14ac:dyDescent="0.25">
      <c r="A548" s="51">
        <v>46192</v>
      </c>
      <c r="B548" s="9" t="s">
        <v>31</v>
      </c>
      <c r="C548" s="12">
        <v>46196</v>
      </c>
      <c r="D548" s="9" t="s">
        <v>30</v>
      </c>
      <c r="E548" s="9" t="s">
        <v>29</v>
      </c>
      <c r="F548" s="13">
        <v>24050</v>
      </c>
      <c r="G548" s="39">
        <v>2860</v>
      </c>
      <c r="H548" s="45">
        <v>103.49</v>
      </c>
      <c r="I548" s="45">
        <v>124.54</v>
      </c>
      <c r="J548" s="40">
        <f>IF(D548="Short",H548-I548,I548-H548)</f>
        <v>21.050000000000011</v>
      </c>
      <c r="K548" s="40">
        <f>J548*G548</f>
        <v>60203.000000000029</v>
      </c>
      <c r="L548" s="40">
        <f>IF(D548="Short",G548*H548,G548*I548)</f>
        <v>356184.4</v>
      </c>
      <c r="M548" s="40">
        <f>IF(D548="Short",G548*I548,H548*G548)</f>
        <v>295981.39999999997</v>
      </c>
      <c r="N548" s="40">
        <f>L548+M548</f>
        <v>652165.80000000005</v>
      </c>
      <c r="O548" s="40">
        <f>N548*0.000134</f>
        <v>87.390217200000009</v>
      </c>
      <c r="P548" s="40">
        <f>K548-O548</f>
        <v>60115.609782800027</v>
      </c>
      <c r="Q548" s="14"/>
      <c r="R548" s="14"/>
      <c r="S548" s="14"/>
    </row>
    <row r="549" spans="1:19" x14ac:dyDescent="0.25">
      <c r="A549" s="51">
        <v>46192</v>
      </c>
      <c r="B549" s="9" t="s">
        <v>27</v>
      </c>
      <c r="C549" s="12">
        <v>46198</v>
      </c>
      <c r="D549" s="9" t="s">
        <v>28</v>
      </c>
      <c r="E549" s="9" t="s">
        <v>32</v>
      </c>
      <c r="F549" s="13">
        <v>76800</v>
      </c>
      <c r="G549" s="39">
        <v>560</v>
      </c>
      <c r="H549" s="45">
        <v>432.24</v>
      </c>
      <c r="I549" s="45">
        <v>211.37</v>
      </c>
      <c r="J549" s="40">
        <f>IF(D549="Short",H549-I549,I549-H549)</f>
        <v>220.87</v>
      </c>
      <c r="K549" s="40">
        <f>J549*G549</f>
        <v>123687.2</v>
      </c>
      <c r="L549" s="40">
        <f>IF(D549="Short",G549*H549,G549*I549)</f>
        <v>242054.39999999999</v>
      </c>
      <c r="M549" s="40">
        <f>IF(D549="Short",G549*I549,H549*G549)</f>
        <v>118367.2</v>
      </c>
      <c r="N549" s="40">
        <f>L549+M549</f>
        <v>360421.6</v>
      </c>
      <c r="O549" s="40">
        <f>N549*0.000134</f>
        <v>48.2964944</v>
      </c>
      <c r="P549" s="40">
        <f>K549-O549</f>
        <v>123638.9035056</v>
      </c>
      <c r="Q549" s="14"/>
      <c r="R549" s="14"/>
      <c r="S549" s="14"/>
    </row>
    <row r="550" spans="1:19" x14ac:dyDescent="0.25">
      <c r="A550" s="51">
        <v>46192</v>
      </c>
      <c r="B550" s="9" t="s">
        <v>31</v>
      </c>
      <c r="C550" s="12">
        <v>46196</v>
      </c>
      <c r="D550" s="9" t="s">
        <v>28</v>
      </c>
      <c r="E550" s="9" t="s">
        <v>29</v>
      </c>
      <c r="F550" s="13">
        <v>23900</v>
      </c>
      <c r="G550" s="39">
        <v>780</v>
      </c>
      <c r="H550" s="45">
        <v>149.69999999999999</v>
      </c>
      <c r="I550" s="45">
        <v>255.24</v>
      </c>
      <c r="J550" s="40">
        <f>IF(D550="Short",H550-I550,I550-H550)</f>
        <v>-105.54000000000002</v>
      </c>
      <c r="K550" s="40">
        <f>J550*G550</f>
        <v>-82321.200000000012</v>
      </c>
      <c r="L550" s="40">
        <f>IF(D550="Short",G550*H550,G550*I550)</f>
        <v>116765.99999999999</v>
      </c>
      <c r="M550" s="40">
        <f>IF(D550="Short",G550*I550,H550*G550)</f>
        <v>199087.2</v>
      </c>
      <c r="N550" s="40">
        <f>L550+M550</f>
        <v>315853.2</v>
      </c>
      <c r="O550" s="40">
        <f>N550*0.000134</f>
        <v>42.324328800000004</v>
      </c>
      <c r="P550" s="40">
        <f>K550-O550</f>
        <v>-82363.524328800006</v>
      </c>
      <c r="Q550" s="14"/>
      <c r="R550" s="14"/>
      <c r="S550" s="14"/>
    </row>
    <row r="551" spans="1:19" x14ac:dyDescent="0.25">
      <c r="A551" s="51">
        <v>46192</v>
      </c>
      <c r="B551" s="9" t="s">
        <v>27</v>
      </c>
      <c r="C551" s="12">
        <v>46198</v>
      </c>
      <c r="D551" s="9" t="s">
        <v>28</v>
      </c>
      <c r="E551" s="9" t="s">
        <v>29</v>
      </c>
      <c r="F551" s="13">
        <v>76700</v>
      </c>
      <c r="G551" s="39">
        <v>280</v>
      </c>
      <c r="H551" s="45">
        <v>560.89</v>
      </c>
      <c r="I551" s="45">
        <v>725.15</v>
      </c>
      <c r="J551" s="40">
        <f>IF(D551="Short",H551-I551,I551-H551)</f>
        <v>-164.26</v>
      </c>
      <c r="K551" s="40">
        <f>J551*G551</f>
        <v>-45992.799999999996</v>
      </c>
      <c r="L551" s="40">
        <f>IF(D551="Short",G551*H551,G551*I551)</f>
        <v>157049.19999999998</v>
      </c>
      <c r="M551" s="40">
        <f>IF(D551="Short",G551*I551,H551*G551)</f>
        <v>203042</v>
      </c>
      <c r="N551" s="40">
        <f>L551+M551</f>
        <v>360091.19999999995</v>
      </c>
      <c r="O551" s="40">
        <f>N551*0.000134</f>
        <v>48.252220799999996</v>
      </c>
      <c r="P551" s="40">
        <f>K551-O551</f>
        <v>-46041.052220799997</v>
      </c>
      <c r="Q551" s="14"/>
      <c r="R551" s="14"/>
      <c r="S551" s="14"/>
    </row>
    <row r="552" spans="1:19" x14ac:dyDescent="0.25">
      <c r="A552" s="51">
        <v>46192</v>
      </c>
      <c r="B552" s="9" t="s">
        <v>27</v>
      </c>
      <c r="C552" s="12">
        <v>46198</v>
      </c>
      <c r="D552" s="9" t="s">
        <v>28</v>
      </c>
      <c r="E552" s="9" t="s">
        <v>29</v>
      </c>
      <c r="F552" s="13">
        <v>76600</v>
      </c>
      <c r="G552" s="39">
        <v>20</v>
      </c>
      <c r="H552" s="45">
        <v>601.13</v>
      </c>
      <c r="I552" s="45">
        <v>642</v>
      </c>
      <c r="J552" s="40">
        <f>IF(D552="Short",H552-I552,I552-H552)</f>
        <v>-40.870000000000005</v>
      </c>
      <c r="K552" s="40">
        <f>J552*G552</f>
        <v>-817.40000000000009</v>
      </c>
      <c r="L552" s="40">
        <f>IF(D552="Short",G552*H552,G552*I552)</f>
        <v>12022.6</v>
      </c>
      <c r="M552" s="40">
        <f>IF(D552="Short",G552*I552,H552*G552)</f>
        <v>12840</v>
      </c>
      <c r="N552" s="40">
        <f>L552+M552</f>
        <v>24862.6</v>
      </c>
      <c r="O552" s="40">
        <f>N552*0.000134</f>
        <v>3.3315883999999998</v>
      </c>
      <c r="P552" s="40">
        <f>K552-O552</f>
        <v>-820.73158840000008</v>
      </c>
      <c r="Q552" s="14"/>
      <c r="R552" s="14"/>
      <c r="S552" s="14"/>
    </row>
    <row r="553" spans="1:19" x14ac:dyDescent="0.25">
      <c r="A553" s="51">
        <v>46192</v>
      </c>
      <c r="B553" s="9" t="s">
        <v>27</v>
      </c>
      <c r="C553" s="12">
        <v>46198</v>
      </c>
      <c r="D553" s="9" t="s">
        <v>30</v>
      </c>
      <c r="E553" s="9" t="s">
        <v>32</v>
      </c>
      <c r="F553" s="13">
        <v>75500</v>
      </c>
      <c r="G553" s="39">
        <v>800</v>
      </c>
      <c r="H553" s="45">
        <v>43.68</v>
      </c>
      <c r="I553" s="45">
        <v>102.14</v>
      </c>
      <c r="J553" s="40">
        <f>IF(D553="Short",H553-I553,I553-H553)</f>
        <v>58.46</v>
      </c>
      <c r="K553" s="40">
        <f>J553*G553</f>
        <v>46768</v>
      </c>
      <c r="L553" s="40">
        <f>IF(D553="Short",G553*H553,G553*I553)</f>
        <v>81712</v>
      </c>
      <c r="M553" s="40">
        <f>IF(D553="Short",G553*I553,H553*G553)</f>
        <v>34944</v>
      </c>
      <c r="N553" s="40">
        <f>L553+M553</f>
        <v>116656</v>
      </c>
      <c r="O553" s="40">
        <f>N553*0.000134</f>
        <v>15.631904</v>
      </c>
      <c r="P553" s="40">
        <f>K553-O553</f>
        <v>46752.368095999998</v>
      </c>
      <c r="Q553" s="14"/>
      <c r="R553" s="14"/>
      <c r="S553" s="14"/>
    </row>
    <row r="554" spans="1:19" x14ac:dyDescent="0.25">
      <c r="A554" s="51">
        <v>46192</v>
      </c>
      <c r="B554" s="9" t="s">
        <v>27</v>
      </c>
      <c r="C554" s="12">
        <v>46198</v>
      </c>
      <c r="D554" s="9" t="s">
        <v>30</v>
      </c>
      <c r="E554" s="9" t="s">
        <v>29</v>
      </c>
      <c r="F554" s="13">
        <v>76900</v>
      </c>
      <c r="G554" s="39">
        <v>560</v>
      </c>
      <c r="H554" s="45">
        <v>505.75</v>
      </c>
      <c r="I554" s="45">
        <v>602.38</v>
      </c>
      <c r="J554" s="40">
        <f>IF(D554="Short",H554-I554,I554-H554)</f>
        <v>96.63</v>
      </c>
      <c r="K554" s="40">
        <f>J554*G554</f>
        <v>54112.799999999996</v>
      </c>
      <c r="L554" s="40">
        <f>IF(D554="Short",G554*H554,G554*I554)</f>
        <v>337332.8</v>
      </c>
      <c r="M554" s="40">
        <f>IF(D554="Short",G554*I554,H554*G554)</f>
        <v>283220</v>
      </c>
      <c r="N554" s="40">
        <f>L554+M554</f>
        <v>620552.80000000005</v>
      </c>
      <c r="O554" s="40">
        <f>N554*0.000134</f>
        <v>83.154075200000008</v>
      </c>
      <c r="P554" s="40">
        <f>K554-O554</f>
        <v>54029.645924799996</v>
      </c>
      <c r="Q554" s="14"/>
      <c r="R554" s="14"/>
      <c r="S554" s="14"/>
    </row>
    <row r="555" spans="1:19" x14ac:dyDescent="0.25">
      <c r="A555" s="51">
        <v>46192</v>
      </c>
      <c r="B555" s="9" t="s">
        <v>31</v>
      </c>
      <c r="C555" s="12">
        <v>46196</v>
      </c>
      <c r="D555" s="9" t="s">
        <v>30</v>
      </c>
      <c r="E555" s="9" t="s">
        <v>32</v>
      </c>
      <c r="F555" s="13">
        <v>23950</v>
      </c>
      <c r="G555" s="39">
        <v>520</v>
      </c>
      <c r="H555" s="45">
        <v>119.21</v>
      </c>
      <c r="I555" s="45">
        <v>88.7</v>
      </c>
      <c r="J555" s="40">
        <f>IF(D555="Short",H555-I555,I555-H555)</f>
        <v>-30.509999999999991</v>
      </c>
      <c r="K555" s="40">
        <f>J555*G555</f>
        <v>-15865.199999999995</v>
      </c>
      <c r="L555" s="40">
        <f>IF(D555="Short",G555*H555,G555*I555)</f>
        <v>46124</v>
      </c>
      <c r="M555" s="40">
        <f>IF(D555="Short",G555*I555,H555*G555)</f>
        <v>61989.2</v>
      </c>
      <c r="N555" s="40">
        <f>L555+M555</f>
        <v>108113.2</v>
      </c>
      <c r="O555" s="40">
        <f>N555*0.000134</f>
        <v>14.487168800000001</v>
      </c>
      <c r="P555" s="40">
        <f>K555-O555</f>
        <v>-15879.687168799996</v>
      </c>
      <c r="Q555" s="14"/>
      <c r="R555" s="14"/>
      <c r="S555" s="14"/>
    </row>
    <row r="556" spans="1:19" x14ac:dyDescent="0.25">
      <c r="A556" s="51">
        <v>46192</v>
      </c>
      <c r="B556" s="9" t="s">
        <v>27</v>
      </c>
      <c r="C556" s="12">
        <v>46198</v>
      </c>
      <c r="D556" s="9" t="s">
        <v>28</v>
      </c>
      <c r="E556" s="9" t="s">
        <v>29</v>
      </c>
      <c r="F556" s="13">
        <v>76500</v>
      </c>
      <c r="G556" s="39">
        <v>280</v>
      </c>
      <c r="H556" s="45">
        <v>658.49</v>
      </c>
      <c r="I556" s="45">
        <v>696.85</v>
      </c>
      <c r="J556" s="40">
        <f>IF(D556="Short",H556-I556,I556-H556)</f>
        <v>-38.360000000000014</v>
      </c>
      <c r="K556" s="40">
        <f>J556*G556</f>
        <v>-10740.800000000003</v>
      </c>
      <c r="L556" s="40">
        <f>IF(D556="Short",G556*H556,G556*I556)</f>
        <v>184377.2</v>
      </c>
      <c r="M556" s="40">
        <f>IF(D556="Short",G556*I556,H556*G556)</f>
        <v>195118</v>
      </c>
      <c r="N556" s="40">
        <f>L556+M556</f>
        <v>379495.2</v>
      </c>
      <c r="O556" s="40">
        <f>N556*0.000134</f>
        <v>50.852356800000003</v>
      </c>
      <c r="P556" s="40">
        <f>K556-O556</f>
        <v>-10791.652356800003</v>
      </c>
      <c r="Q556" s="14"/>
      <c r="R556" s="14"/>
      <c r="S556" s="14"/>
    </row>
    <row r="557" spans="1:19" x14ac:dyDescent="0.25">
      <c r="A557" s="51">
        <v>46192</v>
      </c>
      <c r="B557" s="9" t="s">
        <v>27</v>
      </c>
      <c r="C557" s="12">
        <v>46198</v>
      </c>
      <c r="D557" s="9" t="s">
        <v>28</v>
      </c>
      <c r="E557" s="9" t="s">
        <v>32</v>
      </c>
      <c r="F557" s="13">
        <v>76800</v>
      </c>
      <c r="G557" s="39">
        <v>280</v>
      </c>
      <c r="H557" s="45">
        <v>432.24</v>
      </c>
      <c r="I557" s="45">
        <v>513.28</v>
      </c>
      <c r="J557" s="40">
        <f>IF(D557="Short",H557-I557,I557-H557)</f>
        <v>-81.039999999999964</v>
      </c>
      <c r="K557" s="40">
        <f>J557*G557</f>
        <v>-22691.19999999999</v>
      </c>
      <c r="L557" s="40">
        <f>IF(D557="Short",G557*H557,G557*I557)</f>
        <v>121027.2</v>
      </c>
      <c r="M557" s="40">
        <f>IF(D557="Short",G557*I557,H557*G557)</f>
        <v>143718.39999999999</v>
      </c>
      <c r="N557" s="40">
        <f>L557+M557</f>
        <v>264745.59999999998</v>
      </c>
      <c r="O557" s="40">
        <f>N557*0.000134</f>
        <v>35.475910399999997</v>
      </c>
      <c r="P557" s="40">
        <f>K557-O557</f>
        <v>-22726.67591039999</v>
      </c>
      <c r="Q557" s="14"/>
      <c r="R557" s="14"/>
      <c r="S557" s="14"/>
    </row>
    <row r="558" spans="1:19" x14ac:dyDescent="0.25">
      <c r="A558" s="51">
        <v>46192</v>
      </c>
      <c r="B558" s="9" t="s">
        <v>31</v>
      </c>
      <c r="C558" s="12">
        <v>46196</v>
      </c>
      <c r="D558" s="9" t="s">
        <v>28</v>
      </c>
      <c r="E558" s="9" t="s">
        <v>32</v>
      </c>
      <c r="F558" s="13">
        <v>23950</v>
      </c>
      <c r="G558" s="39">
        <v>390</v>
      </c>
      <c r="H558" s="45">
        <v>88.7</v>
      </c>
      <c r="I558" s="45">
        <v>3.7</v>
      </c>
      <c r="J558" s="40">
        <f>IF(D558="Short",H558-I558,I558-H558)</f>
        <v>85</v>
      </c>
      <c r="K558" s="40">
        <f>J558*G558</f>
        <v>33150</v>
      </c>
      <c r="L558" s="40">
        <f>IF(D558="Short",G558*H558,G558*I558)</f>
        <v>34593</v>
      </c>
      <c r="M558" s="40">
        <f>IF(D558="Short",G558*I558,H558*G558)</f>
        <v>1443</v>
      </c>
      <c r="N558" s="40">
        <f>L558+M558</f>
        <v>36036</v>
      </c>
      <c r="O558" s="40">
        <f>N558*0.000134</f>
        <v>4.828824</v>
      </c>
      <c r="P558" s="40">
        <f>K558-O558</f>
        <v>33145.171176000003</v>
      </c>
      <c r="Q558" s="14"/>
      <c r="R558" s="14"/>
      <c r="S558" s="14"/>
    </row>
    <row r="559" spans="1:19" x14ac:dyDescent="0.25">
      <c r="A559" s="51">
        <v>46195</v>
      </c>
      <c r="B559" s="9" t="s">
        <v>27</v>
      </c>
      <c r="C559" s="12">
        <v>46198</v>
      </c>
      <c r="D559" s="9" t="s">
        <v>28</v>
      </c>
      <c r="E559" s="9" t="s">
        <v>29</v>
      </c>
      <c r="F559" s="13">
        <v>77100</v>
      </c>
      <c r="G559" s="39">
        <v>280</v>
      </c>
      <c r="H559" s="45">
        <v>417.23</v>
      </c>
      <c r="I559" s="45">
        <v>345.99</v>
      </c>
      <c r="J559" s="40">
        <f>IF(D559="Short",H559-I559,I559-H559)</f>
        <v>71.240000000000009</v>
      </c>
      <c r="K559" s="40">
        <f>J559*G559</f>
        <v>19947.200000000004</v>
      </c>
      <c r="L559" s="40">
        <f>IF(D559="Short",G559*H559,G559*I559)</f>
        <v>116824.40000000001</v>
      </c>
      <c r="M559" s="40">
        <f>IF(D559="Short",G559*I559,H559*G559)</f>
        <v>96877.2</v>
      </c>
      <c r="N559" s="40">
        <f>L559+M559</f>
        <v>213701.6</v>
      </c>
      <c r="O559" s="40">
        <f>N559*0.000134</f>
        <v>28.636014400000001</v>
      </c>
      <c r="P559" s="40">
        <f>K559-O559</f>
        <v>19918.563985600005</v>
      </c>
      <c r="Q559" s="14"/>
      <c r="R559" s="14"/>
      <c r="S559" s="14"/>
    </row>
    <row r="560" spans="1:19" x14ac:dyDescent="0.25">
      <c r="A560" s="51">
        <v>46195</v>
      </c>
      <c r="B560" s="9" t="s">
        <v>27</v>
      </c>
      <c r="C560" s="12">
        <v>46198</v>
      </c>
      <c r="D560" s="9" t="s">
        <v>30</v>
      </c>
      <c r="E560" s="9" t="s">
        <v>29</v>
      </c>
      <c r="F560" s="13">
        <v>78900</v>
      </c>
      <c r="G560" s="39">
        <v>560</v>
      </c>
      <c r="H560" s="45">
        <v>22.81</v>
      </c>
      <c r="I560" s="45">
        <v>10.55</v>
      </c>
      <c r="J560" s="40">
        <f>IF(D560="Short",H560-I560,I560-H560)</f>
        <v>-12.259999999999998</v>
      </c>
      <c r="K560" s="40">
        <f>J560*G560</f>
        <v>-6865.5999999999985</v>
      </c>
      <c r="L560" s="40">
        <f>IF(D560="Short",G560*H560,G560*I560)</f>
        <v>5908</v>
      </c>
      <c r="M560" s="40">
        <f>IF(D560="Short",G560*I560,H560*G560)</f>
        <v>12773.599999999999</v>
      </c>
      <c r="N560" s="40">
        <f>L560+M560</f>
        <v>18681.599999999999</v>
      </c>
      <c r="O560" s="40">
        <f>N560*0.000134</f>
        <v>2.5033344</v>
      </c>
      <c r="P560" s="40">
        <f>K560-O560</f>
        <v>-6868.1033343999989</v>
      </c>
      <c r="Q560" s="14"/>
      <c r="R560" s="14"/>
      <c r="S560" s="14"/>
    </row>
    <row r="561" spans="1:19" x14ac:dyDescent="0.25">
      <c r="A561" s="51">
        <v>46195</v>
      </c>
      <c r="B561" s="9" t="s">
        <v>27</v>
      </c>
      <c r="C561" s="12">
        <v>46198</v>
      </c>
      <c r="D561" s="9" t="s">
        <v>30</v>
      </c>
      <c r="E561" s="9" t="s">
        <v>32</v>
      </c>
      <c r="F561" s="13">
        <v>76800</v>
      </c>
      <c r="G561" s="39">
        <v>40</v>
      </c>
      <c r="H561" s="45">
        <v>211.37</v>
      </c>
      <c r="I561" s="45">
        <v>234.05</v>
      </c>
      <c r="J561" s="40">
        <f>IF(D561="Short",H561-I561,I561-H561)</f>
        <v>22.680000000000007</v>
      </c>
      <c r="K561" s="40">
        <f>J561*G561</f>
        <v>907.20000000000027</v>
      </c>
      <c r="L561" s="40">
        <f>IF(D561="Short",G561*H561,G561*I561)</f>
        <v>9362</v>
      </c>
      <c r="M561" s="40">
        <f>IF(D561="Short",G561*I561,H561*G561)</f>
        <v>8454.7999999999993</v>
      </c>
      <c r="N561" s="40">
        <f>L561+M561</f>
        <v>17816.8</v>
      </c>
      <c r="O561" s="40">
        <f>N561*0.000134</f>
        <v>2.3874512000000001</v>
      </c>
      <c r="P561" s="40">
        <f>K561-O561</f>
        <v>904.81254880000029</v>
      </c>
      <c r="Q561" s="14"/>
      <c r="R561" s="14"/>
      <c r="S561" s="14"/>
    </row>
    <row r="562" spans="1:19" x14ac:dyDescent="0.25">
      <c r="A562" s="51">
        <v>46195</v>
      </c>
      <c r="B562" s="9" t="s">
        <v>31</v>
      </c>
      <c r="C562" s="12">
        <v>46196</v>
      </c>
      <c r="D562" s="9" t="s">
        <v>28</v>
      </c>
      <c r="E562" s="9" t="s">
        <v>29</v>
      </c>
      <c r="F562" s="13">
        <v>24100</v>
      </c>
      <c r="G562" s="39">
        <v>1820</v>
      </c>
      <c r="H562" s="45">
        <v>77.72</v>
      </c>
      <c r="I562" s="45">
        <v>37.32</v>
      </c>
      <c r="J562" s="40">
        <f>IF(D562="Short",H562-I562,I562-H562)</f>
        <v>40.4</v>
      </c>
      <c r="K562" s="40">
        <f>J562*G562</f>
        <v>73528</v>
      </c>
      <c r="L562" s="40">
        <f>IF(D562="Short",G562*H562,G562*I562)</f>
        <v>141450.4</v>
      </c>
      <c r="M562" s="40">
        <f>IF(D562="Short",G562*I562,H562*G562)</f>
        <v>67922.399999999994</v>
      </c>
      <c r="N562" s="40">
        <f>L562+M562</f>
        <v>209372.79999999999</v>
      </c>
      <c r="O562" s="40">
        <f>N562*0.000134</f>
        <v>28.0559552</v>
      </c>
      <c r="P562" s="40">
        <f>K562-O562</f>
        <v>73499.944044799995</v>
      </c>
      <c r="Q562" s="14"/>
      <c r="R562" s="14"/>
      <c r="S562" s="14"/>
    </row>
    <row r="563" spans="1:19" x14ac:dyDescent="0.25">
      <c r="A563" s="51">
        <v>46195</v>
      </c>
      <c r="B563" s="9" t="s">
        <v>31</v>
      </c>
      <c r="C563" s="12">
        <v>46196</v>
      </c>
      <c r="D563" s="9" t="s">
        <v>30</v>
      </c>
      <c r="E563" s="9" t="s">
        <v>29</v>
      </c>
      <c r="F563" s="13">
        <v>24400</v>
      </c>
      <c r="G563" s="39">
        <v>1820</v>
      </c>
      <c r="H563" s="45">
        <v>6.4</v>
      </c>
      <c r="I563" s="45">
        <v>1.25</v>
      </c>
      <c r="J563" s="40">
        <f>IF(D563="Short",H563-I563,I563-H563)</f>
        <v>-5.15</v>
      </c>
      <c r="K563" s="40">
        <f>J563*G563</f>
        <v>-9373</v>
      </c>
      <c r="L563" s="40">
        <f>IF(D563="Short",G563*H563,G563*I563)</f>
        <v>2275</v>
      </c>
      <c r="M563" s="40">
        <f>IF(D563="Short",G563*I563,H563*G563)</f>
        <v>11648</v>
      </c>
      <c r="N563" s="40">
        <f>L563+M563</f>
        <v>13923</v>
      </c>
      <c r="O563" s="40">
        <f>N563*0.000134</f>
        <v>1.8656820000000001</v>
      </c>
      <c r="P563" s="40">
        <f>K563-O563</f>
        <v>-9374.8656819999997</v>
      </c>
      <c r="Q563" s="14"/>
      <c r="R563" s="14"/>
      <c r="S563" s="14"/>
    </row>
    <row r="564" spans="1:19" x14ac:dyDescent="0.25">
      <c r="A564" s="51">
        <v>46195</v>
      </c>
      <c r="B564" s="9" t="s">
        <v>31</v>
      </c>
      <c r="C564" s="12">
        <v>46196</v>
      </c>
      <c r="D564" s="9" t="s">
        <v>28</v>
      </c>
      <c r="E564" s="9" t="s">
        <v>32</v>
      </c>
      <c r="F564" s="13">
        <v>24000</v>
      </c>
      <c r="G564" s="39">
        <v>65</v>
      </c>
      <c r="H564" s="45">
        <v>115.95</v>
      </c>
      <c r="I564" s="45">
        <v>24.48</v>
      </c>
      <c r="J564" s="40">
        <f>IF(D564="Short",H564-I564,I564-H564)</f>
        <v>91.47</v>
      </c>
      <c r="K564" s="40">
        <f>J564*G564</f>
        <v>5945.55</v>
      </c>
      <c r="L564" s="40">
        <f>IF(D564="Short",G564*H564,G564*I564)</f>
        <v>7536.75</v>
      </c>
      <c r="M564" s="40">
        <f>IF(D564="Short",G564*I564,H564*G564)</f>
        <v>1591.2</v>
      </c>
      <c r="N564" s="40">
        <f>L564+M564</f>
        <v>9127.9500000000007</v>
      </c>
      <c r="O564" s="40">
        <f>N564*0.000134</f>
        <v>1.2231453000000001</v>
      </c>
      <c r="P564" s="40">
        <f>K564-O564</f>
        <v>5944.3268546999998</v>
      </c>
      <c r="Q564" s="14"/>
      <c r="R564" s="14"/>
      <c r="S564" s="14"/>
    </row>
    <row r="565" spans="1:19" x14ac:dyDescent="0.25">
      <c r="A565" s="51">
        <v>46195</v>
      </c>
      <c r="B565" s="9" t="s">
        <v>27</v>
      </c>
      <c r="C565" s="12">
        <v>46198</v>
      </c>
      <c r="D565" s="9" t="s">
        <v>28</v>
      </c>
      <c r="E565" s="9" t="s">
        <v>29</v>
      </c>
      <c r="F565" s="13">
        <v>77200</v>
      </c>
      <c r="G565" s="39">
        <v>280</v>
      </c>
      <c r="H565" s="45">
        <v>355.02</v>
      </c>
      <c r="I565" s="45">
        <v>302.38</v>
      </c>
      <c r="J565" s="40">
        <f>IF(D565="Short",H565-I565,I565-H565)</f>
        <v>52.639999999999986</v>
      </c>
      <c r="K565" s="40">
        <f>J565*G565</f>
        <v>14739.199999999997</v>
      </c>
      <c r="L565" s="40">
        <f>IF(D565="Short",G565*H565,G565*I565)</f>
        <v>99405.599999999991</v>
      </c>
      <c r="M565" s="40">
        <f>IF(D565="Short",G565*I565,H565*G565)</f>
        <v>84666.4</v>
      </c>
      <c r="N565" s="40">
        <f>L565+M565</f>
        <v>184072</v>
      </c>
      <c r="O565" s="40">
        <f>N565*0.000134</f>
        <v>24.665648000000001</v>
      </c>
      <c r="P565" s="40">
        <f>K565-O565</f>
        <v>14714.534351999997</v>
      </c>
      <c r="Q565" s="14"/>
      <c r="R565" s="14"/>
      <c r="S565" s="14"/>
    </row>
    <row r="566" spans="1:19" x14ac:dyDescent="0.25">
      <c r="A566" s="51">
        <v>46195</v>
      </c>
      <c r="B566" s="9" t="s">
        <v>27</v>
      </c>
      <c r="C566" s="12">
        <v>46198</v>
      </c>
      <c r="D566" s="9" t="s">
        <v>28</v>
      </c>
      <c r="E566" s="9" t="s">
        <v>32</v>
      </c>
      <c r="F566" s="13">
        <v>77200</v>
      </c>
      <c r="G566" s="39">
        <v>240</v>
      </c>
      <c r="H566" s="45">
        <v>363.33</v>
      </c>
      <c r="I566" s="45">
        <v>634.11</v>
      </c>
      <c r="J566" s="40">
        <f>IF(D566="Short",H566-I566,I566-H566)</f>
        <v>-270.78000000000003</v>
      </c>
      <c r="K566" s="40">
        <f>J566*G566</f>
        <v>-64987.200000000004</v>
      </c>
      <c r="L566" s="40">
        <f>IF(D566="Short",G566*H566,G566*I566)</f>
        <v>87199.2</v>
      </c>
      <c r="M566" s="40">
        <f>IF(D566="Short",G566*I566,H566*G566)</f>
        <v>152186.4</v>
      </c>
      <c r="N566" s="40">
        <f>L566+M566</f>
        <v>239385.59999999998</v>
      </c>
      <c r="O566" s="40">
        <f>N566*0.000134</f>
        <v>32.077670399999995</v>
      </c>
      <c r="P566" s="40">
        <f>K566-O566</f>
        <v>-65019.277670400006</v>
      </c>
      <c r="Q566" s="14"/>
      <c r="R566" s="14"/>
      <c r="S566" s="14"/>
    </row>
    <row r="567" spans="1:19" x14ac:dyDescent="0.25">
      <c r="A567" s="51">
        <v>46195</v>
      </c>
      <c r="B567" s="9" t="s">
        <v>27</v>
      </c>
      <c r="C567" s="12">
        <v>46198</v>
      </c>
      <c r="D567" s="9" t="s">
        <v>30</v>
      </c>
      <c r="E567" s="9" t="s">
        <v>32</v>
      </c>
      <c r="F567" s="13">
        <v>75500</v>
      </c>
      <c r="G567" s="39">
        <v>1280</v>
      </c>
      <c r="H567" s="45">
        <v>32.71</v>
      </c>
      <c r="I567" s="45">
        <v>10.92</v>
      </c>
      <c r="J567" s="40">
        <f>IF(D567="Short",H567-I567,I567-H567)</f>
        <v>-21.79</v>
      </c>
      <c r="K567" s="40">
        <f>J567*G567</f>
        <v>-27891.199999999997</v>
      </c>
      <c r="L567" s="40">
        <f>IF(D567="Short",G567*H567,G567*I567)</f>
        <v>13977.6</v>
      </c>
      <c r="M567" s="40">
        <f>IF(D567="Short",G567*I567,H567*G567)</f>
        <v>41868.800000000003</v>
      </c>
      <c r="N567" s="40">
        <f>L567+M567</f>
        <v>55846.400000000001</v>
      </c>
      <c r="O567" s="40">
        <f>N567*0.000134</f>
        <v>7.4834176000000001</v>
      </c>
      <c r="P567" s="40">
        <f>K567-O567</f>
        <v>-27898.683417599997</v>
      </c>
      <c r="Q567" s="14"/>
      <c r="R567" s="14"/>
      <c r="S567" s="14"/>
    </row>
    <row r="568" spans="1:19" x14ac:dyDescent="0.25">
      <c r="A568" s="51">
        <v>46195</v>
      </c>
      <c r="B568" s="9" t="s">
        <v>31</v>
      </c>
      <c r="C568" s="12">
        <v>46196</v>
      </c>
      <c r="D568" s="9" t="s">
        <v>30</v>
      </c>
      <c r="E568" s="9" t="s">
        <v>32</v>
      </c>
      <c r="F568" s="13">
        <v>23600</v>
      </c>
      <c r="G568" s="39">
        <v>910</v>
      </c>
      <c r="H568" s="45">
        <v>10.74</v>
      </c>
      <c r="I568" s="45">
        <v>2.4</v>
      </c>
      <c r="J568" s="40">
        <f>IF(D568="Short",H568-I568,I568-H568)</f>
        <v>-8.34</v>
      </c>
      <c r="K568" s="40">
        <f>J568*G568</f>
        <v>-7589.4</v>
      </c>
      <c r="L568" s="40">
        <f>IF(D568="Short",G568*H568,G568*I568)</f>
        <v>2184</v>
      </c>
      <c r="M568" s="40">
        <f>IF(D568="Short",G568*I568,H568*G568)</f>
        <v>9773.4</v>
      </c>
      <c r="N568" s="40">
        <f>L568+M568</f>
        <v>11957.4</v>
      </c>
      <c r="O568" s="40">
        <f>N568*0.000134</f>
        <v>1.6022916</v>
      </c>
      <c r="P568" s="40">
        <f>K568-O568</f>
        <v>-7591.0022915999998</v>
      </c>
      <c r="Q568" s="14"/>
      <c r="R568" s="14"/>
      <c r="S568" s="14"/>
    </row>
    <row r="569" spans="1:19" x14ac:dyDescent="0.25">
      <c r="A569" s="51">
        <v>46195</v>
      </c>
      <c r="B569" s="9" t="s">
        <v>27</v>
      </c>
      <c r="C569" s="12">
        <v>46198</v>
      </c>
      <c r="D569" s="9" t="s">
        <v>28</v>
      </c>
      <c r="E569" s="9" t="s">
        <v>29</v>
      </c>
      <c r="F569" s="13">
        <v>78400</v>
      </c>
      <c r="G569" s="39">
        <v>280</v>
      </c>
      <c r="H569" s="45">
        <v>74.44</v>
      </c>
      <c r="I569" s="45">
        <v>68.959999999999994</v>
      </c>
      <c r="J569" s="40">
        <f>IF(D569="Short",H569-I569,I569-H569)</f>
        <v>5.480000000000004</v>
      </c>
      <c r="K569" s="40">
        <f>J569*G569</f>
        <v>1534.400000000001</v>
      </c>
      <c r="L569" s="40">
        <f>IF(D569="Short",G569*H569,G569*I569)</f>
        <v>20843.2</v>
      </c>
      <c r="M569" s="40">
        <f>IF(D569="Short",G569*I569,H569*G569)</f>
        <v>19308.8</v>
      </c>
      <c r="N569" s="40">
        <f>L569+M569</f>
        <v>40152</v>
      </c>
      <c r="O569" s="40">
        <f>N569*0.000134</f>
        <v>5.3803679999999998</v>
      </c>
      <c r="P569" s="40">
        <f>K569-O569</f>
        <v>1529.0196320000009</v>
      </c>
      <c r="Q569" s="14"/>
      <c r="R569" s="14"/>
      <c r="S569" s="14"/>
    </row>
    <row r="570" spans="1:19" x14ac:dyDescent="0.25">
      <c r="A570" s="51">
        <v>46195</v>
      </c>
      <c r="B570" s="9" t="s">
        <v>27</v>
      </c>
      <c r="C570" s="12">
        <v>46198</v>
      </c>
      <c r="D570" s="9" t="s">
        <v>28</v>
      </c>
      <c r="E570" s="9" t="s">
        <v>32</v>
      </c>
      <c r="F570" s="13">
        <v>77300</v>
      </c>
      <c r="G570" s="39">
        <v>120</v>
      </c>
      <c r="H570" s="45">
        <v>401.71</v>
      </c>
      <c r="I570" s="45">
        <v>672.85</v>
      </c>
      <c r="J570" s="40">
        <f>IF(D570="Short",H570-I570,I570-H570)</f>
        <v>-271.14000000000004</v>
      </c>
      <c r="K570" s="40">
        <f>J570*G570</f>
        <v>-32536.800000000007</v>
      </c>
      <c r="L570" s="40">
        <f>IF(D570="Short",G570*H570,G570*I570)</f>
        <v>48205.2</v>
      </c>
      <c r="M570" s="40">
        <f>IF(D570="Short",G570*I570,H570*G570)</f>
        <v>80742</v>
      </c>
      <c r="N570" s="40">
        <f>L570+M570</f>
        <v>128947.2</v>
      </c>
      <c r="O570" s="40">
        <f>N570*0.000134</f>
        <v>17.278924799999999</v>
      </c>
      <c r="P570" s="40">
        <f>K570-O570</f>
        <v>-32554.078924800007</v>
      </c>
      <c r="Q570" s="14"/>
      <c r="R570" s="14"/>
      <c r="S570" s="14"/>
    </row>
    <row r="571" spans="1:19" x14ac:dyDescent="0.25">
      <c r="A571" s="51">
        <v>46195</v>
      </c>
      <c r="B571" s="9" t="s">
        <v>31</v>
      </c>
      <c r="C571" s="12">
        <v>46196</v>
      </c>
      <c r="D571" s="9" t="s">
        <v>28</v>
      </c>
      <c r="E571" s="9" t="s">
        <v>32</v>
      </c>
      <c r="F571" s="13">
        <v>24150</v>
      </c>
      <c r="G571" s="39">
        <v>780</v>
      </c>
      <c r="H571" s="45">
        <v>81.14</v>
      </c>
      <c r="I571" s="45">
        <v>146.44999999999999</v>
      </c>
      <c r="J571" s="40">
        <f>IF(D571="Short",H571-I571,I571-H571)</f>
        <v>-65.309999999999988</v>
      </c>
      <c r="K571" s="40">
        <f>J571*G571</f>
        <v>-50941.799999999988</v>
      </c>
      <c r="L571" s="40">
        <f>IF(D571="Short",G571*H571,G571*I571)</f>
        <v>63289.2</v>
      </c>
      <c r="M571" s="40">
        <f>IF(D571="Short",G571*I571,H571*G571)</f>
        <v>114230.99999999999</v>
      </c>
      <c r="N571" s="40">
        <f>L571+M571</f>
        <v>177520.19999999998</v>
      </c>
      <c r="O571" s="40">
        <f>N571*0.000134</f>
        <v>23.787706799999999</v>
      </c>
      <c r="P571" s="40">
        <f>K571-O571</f>
        <v>-50965.58770679999</v>
      </c>
      <c r="Q571" s="14"/>
      <c r="R571" s="14"/>
      <c r="S571" s="14"/>
    </row>
    <row r="572" spans="1:19" x14ac:dyDescent="0.25">
      <c r="A572" s="51">
        <v>46195</v>
      </c>
      <c r="B572" s="9" t="s">
        <v>31</v>
      </c>
      <c r="C572" s="12">
        <v>46196</v>
      </c>
      <c r="D572" s="9" t="s">
        <v>30</v>
      </c>
      <c r="E572" s="9" t="s">
        <v>32</v>
      </c>
      <c r="F572" s="13">
        <v>23800</v>
      </c>
      <c r="G572" s="39">
        <v>2600</v>
      </c>
      <c r="H572" s="45">
        <v>7.9</v>
      </c>
      <c r="I572" s="45">
        <v>1.32</v>
      </c>
      <c r="J572" s="40">
        <f>IF(D572="Short",H572-I572,I572-H572)</f>
        <v>-6.58</v>
      </c>
      <c r="K572" s="40">
        <f>J572*G572</f>
        <v>-17108</v>
      </c>
      <c r="L572" s="40">
        <f>IF(D572="Short",G572*H572,G572*I572)</f>
        <v>3432</v>
      </c>
      <c r="M572" s="40">
        <f>IF(D572="Short",G572*I572,H572*G572)</f>
        <v>20540</v>
      </c>
      <c r="N572" s="40">
        <f>L572+M572</f>
        <v>23972</v>
      </c>
      <c r="O572" s="40">
        <f>N572*0.000134</f>
        <v>3.2122480000000002</v>
      </c>
      <c r="P572" s="40">
        <f>K572-O572</f>
        <v>-17111.212248</v>
      </c>
      <c r="Q572" s="14"/>
      <c r="R572" s="14"/>
      <c r="S572" s="14"/>
    </row>
    <row r="573" spans="1:19" x14ac:dyDescent="0.25">
      <c r="A573" s="51">
        <v>46195</v>
      </c>
      <c r="B573" s="9" t="s">
        <v>27</v>
      </c>
      <c r="C573" s="12">
        <v>46198</v>
      </c>
      <c r="D573" s="9" t="s">
        <v>28</v>
      </c>
      <c r="E573" s="9" t="s">
        <v>29</v>
      </c>
      <c r="F573" s="13">
        <v>76600</v>
      </c>
      <c r="G573" s="39">
        <v>20</v>
      </c>
      <c r="H573" s="45">
        <v>811.2</v>
      </c>
      <c r="I573" s="45">
        <v>789.95</v>
      </c>
      <c r="J573" s="40">
        <f>IF(D573="Short",H573-I573,I573-H573)</f>
        <v>21.25</v>
      </c>
      <c r="K573" s="40">
        <f>J573*G573</f>
        <v>425</v>
      </c>
      <c r="L573" s="40">
        <f>IF(D573="Short",G573*H573,G573*I573)</f>
        <v>16224</v>
      </c>
      <c r="M573" s="40">
        <f>IF(D573="Short",G573*I573,H573*G573)</f>
        <v>15799</v>
      </c>
      <c r="N573" s="40">
        <f>L573+M573</f>
        <v>32023</v>
      </c>
      <c r="O573" s="40">
        <f>N573*0.000134</f>
        <v>4.2910820000000003</v>
      </c>
      <c r="P573" s="40">
        <f>K573-O573</f>
        <v>420.70891799999998</v>
      </c>
      <c r="Q573" s="14"/>
      <c r="R573" s="14"/>
      <c r="S573" s="14"/>
    </row>
    <row r="574" spans="1:19" x14ac:dyDescent="0.25">
      <c r="A574" s="51">
        <v>46195</v>
      </c>
      <c r="B574" s="9" t="s">
        <v>27</v>
      </c>
      <c r="C574" s="12">
        <v>46198</v>
      </c>
      <c r="D574" s="9" t="s">
        <v>30</v>
      </c>
      <c r="E574" s="9" t="s">
        <v>32</v>
      </c>
      <c r="F574" s="13">
        <v>77100</v>
      </c>
      <c r="G574" s="39">
        <v>20</v>
      </c>
      <c r="H574" s="45">
        <v>346.7</v>
      </c>
      <c r="I574" s="45">
        <v>351.85</v>
      </c>
      <c r="J574" s="40">
        <f>IF(D574="Short",H574-I574,I574-H574)</f>
        <v>5.1500000000000341</v>
      </c>
      <c r="K574" s="40">
        <f>J574*G574</f>
        <v>103.00000000000068</v>
      </c>
      <c r="L574" s="40">
        <f>IF(D574="Short",G574*H574,G574*I574)</f>
        <v>7037</v>
      </c>
      <c r="M574" s="40">
        <f>IF(D574="Short",G574*I574,H574*G574)</f>
        <v>6934</v>
      </c>
      <c r="N574" s="40">
        <f>L574+M574</f>
        <v>13971</v>
      </c>
      <c r="O574" s="40">
        <f>N574*0.000134</f>
        <v>1.8721140000000001</v>
      </c>
      <c r="P574" s="40">
        <f>K574-O574</f>
        <v>101.12788600000069</v>
      </c>
      <c r="Q574" s="14"/>
      <c r="R574" s="14"/>
      <c r="S574" s="14"/>
    </row>
    <row r="575" spans="1:19" x14ac:dyDescent="0.25">
      <c r="A575" s="51">
        <v>46195</v>
      </c>
      <c r="B575" s="9" t="s">
        <v>27</v>
      </c>
      <c r="C575" s="12">
        <v>46198</v>
      </c>
      <c r="D575" s="9" t="s">
        <v>28</v>
      </c>
      <c r="E575" s="9" t="s">
        <v>32</v>
      </c>
      <c r="F575" s="13">
        <v>76800</v>
      </c>
      <c r="G575" s="39">
        <v>280</v>
      </c>
      <c r="H575" s="45">
        <v>234.05</v>
      </c>
      <c r="I575" s="45">
        <v>259.38</v>
      </c>
      <c r="J575" s="40">
        <f>IF(D575="Short",H575-I575,I575-H575)</f>
        <v>-25.329999999999984</v>
      </c>
      <c r="K575" s="40">
        <f>J575*G575</f>
        <v>-7092.399999999996</v>
      </c>
      <c r="L575" s="40">
        <f>IF(D575="Short",G575*H575,G575*I575)</f>
        <v>65534</v>
      </c>
      <c r="M575" s="40">
        <f>IF(D575="Short",G575*I575,H575*G575)</f>
        <v>72626.399999999994</v>
      </c>
      <c r="N575" s="40">
        <f>L575+M575</f>
        <v>138160.4</v>
      </c>
      <c r="O575" s="40">
        <f>N575*0.000134</f>
        <v>18.5134936</v>
      </c>
      <c r="P575" s="40">
        <f>K575-O575</f>
        <v>-7110.9134935999964</v>
      </c>
      <c r="Q575" s="14"/>
      <c r="R575" s="14"/>
      <c r="S575" s="14"/>
    </row>
    <row r="576" spans="1:19" x14ac:dyDescent="0.25">
      <c r="A576" s="51">
        <v>46195</v>
      </c>
      <c r="B576" s="9" t="s">
        <v>31</v>
      </c>
      <c r="C576" s="12">
        <v>46196</v>
      </c>
      <c r="D576" s="9" t="s">
        <v>28</v>
      </c>
      <c r="E576" s="9" t="s">
        <v>32</v>
      </c>
      <c r="F576" s="13">
        <v>24100</v>
      </c>
      <c r="G576" s="39">
        <v>1300</v>
      </c>
      <c r="H576" s="45">
        <v>71.900000000000006</v>
      </c>
      <c r="I576" s="45">
        <v>84.9</v>
      </c>
      <c r="J576" s="40">
        <f>IF(D576="Short",H576-I576,I576-H576)</f>
        <v>-13</v>
      </c>
      <c r="K576" s="40">
        <f>J576*G576</f>
        <v>-16900</v>
      </c>
      <c r="L576" s="40">
        <f>IF(D576="Short",G576*H576,G576*I576)</f>
        <v>93470.000000000015</v>
      </c>
      <c r="M576" s="40">
        <f>IF(D576="Short",G576*I576,H576*G576)</f>
        <v>110370.00000000001</v>
      </c>
      <c r="N576" s="40">
        <f>L576+M576</f>
        <v>203840.00000000003</v>
      </c>
      <c r="O576" s="40">
        <f>N576*0.000134</f>
        <v>27.314560000000004</v>
      </c>
      <c r="P576" s="40">
        <f>K576-O576</f>
        <v>-16927.314559999999</v>
      </c>
      <c r="Q576" s="14"/>
      <c r="R576" s="14"/>
      <c r="S576" s="14"/>
    </row>
    <row r="577" spans="1:19" x14ac:dyDescent="0.25">
      <c r="A577" s="51">
        <v>46195</v>
      </c>
      <c r="B577" s="9" t="s">
        <v>27</v>
      </c>
      <c r="C577" s="12">
        <v>46198</v>
      </c>
      <c r="D577" s="9" t="s">
        <v>28</v>
      </c>
      <c r="E577" s="9" t="s">
        <v>32</v>
      </c>
      <c r="F577" s="13">
        <v>77100</v>
      </c>
      <c r="G577" s="39">
        <v>260</v>
      </c>
      <c r="H577" s="45">
        <v>351.85</v>
      </c>
      <c r="I577" s="45">
        <v>385.74</v>
      </c>
      <c r="J577" s="40">
        <f>IF(D577="Short",H577-I577,I577-H577)</f>
        <v>-33.889999999999986</v>
      </c>
      <c r="K577" s="40">
        <f>J577*G577</f>
        <v>-8811.399999999996</v>
      </c>
      <c r="L577" s="40">
        <f>IF(D577="Short",G577*H577,G577*I577)</f>
        <v>91481</v>
      </c>
      <c r="M577" s="40">
        <f>IF(D577="Short",G577*I577,H577*G577)</f>
        <v>100292.40000000001</v>
      </c>
      <c r="N577" s="40">
        <f>L577+M577</f>
        <v>191773.40000000002</v>
      </c>
      <c r="O577" s="40">
        <f>N577*0.000134</f>
        <v>25.697635600000005</v>
      </c>
      <c r="P577" s="40">
        <f>K577-O577</f>
        <v>-8837.0976355999956</v>
      </c>
      <c r="Q577" s="14"/>
      <c r="R577" s="14"/>
      <c r="S577" s="14"/>
    </row>
    <row r="578" spans="1:19" x14ac:dyDescent="0.25">
      <c r="A578" s="51">
        <v>46195</v>
      </c>
      <c r="B578" s="9" t="s">
        <v>31</v>
      </c>
      <c r="C578" s="12">
        <v>46196</v>
      </c>
      <c r="D578" s="9" t="s">
        <v>28</v>
      </c>
      <c r="E578" s="9" t="s">
        <v>32</v>
      </c>
      <c r="F578" s="13">
        <v>24100</v>
      </c>
      <c r="G578" s="39">
        <v>65</v>
      </c>
      <c r="H578" s="45">
        <v>71.900000000000006</v>
      </c>
      <c r="I578" s="45">
        <v>72.55</v>
      </c>
      <c r="J578" s="40">
        <f>IF(D578="Short",H578-I578,I578-H578)</f>
        <v>-0.64999999999999147</v>
      </c>
      <c r="K578" s="40">
        <f>J578*G578</f>
        <v>-42.249999999999446</v>
      </c>
      <c r="L578" s="40">
        <f>IF(D578="Short",G578*H578,G578*I578)</f>
        <v>4673.5</v>
      </c>
      <c r="M578" s="40">
        <f>IF(D578="Short",G578*I578,H578*G578)</f>
        <v>4715.75</v>
      </c>
      <c r="N578" s="40">
        <f>L578+M578</f>
        <v>9389.25</v>
      </c>
      <c r="O578" s="40">
        <f>N578*0.000134</f>
        <v>1.2581595000000001</v>
      </c>
      <c r="P578" s="40">
        <f>K578-O578</f>
        <v>-43.508159499999444</v>
      </c>
      <c r="Q578" s="14"/>
      <c r="R578" s="14"/>
      <c r="S578" s="14"/>
    </row>
    <row r="579" spans="1:19" x14ac:dyDescent="0.25">
      <c r="A579" s="51">
        <v>46195</v>
      </c>
      <c r="B579" s="9" t="s">
        <v>31</v>
      </c>
      <c r="C579" s="12">
        <v>46196</v>
      </c>
      <c r="D579" s="9" t="s">
        <v>30</v>
      </c>
      <c r="E579" s="9" t="s">
        <v>32</v>
      </c>
      <c r="F579" s="13">
        <v>23600</v>
      </c>
      <c r="G579" s="39">
        <v>1300</v>
      </c>
      <c r="H579" s="45">
        <v>3.25</v>
      </c>
      <c r="I579" s="45">
        <v>0.71</v>
      </c>
      <c r="J579" s="40">
        <f>IF(D579="Short",H579-I579,I579-H579)</f>
        <v>-2.54</v>
      </c>
      <c r="K579" s="40">
        <f>J579*G579</f>
        <v>-3302</v>
      </c>
      <c r="L579" s="40">
        <f>IF(D579="Short",G579*H579,G579*I579)</f>
        <v>923</v>
      </c>
      <c r="M579" s="40">
        <f>IF(D579="Short",G579*I579,H579*G579)</f>
        <v>4225</v>
      </c>
      <c r="N579" s="40">
        <f>L579+M579</f>
        <v>5148</v>
      </c>
      <c r="O579" s="40">
        <f>N579*0.000134</f>
        <v>0.689832</v>
      </c>
      <c r="P579" s="40">
        <f>K579-O579</f>
        <v>-3302.689832</v>
      </c>
      <c r="Q579" s="14"/>
      <c r="R579" s="14"/>
      <c r="S579" s="14"/>
    </row>
    <row r="580" spans="1:19" x14ac:dyDescent="0.25">
      <c r="A580" s="51">
        <v>46196</v>
      </c>
      <c r="B580" s="9" t="s">
        <v>31</v>
      </c>
      <c r="C580" s="12">
        <v>46203</v>
      </c>
      <c r="D580" s="9" t="s">
        <v>30</v>
      </c>
      <c r="E580" s="9" t="s">
        <v>29</v>
      </c>
      <c r="F580" s="13">
        <v>24500</v>
      </c>
      <c r="G580" s="39">
        <v>9815</v>
      </c>
      <c r="H580" s="45">
        <v>14.33</v>
      </c>
      <c r="I580" s="45">
        <v>11.79</v>
      </c>
      <c r="J580" s="40">
        <f>IF(D580="Short",H580-I580,I580-H580)</f>
        <v>-2.5400000000000009</v>
      </c>
      <c r="K580" s="40">
        <f>J580*G580</f>
        <v>-24930.100000000009</v>
      </c>
      <c r="L580" s="40">
        <f>IF(D580="Short",G580*H580,G580*I580)</f>
        <v>115718.84999999999</v>
      </c>
      <c r="M580" s="40">
        <f>IF(D580="Short",G580*I580,H580*G580)</f>
        <v>140648.95000000001</v>
      </c>
      <c r="N580" s="40">
        <f>L580+M580</f>
        <v>256367.8</v>
      </c>
      <c r="O580" s="40">
        <f>N580*0.000134</f>
        <v>34.353285200000002</v>
      </c>
      <c r="P580" s="40">
        <f>K580-O580</f>
        <v>-24964.453285200008</v>
      </c>
      <c r="Q580" s="14"/>
      <c r="R580" s="14"/>
      <c r="S580" s="14"/>
    </row>
    <row r="581" spans="1:19" x14ac:dyDescent="0.25">
      <c r="A581" s="51">
        <v>46196</v>
      </c>
      <c r="B581" s="9" t="s">
        <v>27</v>
      </c>
      <c r="C581" s="12">
        <v>46198</v>
      </c>
      <c r="D581" s="9" t="s">
        <v>28</v>
      </c>
      <c r="E581" s="9" t="s">
        <v>29</v>
      </c>
      <c r="F581" s="13">
        <v>76500</v>
      </c>
      <c r="G581" s="39">
        <v>240</v>
      </c>
      <c r="H581" s="45">
        <v>224.78</v>
      </c>
      <c r="I581" s="45">
        <v>671.79</v>
      </c>
      <c r="J581" s="40">
        <f>IF(D581="Short",H581-I581,I581-H581)</f>
        <v>-447.01</v>
      </c>
      <c r="K581" s="40">
        <f>J581*G581</f>
        <v>-107282.4</v>
      </c>
      <c r="L581" s="40">
        <f>IF(D581="Short",G581*H581,G581*I581)</f>
        <v>53947.199999999997</v>
      </c>
      <c r="M581" s="40">
        <f>IF(D581="Short",G581*I581,H581*G581)</f>
        <v>161229.59999999998</v>
      </c>
      <c r="N581" s="40">
        <f>L581+M581</f>
        <v>215176.8</v>
      </c>
      <c r="O581" s="40">
        <f>N581*0.000134</f>
        <v>28.833691200000001</v>
      </c>
      <c r="P581" s="40">
        <f>K581-O581</f>
        <v>-107311.23369119999</v>
      </c>
      <c r="Q581" s="14"/>
      <c r="R581" s="14"/>
      <c r="S581" s="14"/>
    </row>
    <row r="582" spans="1:19" x14ac:dyDescent="0.25">
      <c r="A582" s="51">
        <v>46196</v>
      </c>
      <c r="B582" s="9" t="s">
        <v>27</v>
      </c>
      <c r="C582" s="12">
        <v>46198</v>
      </c>
      <c r="D582" s="9" t="s">
        <v>30</v>
      </c>
      <c r="E582" s="9" t="s">
        <v>29</v>
      </c>
      <c r="F582" s="13">
        <v>78100</v>
      </c>
      <c r="G582" s="39">
        <v>1420</v>
      </c>
      <c r="H582" s="45">
        <v>32.6</v>
      </c>
      <c r="I582" s="45">
        <v>19.75</v>
      </c>
      <c r="J582" s="40">
        <f>IF(D582="Short",H582-I582,I582-H582)</f>
        <v>-12.850000000000001</v>
      </c>
      <c r="K582" s="40">
        <f>J582*G582</f>
        <v>-18247.000000000004</v>
      </c>
      <c r="L582" s="40">
        <f>IF(D582="Short",G582*H582,G582*I582)</f>
        <v>28045</v>
      </c>
      <c r="M582" s="40">
        <f>IF(D582="Short",G582*I582,H582*G582)</f>
        <v>46292</v>
      </c>
      <c r="N582" s="40">
        <f>L582+M582</f>
        <v>74337</v>
      </c>
      <c r="O582" s="40">
        <f>N582*0.000134</f>
        <v>9.9611580000000011</v>
      </c>
      <c r="P582" s="40">
        <f>K582-O582</f>
        <v>-18256.961158000002</v>
      </c>
      <c r="Q582" s="14"/>
      <c r="R582" s="14"/>
      <c r="S582" s="14"/>
    </row>
    <row r="583" spans="1:19" x14ac:dyDescent="0.25">
      <c r="A583" s="51">
        <v>46196</v>
      </c>
      <c r="B583" s="9" t="s">
        <v>27</v>
      </c>
      <c r="C583" s="12">
        <v>46198</v>
      </c>
      <c r="D583" s="9" t="s">
        <v>30</v>
      </c>
      <c r="E583" s="9" t="s">
        <v>32</v>
      </c>
      <c r="F583" s="13">
        <v>76600</v>
      </c>
      <c r="G583" s="39">
        <v>760</v>
      </c>
      <c r="H583" s="45">
        <v>611.24</v>
      </c>
      <c r="I583" s="45">
        <v>368.45</v>
      </c>
      <c r="J583" s="40">
        <f>IF(D583="Short",H583-I583,I583-H583)</f>
        <v>-242.79000000000002</v>
      </c>
      <c r="K583" s="40">
        <f>J583*G583</f>
        <v>-184520.40000000002</v>
      </c>
      <c r="L583" s="40">
        <f>IF(D583="Short",G583*H583,G583*I583)</f>
        <v>280022</v>
      </c>
      <c r="M583" s="40">
        <f>IF(D583="Short",G583*I583,H583*G583)</f>
        <v>464542.4</v>
      </c>
      <c r="N583" s="40">
        <f>L583+M583</f>
        <v>744564.4</v>
      </c>
      <c r="O583" s="40">
        <f>N583*0.000134</f>
        <v>99.771629600000011</v>
      </c>
      <c r="P583" s="40">
        <f>K583-O583</f>
        <v>-184620.17162960002</v>
      </c>
      <c r="Q583" s="14"/>
      <c r="R583" s="14"/>
      <c r="S583" s="14"/>
    </row>
    <row r="584" spans="1:19" x14ac:dyDescent="0.25">
      <c r="A584" s="51">
        <v>46196</v>
      </c>
      <c r="B584" s="9" t="s">
        <v>27</v>
      </c>
      <c r="C584" s="12">
        <v>46198</v>
      </c>
      <c r="D584" s="9" t="s">
        <v>28</v>
      </c>
      <c r="E584" s="9" t="s">
        <v>29</v>
      </c>
      <c r="F584" s="13">
        <v>77000</v>
      </c>
      <c r="G584" s="39">
        <v>280</v>
      </c>
      <c r="H584" s="45">
        <v>224.59</v>
      </c>
      <c r="I584" s="45">
        <v>207.8</v>
      </c>
      <c r="J584" s="40">
        <f>IF(D584="Short",H584-I584,I584-H584)</f>
        <v>16.789999999999992</v>
      </c>
      <c r="K584" s="40">
        <f>J584*G584</f>
        <v>4701.199999999998</v>
      </c>
      <c r="L584" s="40">
        <f>IF(D584="Short",G584*H584,G584*I584)</f>
        <v>62885.200000000004</v>
      </c>
      <c r="M584" s="40">
        <f>IF(D584="Short",G584*I584,H584*G584)</f>
        <v>58184</v>
      </c>
      <c r="N584" s="40">
        <f>L584+M584</f>
        <v>121069.20000000001</v>
      </c>
      <c r="O584" s="40">
        <f>N584*0.000134</f>
        <v>16.223272800000004</v>
      </c>
      <c r="P584" s="40">
        <f>K584-O584</f>
        <v>4684.9767271999981</v>
      </c>
      <c r="Q584" s="14"/>
      <c r="R584" s="14"/>
      <c r="S584" s="14"/>
    </row>
    <row r="585" spans="1:19" x14ac:dyDescent="0.25">
      <c r="A585" s="51">
        <v>46196</v>
      </c>
      <c r="B585" s="9" t="s">
        <v>27</v>
      </c>
      <c r="C585" s="12">
        <v>46198</v>
      </c>
      <c r="D585" s="9" t="s">
        <v>28</v>
      </c>
      <c r="E585" s="9" t="s">
        <v>29</v>
      </c>
      <c r="F585" s="13">
        <v>77000</v>
      </c>
      <c r="G585" s="39">
        <v>280</v>
      </c>
      <c r="H585" s="45">
        <v>224.59</v>
      </c>
      <c r="I585" s="45">
        <v>104.84</v>
      </c>
      <c r="J585" s="40">
        <f>IF(D585="Short",H585-I585,I585-H585)</f>
        <v>119.75</v>
      </c>
      <c r="K585" s="40">
        <f>J585*G585</f>
        <v>33530</v>
      </c>
      <c r="L585" s="40">
        <f>IF(D585="Short",G585*H585,G585*I585)</f>
        <v>62885.200000000004</v>
      </c>
      <c r="M585" s="40">
        <f>IF(D585="Short",G585*I585,H585*G585)</f>
        <v>29355.200000000001</v>
      </c>
      <c r="N585" s="40">
        <f>L585+M585</f>
        <v>92240.400000000009</v>
      </c>
      <c r="O585" s="40">
        <f>N585*0.000134</f>
        <v>12.360213600000002</v>
      </c>
      <c r="P585" s="40">
        <f>K585-O585</f>
        <v>33517.639786400003</v>
      </c>
      <c r="Q585" s="14"/>
      <c r="R585" s="14"/>
      <c r="S585" s="14"/>
    </row>
    <row r="586" spans="1:19" x14ac:dyDescent="0.25">
      <c r="A586" s="51">
        <v>46196</v>
      </c>
      <c r="B586" s="9" t="s">
        <v>27</v>
      </c>
      <c r="C586" s="12">
        <v>46198</v>
      </c>
      <c r="D586" s="9" t="s">
        <v>30</v>
      </c>
      <c r="E586" s="9" t="s">
        <v>32</v>
      </c>
      <c r="F586" s="13">
        <v>77200</v>
      </c>
      <c r="G586" s="39">
        <v>200</v>
      </c>
      <c r="H586" s="45">
        <v>634.11</v>
      </c>
      <c r="I586" s="45">
        <v>308.73</v>
      </c>
      <c r="J586" s="40">
        <f>IF(D586="Short",H586-I586,I586-H586)</f>
        <v>-325.38</v>
      </c>
      <c r="K586" s="40">
        <f>J586*G586</f>
        <v>-65076</v>
      </c>
      <c r="L586" s="40">
        <f>IF(D586="Short",G586*H586,G586*I586)</f>
        <v>61746</v>
      </c>
      <c r="M586" s="40">
        <f>IF(D586="Short",G586*I586,H586*G586)</f>
        <v>126822</v>
      </c>
      <c r="N586" s="40">
        <f>L586+M586</f>
        <v>188568</v>
      </c>
      <c r="O586" s="40">
        <f>N586*0.000134</f>
        <v>25.268112000000002</v>
      </c>
      <c r="P586" s="40">
        <f>K586-O586</f>
        <v>-65101.268111999998</v>
      </c>
      <c r="Q586" s="14"/>
      <c r="R586" s="14"/>
      <c r="S586" s="14"/>
    </row>
    <row r="587" spans="1:19" x14ac:dyDescent="0.25">
      <c r="A587" s="51">
        <v>46196</v>
      </c>
      <c r="B587" s="9" t="s">
        <v>27</v>
      </c>
      <c r="C587" s="12">
        <v>46198</v>
      </c>
      <c r="D587" s="9" t="s">
        <v>28</v>
      </c>
      <c r="E587" s="9" t="s">
        <v>32</v>
      </c>
      <c r="F587" s="13">
        <v>76000</v>
      </c>
      <c r="G587" s="39">
        <v>2820</v>
      </c>
      <c r="H587" s="45">
        <v>136.6</v>
      </c>
      <c r="I587" s="45">
        <v>28.27</v>
      </c>
      <c r="J587" s="40">
        <f>IF(D587="Short",H587-I587,I587-H587)</f>
        <v>108.33</v>
      </c>
      <c r="K587" s="40">
        <f>J587*G587</f>
        <v>305490.59999999998</v>
      </c>
      <c r="L587" s="40">
        <f>IF(D587="Short",G587*H587,G587*I587)</f>
        <v>385212</v>
      </c>
      <c r="M587" s="40">
        <f>IF(D587="Short",G587*I587,H587*G587)</f>
        <v>79721.399999999994</v>
      </c>
      <c r="N587" s="40">
        <f>L587+M587</f>
        <v>464933.4</v>
      </c>
      <c r="O587" s="40">
        <f>N587*0.000134</f>
        <v>62.301075600000004</v>
      </c>
      <c r="P587" s="40">
        <f>K587-O587</f>
        <v>305428.29892440001</v>
      </c>
      <c r="Q587" s="14"/>
      <c r="R587" s="14"/>
      <c r="S587" s="14"/>
    </row>
    <row r="588" spans="1:19" x14ac:dyDescent="0.25">
      <c r="A588" s="51">
        <v>46196</v>
      </c>
      <c r="B588" s="9" t="s">
        <v>27</v>
      </c>
      <c r="C588" s="12">
        <v>46198</v>
      </c>
      <c r="D588" s="9" t="s">
        <v>30</v>
      </c>
      <c r="E588" s="9" t="s">
        <v>32</v>
      </c>
      <c r="F588" s="13">
        <v>76300</v>
      </c>
      <c r="G588" s="39">
        <v>140</v>
      </c>
      <c r="H588" s="45">
        <v>345</v>
      </c>
      <c r="I588" s="45">
        <v>255.09</v>
      </c>
      <c r="J588" s="40">
        <f>IF(D588="Short",H588-I588,I588-H588)</f>
        <v>-89.91</v>
      </c>
      <c r="K588" s="40">
        <f>J588*G588</f>
        <v>-12587.4</v>
      </c>
      <c r="L588" s="40">
        <f>IF(D588="Short",G588*H588,G588*I588)</f>
        <v>35712.6</v>
      </c>
      <c r="M588" s="40">
        <f>IF(D588="Short",G588*I588,H588*G588)</f>
        <v>48300</v>
      </c>
      <c r="N588" s="40">
        <f>L588+M588</f>
        <v>84012.6</v>
      </c>
      <c r="O588" s="40">
        <f>N588*0.000134</f>
        <v>11.257688400000001</v>
      </c>
      <c r="P588" s="40">
        <f>K588-O588</f>
        <v>-12598.657688399999</v>
      </c>
      <c r="Q588" s="14"/>
      <c r="R588" s="14"/>
      <c r="S588" s="14"/>
    </row>
    <row r="589" spans="1:19" x14ac:dyDescent="0.25">
      <c r="A589" s="51">
        <v>46196</v>
      </c>
      <c r="B589" s="9" t="s">
        <v>27</v>
      </c>
      <c r="C589" s="12">
        <v>46198</v>
      </c>
      <c r="D589" s="9" t="s">
        <v>30</v>
      </c>
      <c r="E589" s="9" t="s">
        <v>32</v>
      </c>
      <c r="F589" s="13">
        <v>76400</v>
      </c>
      <c r="G589" s="39">
        <v>660</v>
      </c>
      <c r="H589" s="45">
        <v>395.99</v>
      </c>
      <c r="I589" s="45">
        <v>298.08999999999997</v>
      </c>
      <c r="J589" s="40">
        <f>IF(D589="Short",H589-I589,I589-H589)</f>
        <v>-97.900000000000034</v>
      </c>
      <c r="K589" s="40">
        <f>J589*G589</f>
        <v>-64614.000000000022</v>
      </c>
      <c r="L589" s="40">
        <f>IF(D589="Short",G589*H589,G589*I589)</f>
        <v>196739.4</v>
      </c>
      <c r="M589" s="40">
        <f>IF(D589="Short",G589*I589,H589*G589)</f>
        <v>261353.4</v>
      </c>
      <c r="N589" s="40">
        <f>L589+M589</f>
        <v>458092.79999999999</v>
      </c>
      <c r="O589" s="40">
        <f>N589*0.000134</f>
        <v>61.384435199999999</v>
      </c>
      <c r="P589" s="40">
        <f>K589-O589</f>
        <v>-64675.384435200023</v>
      </c>
      <c r="Q589" s="14"/>
      <c r="R589" s="14"/>
      <c r="S589" s="14"/>
    </row>
    <row r="590" spans="1:19" x14ac:dyDescent="0.25">
      <c r="A590" s="51">
        <v>46196</v>
      </c>
      <c r="B590" s="9" t="s">
        <v>31</v>
      </c>
      <c r="C590" s="12">
        <v>46203</v>
      </c>
      <c r="D590" s="9" t="s">
        <v>28</v>
      </c>
      <c r="E590" s="9" t="s">
        <v>32</v>
      </c>
      <c r="F590" s="13">
        <v>23900</v>
      </c>
      <c r="G590" s="39">
        <v>585</v>
      </c>
      <c r="H590" s="45">
        <v>174.31</v>
      </c>
      <c r="I590" s="45">
        <v>167.34</v>
      </c>
      <c r="J590" s="40">
        <f>IF(D590="Short",H590-I590,I590-H590)</f>
        <v>6.9699999999999989</v>
      </c>
      <c r="K590" s="40">
        <f>J590*G590</f>
        <v>4077.4499999999994</v>
      </c>
      <c r="L590" s="40">
        <f>IF(D590="Short",G590*H590,G590*I590)</f>
        <v>101971.35</v>
      </c>
      <c r="M590" s="40">
        <f>IF(D590="Short",G590*I590,H590*G590)</f>
        <v>97893.900000000009</v>
      </c>
      <c r="N590" s="40">
        <f>L590+M590</f>
        <v>199865.25</v>
      </c>
      <c r="O590" s="40">
        <f>N590*0.000134</f>
        <v>26.781943500000001</v>
      </c>
      <c r="P590" s="40">
        <f>K590-O590</f>
        <v>4050.6680564999992</v>
      </c>
      <c r="Q590" s="14"/>
      <c r="R590" s="14"/>
      <c r="S590" s="14"/>
    </row>
    <row r="591" spans="1:19" x14ac:dyDescent="0.25">
      <c r="A591" s="51">
        <v>46196</v>
      </c>
      <c r="B591" s="9" t="s">
        <v>31</v>
      </c>
      <c r="C591" s="12">
        <v>46203</v>
      </c>
      <c r="D591" s="9" t="s">
        <v>30</v>
      </c>
      <c r="E591" s="9" t="s">
        <v>32</v>
      </c>
      <c r="F591" s="13">
        <v>23950</v>
      </c>
      <c r="G591" s="39">
        <v>910</v>
      </c>
      <c r="H591" s="45">
        <v>204</v>
      </c>
      <c r="I591" s="45">
        <v>174.15</v>
      </c>
      <c r="J591" s="40">
        <f>IF(D591="Short",H591-I591,I591-H591)</f>
        <v>-29.849999999999994</v>
      </c>
      <c r="K591" s="40">
        <f>J591*G591</f>
        <v>-27163.499999999996</v>
      </c>
      <c r="L591" s="40">
        <f>IF(D591="Short",G591*H591,G591*I591)</f>
        <v>158476.5</v>
      </c>
      <c r="M591" s="40">
        <f>IF(D591="Short",G591*I591,H591*G591)</f>
        <v>185640</v>
      </c>
      <c r="N591" s="40">
        <f>L591+M591</f>
        <v>344116.5</v>
      </c>
      <c r="O591" s="40">
        <f>N591*0.000134</f>
        <v>46.111611000000003</v>
      </c>
      <c r="P591" s="40">
        <f>K591-O591</f>
        <v>-27209.611610999997</v>
      </c>
      <c r="Q591" s="14"/>
      <c r="R591" s="14"/>
      <c r="S591" s="14"/>
    </row>
    <row r="592" spans="1:19" x14ac:dyDescent="0.25">
      <c r="A592" s="51">
        <v>46196</v>
      </c>
      <c r="B592" s="9" t="s">
        <v>31</v>
      </c>
      <c r="C592" s="12">
        <v>46203</v>
      </c>
      <c r="D592" s="9" t="s">
        <v>30</v>
      </c>
      <c r="E592" s="9" t="s">
        <v>32</v>
      </c>
      <c r="F592" s="13">
        <v>23850</v>
      </c>
      <c r="G592" s="39">
        <v>325</v>
      </c>
      <c r="H592" s="45">
        <v>150</v>
      </c>
      <c r="I592" s="45">
        <v>144.44999999999999</v>
      </c>
      <c r="J592" s="40">
        <f>IF(D592="Short",H592-I592,I592-H592)</f>
        <v>-5.5500000000000114</v>
      </c>
      <c r="K592" s="40">
        <f>J592*G592</f>
        <v>-1803.7500000000036</v>
      </c>
      <c r="L592" s="40">
        <f>IF(D592="Short",G592*H592,G592*I592)</f>
        <v>46946.249999999993</v>
      </c>
      <c r="M592" s="40">
        <f>IF(D592="Short",G592*I592,H592*G592)</f>
        <v>48750</v>
      </c>
      <c r="N592" s="40">
        <f>L592+M592</f>
        <v>95696.25</v>
      </c>
      <c r="O592" s="40">
        <f>N592*0.000134</f>
        <v>12.823297500000001</v>
      </c>
      <c r="P592" s="40">
        <f>K592-O592</f>
        <v>-1816.5732975000037</v>
      </c>
      <c r="Q592" s="14"/>
      <c r="R592" s="14"/>
      <c r="S592" s="14"/>
    </row>
    <row r="593" spans="1:19" x14ac:dyDescent="0.25">
      <c r="A593" s="51">
        <v>46196</v>
      </c>
      <c r="B593" s="9" t="s">
        <v>31</v>
      </c>
      <c r="C593" s="12">
        <v>46203</v>
      </c>
      <c r="D593" s="9" t="s">
        <v>28</v>
      </c>
      <c r="E593" s="9" t="s">
        <v>29</v>
      </c>
      <c r="F593" s="13">
        <v>23850</v>
      </c>
      <c r="G593" s="39">
        <v>2600</v>
      </c>
      <c r="H593" s="45">
        <v>173.5</v>
      </c>
      <c r="I593" s="45">
        <v>216.54</v>
      </c>
      <c r="J593" s="40">
        <f>IF(D593="Short",H593-I593,I593-H593)</f>
        <v>-43.039999999999992</v>
      </c>
      <c r="K593" s="40">
        <f>J593*G593</f>
        <v>-111903.99999999999</v>
      </c>
      <c r="L593" s="40">
        <f>IF(D593="Short",G593*H593,G593*I593)</f>
        <v>451100</v>
      </c>
      <c r="M593" s="40">
        <f>IF(D593="Short",G593*I593,H593*G593)</f>
        <v>563004</v>
      </c>
      <c r="N593" s="40">
        <f>L593+M593</f>
        <v>1014104</v>
      </c>
      <c r="O593" s="40">
        <f>N593*0.000134</f>
        <v>135.88993600000001</v>
      </c>
      <c r="P593" s="40">
        <f>K593-O593</f>
        <v>-112039.88993599999</v>
      </c>
      <c r="Q593" s="14"/>
      <c r="R593" s="14"/>
      <c r="S593" s="14"/>
    </row>
    <row r="594" spans="1:19" x14ac:dyDescent="0.25">
      <c r="A594" s="51">
        <v>46196</v>
      </c>
      <c r="B594" s="9" t="s">
        <v>31</v>
      </c>
      <c r="C594" s="12">
        <v>46203</v>
      </c>
      <c r="D594" s="9" t="s">
        <v>28</v>
      </c>
      <c r="E594" s="9" t="s">
        <v>29</v>
      </c>
      <c r="F594" s="13">
        <v>23900</v>
      </c>
      <c r="G594" s="39">
        <v>1950</v>
      </c>
      <c r="H594" s="45">
        <v>149.41999999999999</v>
      </c>
      <c r="I594" s="45">
        <v>234.87</v>
      </c>
      <c r="J594" s="40">
        <f>IF(D594="Short",H594-I594,I594-H594)</f>
        <v>-85.450000000000017</v>
      </c>
      <c r="K594" s="40">
        <f>J594*G594</f>
        <v>-166627.50000000003</v>
      </c>
      <c r="L594" s="40">
        <f>IF(D594="Short",G594*H594,G594*I594)</f>
        <v>291369</v>
      </c>
      <c r="M594" s="40">
        <f>IF(D594="Short",G594*I594,H594*G594)</f>
        <v>457996.5</v>
      </c>
      <c r="N594" s="40">
        <f>L594+M594</f>
        <v>749365.5</v>
      </c>
      <c r="O594" s="40">
        <f>N594*0.000134</f>
        <v>100.41497700000001</v>
      </c>
      <c r="P594" s="40">
        <f>K594-O594</f>
        <v>-166727.91497700004</v>
      </c>
      <c r="Q594" s="14"/>
      <c r="R594" s="14"/>
      <c r="S594" s="14"/>
    </row>
    <row r="595" spans="1:19" x14ac:dyDescent="0.25">
      <c r="A595" s="51">
        <v>46196</v>
      </c>
      <c r="B595" s="9" t="s">
        <v>31</v>
      </c>
      <c r="C595" s="12">
        <v>46203</v>
      </c>
      <c r="D595" s="9" t="s">
        <v>30</v>
      </c>
      <c r="E595" s="9" t="s">
        <v>29</v>
      </c>
      <c r="F595" s="13">
        <v>23950</v>
      </c>
      <c r="G595" s="39">
        <v>1950</v>
      </c>
      <c r="H595" s="45">
        <v>127.3</v>
      </c>
      <c r="I595" s="45">
        <v>126.69</v>
      </c>
      <c r="J595" s="40">
        <f>IF(D595="Short",H595-I595,I595-H595)</f>
        <v>-0.60999999999999943</v>
      </c>
      <c r="K595" s="40">
        <f>J595*G595</f>
        <v>-1189.4999999999989</v>
      </c>
      <c r="L595" s="40">
        <f>IF(D595="Short",G595*H595,G595*I595)</f>
        <v>247045.5</v>
      </c>
      <c r="M595" s="40">
        <f>IF(D595="Short",G595*I595,H595*G595)</f>
        <v>248235</v>
      </c>
      <c r="N595" s="40">
        <f>L595+M595</f>
        <v>495280.5</v>
      </c>
      <c r="O595" s="40">
        <f>N595*0.000134</f>
        <v>66.367587</v>
      </c>
      <c r="P595" s="40">
        <f>K595-O595</f>
        <v>-1255.8675869999988</v>
      </c>
      <c r="Q595" s="14"/>
      <c r="R595" s="14"/>
      <c r="S595" s="14"/>
    </row>
    <row r="596" spans="1:19" x14ac:dyDescent="0.25">
      <c r="A596" s="51">
        <v>46196</v>
      </c>
      <c r="B596" s="9" t="s">
        <v>31</v>
      </c>
      <c r="C596" s="12">
        <v>46203</v>
      </c>
      <c r="D596" s="9" t="s">
        <v>28</v>
      </c>
      <c r="E596" s="9" t="s">
        <v>29</v>
      </c>
      <c r="F596" s="13">
        <v>23950</v>
      </c>
      <c r="G596" s="39">
        <v>390</v>
      </c>
      <c r="H596" s="45">
        <v>126.69</v>
      </c>
      <c r="I596" s="45">
        <v>182.42</v>
      </c>
      <c r="J596" s="40">
        <f>IF(D596="Short",H596-I596,I596-H596)</f>
        <v>-55.72999999999999</v>
      </c>
      <c r="K596" s="40">
        <f>J596*G596</f>
        <v>-21734.699999999997</v>
      </c>
      <c r="L596" s="40">
        <f>IF(D596="Short",G596*H596,G596*I596)</f>
        <v>49409.1</v>
      </c>
      <c r="M596" s="40">
        <f>IF(D596="Short",G596*I596,H596*G596)</f>
        <v>71143.799999999988</v>
      </c>
      <c r="N596" s="40">
        <f>L596+M596</f>
        <v>120552.9</v>
      </c>
      <c r="O596" s="40">
        <f>N596*0.000134</f>
        <v>16.154088600000001</v>
      </c>
      <c r="P596" s="40">
        <f>K596-O596</f>
        <v>-21750.854088599997</v>
      </c>
      <c r="Q596" s="14"/>
      <c r="R596" s="14"/>
      <c r="S596" s="14"/>
    </row>
    <row r="597" spans="1:19" x14ac:dyDescent="0.25">
      <c r="A597" s="51">
        <v>46196</v>
      </c>
      <c r="B597" s="9" t="s">
        <v>31</v>
      </c>
      <c r="C597" s="12">
        <v>46196</v>
      </c>
      <c r="D597" s="9" t="s">
        <v>28</v>
      </c>
      <c r="E597" s="9" t="s">
        <v>29</v>
      </c>
      <c r="F597" s="13">
        <v>24150</v>
      </c>
      <c r="G597" s="39">
        <v>1300</v>
      </c>
      <c r="H597" s="45">
        <v>7.87</v>
      </c>
      <c r="I597" s="45">
        <v>21.6</v>
      </c>
      <c r="J597" s="40">
        <f>IF(D597="Short",H597-I597,I597-H597)</f>
        <v>-13.73</v>
      </c>
      <c r="K597" s="40">
        <f>J597*G597</f>
        <v>-17849</v>
      </c>
      <c r="L597" s="40">
        <f>IF(D597="Short",G597*H597,G597*I597)</f>
        <v>10231</v>
      </c>
      <c r="M597" s="40">
        <f>IF(D597="Short",G597*I597,H597*G597)</f>
        <v>28080.000000000004</v>
      </c>
      <c r="N597" s="40">
        <f>L597+M597</f>
        <v>38311</v>
      </c>
      <c r="O597" s="40">
        <f>N597*0.000134</f>
        <v>5.1336740000000001</v>
      </c>
      <c r="P597" s="40">
        <f>K597-O597</f>
        <v>-17854.133674000001</v>
      </c>
      <c r="Q597" s="14"/>
      <c r="R597" s="14"/>
      <c r="S597" s="14"/>
    </row>
    <row r="598" spans="1:19" x14ac:dyDescent="0.25">
      <c r="A598" s="51">
        <v>46196</v>
      </c>
      <c r="B598" s="9" t="s">
        <v>31</v>
      </c>
      <c r="C598" s="12">
        <v>46196</v>
      </c>
      <c r="D598" s="9" t="s">
        <v>30</v>
      </c>
      <c r="E598" s="9" t="s">
        <v>29</v>
      </c>
      <c r="F598" s="13">
        <v>23950</v>
      </c>
      <c r="G598" s="39">
        <v>390</v>
      </c>
      <c r="H598" s="45">
        <v>2.65</v>
      </c>
      <c r="I598" s="45">
        <v>56.55</v>
      </c>
      <c r="J598" s="40">
        <f>IF(D598="Short",H598-I598,I598-H598)</f>
        <v>53.9</v>
      </c>
      <c r="K598" s="40">
        <f>J598*G598</f>
        <v>21021</v>
      </c>
      <c r="L598" s="40">
        <f>IF(D598="Short",G598*H598,G598*I598)</f>
        <v>22054.5</v>
      </c>
      <c r="M598" s="40">
        <f>IF(D598="Short",G598*I598,H598*G598)</f>
        <v>1033.5</v>
      </c>
      <c r="N598" s="40">
        <f>L598+M598</f>
        <v>23088</v>
      </c>
      <c r="O598" s="40">
        <f>N598*0.000134</f>
        <v>3.0937920000000001</v>
      </c>
      <c r="P598" s="40">
        <f>K598-O598</f>
        <v>21017.906208</v>
      </c>
      <c r="Q598" s="14"/>
      <c r="R598" s="14"/>
      <c r="S598" s="14"/>
    </row>
    <row r="599" spans="1:19" x14ac:dyDescent="0.25">
      <c r="A599" s="51">
        <v>46196</v>
      </c>
      <c r="B599" s="9" t="s">
        <v>31</v>
      </c>
      <c r="C599" s="12">
        <v>46196</v>
      </c>
      <c r="D599" s="9" t="s">
        <v>28</v>
      </c>
      <c r="E599" s="9" t="s">
        <v>32</v>
      </c>
      <c r="F599" s="13">
        <v>24050</v>
      </c>
      <c r="G599" s="39">
        <v>5330</v>
      </c>
      <c r="H599" s="45">
        <v>70.69</v>
      </c>
      <c r="I599" s="45">
        <v>14.27</v>
      </c>
      <c r="J599" s="40">
        <f>IF(D599="Short",H599-I599,I599-H599)</f>
        <v>56.42</v>
      </c>
      <c r="K599" s="40">
        <f>J599*G599</f>
        <v>300718.60000000003</v>
      </c>
      <c r="L599" s="40">
        <f>IF(D599="Short",G599*H599,G599*I599)</f>
        <v>376777.7</v>
      </c>
      <c r="M599" s="40">
        <f>IF(D599="Short",G599*I599,H599*G599)</f>
        <v>76059.099999999991</v>
      </c>
      <c r="N599" s="40">
        <f>L599+M599</f>
        <v>452836.8</v>
      </c>
      <c r="O599" s="40">
        <f>N599*0.000134</f>
        <v>60.680131199999998</v>
      </c>
      <c r="P599" s="40">
        <f>K599-O599</f>
        <v>300657.91986880003</v>
      </c>
      <c r="Q599" s="14"/>
      <c r="R599" s="14"/>
      <c r="S599" s="14"/>
    </row>
    <row r="600" spans="1:19" x14ac:dyDescent="0.25">
      <c r="A600" s="51">
        <v>46196</v>
      </c>
      <c r="B600" s="9" t="s">
        <v>27</v>
      </c>
      <c r="C600" s="12">
        <v>46198</v>
      </c>
      <c r="D600" s="9" t="s">
        <v>28</v>
      </c>
      <c r="E600" s="9" t="s">
        <v>29</v>
      </c>
      <c r="F600" s="13">
        <v>76700</v>
      </c>
      <c r="G600" s="39">
        <v>360</v>
      </c>
      <c r="H600" s="45">
        <v>378.05</v>
      </c>
      <c r="I600" s="45">
        <v>417.22</v>
      </c>
      <c r="J600" s="40">
        <f>IF(D600="Short",H600-I600,I600-H600)</f>
        <v>-39.170000000000016</v>
      </c>
      <c r="K600" s="40">
        <f>J600*G600</f>
        <v>-14101.200000000006</v>
      </c>
      <c r="L600" s="40">
        <f>IF(D600="Short",G600*H600,G600*I600)</f>
        <v>136098</v>
      </c>
      <c r="M600" s="40">
        <f>IF(D600="Short",G600*I600,H600*G600)</f>
        <v>150199.20000000001</v>
      </c>
      <c r="N600" s="40">
        <f>L600+M600</f>
        <v>286297.2</v>
      </c>
      <c r="O600" s="40">
        <f>N600*0.000134</f>
        <v>38.363824800000003</v>
      </c>
      <c r="P600" s="40">
        <f>K600-O600</f>
        <v>-14139.563824800007</v>
      </c>
      <c r="Q600" s="14"/>
      <c r="R600" s="14"/>
      <c r="S600" s="14"/>
    </row>
    <row r="601" spans="1:19" x14ac:dyDescent="0.25">
      <c r="A601" s="51">
        <v>46196</v>
      </c>
      <c r="B601" s="9" t="s">
        <v>31</v>
      </c>
      <c r="C601" s="12">
        <v>46196</v>
      </c>
      <c r="D601" s="9" t="s">
        <v>30</v>
      </c>
      <c r="E601" s="9" t="s">
        <v>32</v>
      </c>
      <c r="F601" s="13">
        <v>24100</v>
      </c>
      <c r="G601" s="39">
        <v>1820</v>
      </c>
      <c r="H601" s="45">
        <v>84.9</v>
      </c>
      <c r="I601" s="45">
        <v>26.05</v>
      </c>
      <c r="J601" s="40">
        <f>IF(D601="Short",H601-I601,I601-H601)</f>
        <v>-58.850000000000009</v>
      </c>
      <c r="K601" s="40">
        <f>J601*G601</f>
        <v>-107107.00000000001</v>
      </c>
      <c r="L601" s="40">
        <f>IF(D601="Short",G601*H601,G601*I601)</f>
        <v>47411</v>
      </c>
      <c r="M601" s="40">
        <f>IF(D601="Short",G601*I601,H601*G601)</f>
        <v>154518</v>
      </c>
      <c r="N601" s="40">
        <f>L601+M601</f>
        <v>201929</v>
      </c>
      <c r="O601" s="40">
        <f>N601*0.000134</f>
        <v>27.058486000000002</v>
      </c>
      <c r="P601" s="40">
        <f>K601-O601</f>
        <v>-107134.05848600001</v>
      </c>
      <c r="Q601" s="14"/>
      <c r="R601" s="14"/>
      <c r="S601" s="14"/>
    </row>
    <row r="602" spans="1:19" x14ac:dyDescent="0.25">
      <c r="A602" s="51">
        <v>46196</v>
      </c>
      <c r="B602" s="9" t="s">
        <v>31</v>
      </c>
      <c r="C602" s="12">
        <v>46196</v>
      </c>
      <c r="D602" s="9" t="s">
        <v>30</v>
      </c>
      <c r="E602" s="9" t="s">
        <v>32</v>
      </c>
      <c r="F602" s="13">
        <v>24150</v>
      </c>
      <c r="G602" s="39">
        <v>910</v>
      </c>
      <c r="H602" s="45">
        <v>146.44999999999999</v>
      </c>
      <c r="I602" s="45">
        <v>46.9</v>
      </c>
      <c r="J602" s="40">
        <f>IF(D602="Short",H602-I602,I602-H602)</f>
        <v>-99.549999999999983</v>
      </c>
      <c r="K602" s="40">
        <f>J602*G602</f>
        <v>-90590.499999999985</v>
      </c>
      <c r="L602" s="40">
        <f>IF(D602="Short",G602*H602,G602*I602)</f>
        <v>42679</v>
      </c>
      <c r="M602" s="40">
        <f>IF(D602="Short",G602*I602,H602*G602)</f>
        <v>133269.5</v>
      </c>
      <c r="N602" s="40">
        <f>L602+M602</f>
        <v>175948.5</v>
      </c>
      <c r="O602" s="40">
        <f>N602*0.000134</f>
        <v>23.577099</v>
      </c>
      <c r="P602" s="40">
        <f>K602-O602</f>
        <v>-90614.077098999987</v>
      </c>
      <c r="Q602" s="14"/>
      <c r="R602" s="14"/>
      <c r="S602" s="14"/>
    </row>
    <row r="603" spans="1:19" x14ac:dyDescent="0.25">
      <c r="A603" s="51">
        <v>46196</v>
      </c>
      <c r="B603" s="9" t="s">
        <v>27</v>
      </c>
      <c r="C603" s="12">
        <v>46198</v>
      </c>
      <c r="D603" s="9" t="s">
        <v>28</v>
      </c>
      <c r="E603" s="9" t="s">
        <v>29</v>
      </c>
      <c r="F603" s="13">
        <v>76800</v>
      </c>
      <c r="G603" s="39">
        <v>820</v>
      </c>
      <c r="H603" s="45">
        <v>341.79</v>
      </c>
      <c r="I603" s="45">
        <v>252.89</v>
      </c>
      <c r="J603" s="40">
        <f>IF(D603="Short",H603-I603,I603-H603)</f>
        <v>88.900000000000034</v>
      </c>
      <c r="K603" s="40">
        <f>J603*G603</f>
        <v>72898.000000000029</v>
      </c>
      <c r="L603" s="40">
        <f>IF(D603="Short",G603*H603,G603*I603)</f>
        <v>280267.8</v>
      </c>
      <c r="M603" s="40">
        <f>IF(D603="Short",G603*I603,H603*G603)</f>
        <v>207369.8</v>
      </c>
      <c r="N603" s="40">
        <f>L603+M603</f>
        <v>487637.6</v>
      </c>
      <c r="O603" s="40">
        <f>N603*0.000134</f>
        <v>65.343438399999997</v>
      </c>
      <c r="P603" s="40">
        <f>K603-O603</f>
        <v>72832.65656160003</v>
      </c>
      <c r="Q603" s="14"/>
      <c r="R603" s="14"/>
      <c r="S603" s="14"/>
    </row>
    <row r="604" spans="1:19" x14ac:dyDescent="0.25">
      <c r="A604" s="51">
        <v>46196</v>
      </c>
      <c r="B604" s="9" t="s">
        <v>27</v>
      </c>
      <c r="C604" s="12">
        <v>46198</v>
      </c>
      <c r="D604" s="9" t="s">
        <v>30</v>
      </c>
      <c r="E604" s="9" t="s">
        <v>32</v>
      </c>
      <c r="F604" s="13">
        <v>77100</v>
      </c>
      <c r="G604" s="39">
        <v>300</v>
      </c>
      <c r="H604" s="45">
        <v>385.74</v>
      </c>
      <c r="I604" s="45">
        <v>257.04000000000002</v>
      </c>
      <c r="J604" s="40">
        <f>IF(D604="Short",H604-I604,I604-H604)</f>
        <v>-128.69999999999999</v>
      </c>
      <c r="K604" s="40">
        <f>J604*G604</f>
        <v>-38610</v>
      </c>
      <c r="L604" s="40">
        <f>IF(D604="Short",G604*H604,G604*I604)</f>
        <v>77112</v>
      </c>
      <c r="M604" s="40">
        <f>IF(D604="Short",G604*I604,H604*G604)</f>
        <v>115722</v>
      </c>
      <c r="N604" s="40">
        <f>L604+M604</f>
        <v>192834</v>
      </c>
      <c r="O604" s="40">
        <f>N604*0.000134</f>
        <v>25.839756000000001</v>
      </c>
      <c r="P604" s="40">
        <f>K604-O604</f>
        <v>-38635.839756000001</v>
      </c>
      <c r="Q604" s="14"/>
      <c r="R604" s="14"/>
      <c r="S604" s="14"/>
    </row>
    <row r="605" spans="1:19" x14ac:dyDescent="0.25">
      <c r="A605" s="51">
        <v>46196</v>
      </c>
      <c r="B605" s="9" t="s">
        <v>31</v>
      </c>
      <c r="C605" s="12">
        <v>46196</v>
      </c>
      <c r="D605" s="9" t="s">
        <v>30</v>
      </c>
      <c r="E605" s="9" t="s">
        <v>29</v>
      </c>
      <c r="F605" s="13">
        <v>24100</v>
      </c>
      <c r="G605" s="39">
        <v>910</v>
      </c>
      <c r="H605" s="45">
        <v>37.32</v>
      </c>
      <c r="I605" s="45">
        <v>37.07</v>
      </c>
      <c r="J605" s="40">
        <f>IF(D605="Short",H605-I605,I605-H605)</f>
        <v>-0.25</v>
      </c>
      <c r="K605" s="40">
        <f>J605*G605</f>
        <v>-227.5</v>
      </c>
      <c r="L605" s="40">
        <f>IF(D605="Short",G605*H605,G605*I605)</f>
        <v>33733.699999999997</v>
      </c>
      <c r="M605" s="40">
        <f>IF(D605="Short",G605*I605,H605*G605)</f>
        <v>33961.199999999997</v>
      </c>
      <c r="N605" s="40">
        <f>L605+M605</f>
        <v>67694.899999999994</v>
      </c>
      <c r="O605" s="40">
        <f>N605*0.000134</f>
        <v>9.0711165999999999</v>
      </c>
      <c r="P605" s="40">
        <f>K605-O605</f>
        <v>-236.57111660000001</v>
      </c>
      <c r="Q605" s="14"/>
      <c r="R605" s="14"/>
      <c r="S605" s="14"/>
    </row>
    <row r="606" spans="1:19" x14ac:dyDescent="0.25">
      <c r="A606" s="51">
        <v>46196</v>
      </c>
      <c r="B606" s="9" t="s">
        <v>31</v>
      </c>
      <c r="C606" s="12">
        <v>46196</v>
      </c>
      <c r="D606" s="9" t="s">
        <v>28</v>
      </c>
      <c r="E606" s="9" t="s">
        <v>29</v>
      </c>
      <c r="F606" s="13">
        <v>24200</v>
      </c>
      <c r="G606" s="39">
        <v>2210</v>
      </c>
      <c r="H606" s="45">
        <v>8.1999999999999993</v>
      </c>
      <c r="I606" s="45">
        <v>8.01</v>
      </c>
      <c r="J606" s="40">
        <f>IF(D606="Short",H606-I606,I606-H606)</f>
        <v>0.1899999999999995</v>
      </c>
      <c r="K606" s="40">
        <f>J606*G606</f>
        <v>419.8999999999989</v>
      </c>
      <c r="L606" s="40">
        <f>IF(D606="Short",G606*H606,G606*I606)</f>
        <v>18122</v>
      </c>
      <c r="M606" s="40">
        <f>IF(D606="Short",G606*I606,H606*G606)</f>
        <v>17702.099999999999</v>
      </c>
      <c r="N606" s="40">
        <f>L606+M606</f>
        <v>35824.1</v>
      </c>
      <c r="O606" s="40">
        <f>N606*0.000134</f>
        <v>4.8004293999999996</v>
      </c>
      <c r="P606" s="40">
        <f>K606-O606</f>
        <v>415.09957059999891</v>
      </c>
      <c r="Q606" s="14"/>
      <c r="R606" s="14"/>
      <c r="S606" s="14"/>
    </row>
    <row r="607" spans="1:19" x14ac:dyDescent="0.25">
      <c r="A607" s="51">
        <v>46196</v>
      </c>
      <c r="B607" s="9" t="s">
        <v>27</v>
      </c>
      <c r="C607" s="12">
        <v>46198</v>
      </c>
      <c r="D607" s="9" t="s">
        <v>28</v>
      </c>
      <c r="E607" s="9" t="s">
        <v>29</v>
      </c>
      <c r="F607" s="13">
        <v>78200</v>
      </c>
      <c r="G607" s="39">
        <v>600</v>
      </c>
      <c r="H607" s="45">
        <v>36.85</v>
      </c>
      <c r="I607" s="45">
        <v>31.97</v>
      </c>
      <c r="J607" s="40">
        <f>IF(D607="Short",H607-I607,I607-H607)</f>
        <v>4.8800000000000026</v>
      </c>
      <c r="K607" s="40">
        <f>J607*G607</f>
        <v>2928.0000000000014</v>
      </c>
      <c r="L607" s="40">
        <f>IF(D607="Short",G607*H607,G607*I607)</f>
        <v>22110</v>
      </c>
      <c r="M607" s="40">
        <f>IF(D607="Short",G607*I607,H607*G607)</f>
        <v>19182</v>
      </c>
      <c r="N607" s="40">
        <f>L607+M607</f>
        <v>41292</v>
      </c>
      <c r="O607" s="40">
        <f>N607*0.000134</f>
        <v>5.5331280000000005</v>
      </c>
      <c r="P607" s="40">
        <f>K607-O607</f>
        <v>2922.4668720000013</v>
      </c>
      <c r="Q607" s="14"/>
      <c r="R607" s="14"/>
      <c r="S607" s="14"/>
    </row>
    <row r="608" spans="1:19" x14ac:dyDescent="0.25">
      <c r="A608" s="51">
        <v>46197</v>
      </c>
      <c r="B608" s="9" t="s">
        <v>27</v>
      </c>
      <c r="C608" s="12">
        <v>46198</v>
      </c>
      <c r="D608" s="9" t="s">
        <v>30</v>
      </c>
      <c r="E608" s="9" t="s">
        <v>32</v>
      </c>
      <c r="F608" s="13">
        <v>76300</v>
      </c>
      <c r="G608" s="39">
        <v>3200</v>
      </c>
      <c r="H608" s="45">
        <v>59.81</v>
      </c>
      <c r="I608" s="45">
        <v>5.51</v>
      </c>
      <c r="J608" s="40">
        <f>IF(D608="Short",H608-I608,I608-H608)</f>
        <v>-54.300000000000004</v>
      </c>
      <c r="K608" s="40">
        <f>J608*G608</f>
        <v>-173760</v>
      </c>
      <c r="L608" s="40">
        <f>IF(D608="Short",G608*H608,G608*I608)</f>
        <v>17632</v>
      </c>
      <c r="M608" s="40">
        <f>IF(D608="Short",G608*I608,H608*G608)</f>
        <v>191392</v>
      </c>
      <c r="N608" s="40">
        <f>L608+M608</f>
        <v>209024</v>
      </c>
      <c r="O608" s="40">
        <f>N608*0.000134</f>
        <v>28.009216000000002</v>
      </c>
      <c r="P608" s="40">
        <f>K608-O608</f>
        <v>-173788.00921600001</v>
      </c>
      <c r="Q608" s="14"/>
      <c r="R608" s="14"/>
      <c r="S608" s="14"/>
    </row>
    <row r="609" spans="1:19" x14ac:dyDescent="0.25">
      <c r="A609" s="51">
        <v>46196</v>
      </c>
      <c r="B609" s="9" t="s">
        <v>31</v>
      </c>
      <c r="C609" s="12">
        <v>46196</v>
      </c>
      <c r="D609" s="9" t="s">
        <v>30</v>
      </c>
      <c r="E609" s="9" t="s">
        <v>29</v>
      </c>
      <c r="F609" s="13">
        <v>24050</v>
      </c>
      <c r="G609" s="39">
        <v>910</v>
      </c>
      <c r="H609" s="45">
        <v>83.4</v>
      </c>
      <c r="I609" s="45">
        <v>54.85</v>
      </c>
      <c r="J609" s="40">
        <f>IF(D609="Short",H609-I609,I609-H609)</f>
        <v>-28.550000000000004</v>
      </c>
      <c r="K609" s="40">
        <f>J609*G609</f>
        <v>-25980.500000000004</v>
      </c>
      <c r="L609" s="40">
        <f>IF(D609="Short",G609*H609,G609*I609)</f>
        <v>49913.5</v>
      </c>
      <c r="M609" s="40">
        <f>IF(D609="Short",G609*I609,H609*G609)</f>
        <v>75894</v>
      </c>
      <c r="N609" s="40">
        <f>L609+M609</f>
        <v>125807.5</v>
      </c>
      <c r="O609" s="40">
        <f>N609*0.000134</f>
        <v>16.858205000000002</v>
      </c>
      <c r="P609" s="40">
        <f>K609-O609</f>
        <v>-25997.358205000004</v>
      </c>
      <c r="Q609" s="14"/>
      <c r="R609" s="14"/>
      <c r="S609" s="14"/>
    </row>
    <row r="610" spans="1:19" x14ac:dyDescent="0.25">
      <c r="A610" s="51">
        <v>46196</v>
      </c>
      <c r="B610" s="9" t="s">
        <v>27</v>
      </c>
      <c r="C610" s="12">
        <v>46198</v>
      </c>
      <c r="D610" s="9" t="s">
        <v>30</v>
      </c>
      <c r="E610" s="9" t="s">
        <v>29</v>
      </c>
      <c r="F610" s="13">
        <v>76900</v>
      </c>
      <c r="G610" s="39">
        <v>280</v>
      </c>
      <c r="H610" s="45">
        <v>481</v>
      </c>
      <c r="I610" s="45">
        <v>381.05</v>
      </c>
      <c r="J610" s="40">
        <f>IF(D610="Short",H610-I610,I610-H610)</f>
        <v>-99.949999999999989</v>
      </c>
      <c r="K610" s="40">
        <f>J610*G610</f>
        <v>-27985.999999999996</v>
      </c>
      <c r="L610" s="40">
        <f>IF(D610="Short",G610*H610,G610*I610)</f>
        <v>106694</v>
      </c>
      <c r="M610" s="40">
        <f>IF(D610="Short",G610*I610,H610*G610)</f>
        <v>134680</v>
      </c>
      <c r="N610" s="40">
        <f>L610+M610</f>
        <v>241374</v>
      </c>
      <c r="O610" s="40">
        <f>N610*0.000134</f>
        <v>32.344116</v>
      </c>
      <c r="P610" s="40">
        <f>K610-O610</f>
        <v>-28018.344115999997</v>
      </c>
      <c r="Q610" s="14"/>
      <c r="R610" s="14"/>
      <c r="S610" s="14"/>
    </row>
    <row r="611" spans="1:19" x14ac:dyDescent="0.25">
      <c r="A611" s="51">
        <v>46196</v>
      </c>
      <c r="B611" s="9" t="s">
        <v>27</v>
      </c>
      <c r="C611" s="12">
        <v>46198</v>
      </c>
      <c r="D611" s="9" t="s">
        <v>30</v>
      </c>
      <c r="E611" s="9" t="s">
        <v>29</v>
      </c>
      <c r="F611" s="13">
        <v>78200</v>
      </c>
      <c r="G611" s="39">
        <v>180</v>
      </c>
      <c r="H611" s="45">
        <v>31.97</v>
      </c>
      <c r="I611" s="45">
        <v>8.9499999999999993</v>
      </c>
      <c r="J611" s="40">
        <f>IF(D611="Short",H611-I611,I611-H611)</f>
        <v>-23.02</v>
      </c>
      <c r="K611" s="40">
        <f>J611*G611</f>
        <v>-4143.6000000000004</v>
      </c>
      <c r="L611" s="40">
        <f>IF(D611="Short",G611*H611,G611*I611)</f>
        <v>1610.9999999999998</v>
      </c>
      <c r="M611" s="40">
        <f>IF(D611="Short",G611*I611,H611*G611)</f>
        <v>5754.5999999999995</v>
      </c>
      <c r="N611" s="40">
        <f>L611+M611</f>
        <v>7365.5999999999995</v>
      </c>
      <c r="O611" s="40">
        <f>N611*0.000134</f>
        <v>0.98699039999999993</v>
      </c>
      <c r="P611" s="40">
        <f>K611-O611</f>
        <v>-4144.5869904000001</v>
      </c>
      <c r="Q611" s="14"/>
      <c r="R611" s="14"/>
      <c r="S611" s="14"/>
    </row>
    <row r="612" spans="1:19" x14ac:dyDescent="0.25">
      <c r="A612" s="51">
        <v>46197</v>
      </c>
      <c r="B612" s="9" t="s">
        <v>27</v>
      </c>
      <c r="C612" s="12">
        <v>46198</v>
      </c>
      <c r="D612" s="9" t="s">
        <v>30</v>
      </c>
      <c r="E612" s="9" t="s">
        <v>29</v>
      </c>
      <c r="F612" s="13">
        <v>76200</v>
      </c>
      <c r="G612" s="39">
        <v>120</v>
      </c>
      <c r="H612" s="45">
        <v>932.78</v>
      </c>
      <c r="I612" s="45">
        <v>442.47</v>
      </c>
      <c r="J612" s="40">
        <f>IF(D612="Short",H612-I612,I612-H612)</f>
        <v>-490.30999999999995</v>
      </c>
      <c r="K612" s="40">
        <f>J612*G612</f>
        <v>-58837.2</v>
      </c>
      <c r="L612" s="40">
        <f>IF(D612="Short",G612*H612,G612*I612)</f>
        <v>53096.4</v>
      </c>
      <c r="M612" s="40">
        <f>IF(D612="Short",G612*I612,H612*G612)</f>
        <v>111933.59999999999</v>
      </c>
      <c r="N612" s="40">
        <f>L612+M612</f>
        <v>165030</v>
      </c>
      <c r="O612" s="40">
        <f>N612*0.000134</f>
        <v>22.11402</v>
      </c>
      <c r="P612" s="40">
        <f>K612-O612</f>
        <v>-58859.314019999998</v>
      </c>
      <c r="Q612" s="14"/>
      <c r="R612" s="14"/>
      <c r="S612" s="14"/>
    </row>
    <row r="613" spans="1:19" x14ac:dyDescent="0.25">
      <c r="A613" s="51">
        <v>46197</v>
      </c>
      <c r="B613" s="9" t="s">
        <v>27</v>
      </c>
      <c r="C613" s="12">
        <v>46198</v>
      </c>
      <c r="D613" s="9" t="s">
        <v>30</v>
      </c>
      <c r="E613" s="9" t="s">
        <v>29</v>
      </c>
      <c r="F613" s="13">
        <v>76300</v>
      </c>
      <c r="G613" s="39">
        <v>120</v>
      </c>
      <c r="H613" s="45">
        <v>836.85</v>
      </c>
      <c r="I613" s="45">
        <v>383.31</v>
      </c>
      <c r="J613" s="40">
        <f>IF(D613="Short",H613-I613,I613-H613)</f>
        <v>-453.54</v>
      </c>
      <c r="K613" s="40">
        <f>J613*G613</f>
        <v>-54424.800000000003</v>
      </c>
      <c r="L613" s="40">
        <f>IF(D613="Short",G613*H613,G613*I613)</f>
        <v>45997.2</v>
      </c>
      <c r="M613" s="40">
        <f>IF(D613="Short",G613*I613,H613*G613)</f>
        <v>100422</v>
      </c>
      <c r="N613" s="40">
        <f>L613+M613</f>
        <v>146419.20000000001</v>
      </c>
      <c r="O613" s="40">
        <f>N613*0.000134</f>
        <v>19.620172800000002</v>
      </c>
      <c r="P613" s="40">
        <f>K613-O613</f>
        <v>-54444.420172800004</v>
      </c>
      <c r="Q613" s="14"/>
      <c r="R613" s="14"/>
      <c r="S613" s="14"/>
    </row>
    <row r="614" spans="1:19" x14ac:dyDescent="0.25">
      <c r="A614" s="51">
        <v>46197</v>
      </c>
      <c r="B614" s="9" t="s">
        <v>31</v>
      </c>
      <c r="C614" s="12">
        <v>46203</v>
      </c>
      <c r="D614" s="9" t="s">
        <v>30</v>
      </c>
      <c r="E614" s="9" t="s">
        <v>29</v>
      </c>
      <c r="F614" s="13">
        <v>23850</v>
      </c>
      <c r="G614" s="39">
        <v>1365</v>
      </c>
      <c r="H614" s="45">
        <v>216.54</v>
      </c>
      <c r="I614" s="45">
        <v>170.18</v>
      </c>
      <c r="J614" s="40">
        <f>IF(D614="Short",H614-I614,I614-H614)</f>
        <v>-46.359999999999985</v>
      </c>
      <c r="K614" s="40">
        <f>J614*G614</f>
        <v>-63281.39999999998</v>
      </c>
      <c r="L614" s="40">
        <f>IF(D614="Short",G614*H614,G614*I614)</f>
        <v>232295.7</v>
      </c>
      <c r="M614" s="40">
        <f>IF(D614="Short",G614*I614,H614*G614)</f>
        <v>295577.09999999998</v>
      </c>
      <c r="N614" s="40">
        <f>L614+M614</f>
        <v>527872.80000000005</v>
      </c>
      <c r="O614" s="40">
        <f>N614*0.000134</f>
        <v>70.734955200000002</v>
      </c>
      <c r="P614" s="40">
        <f>K614-O614</f>
        <v>-63352.134955199981</v>
      </c>
      <c r="Q614" s="14"/>
      <c r="R614" s="14"/>
      <c r="S614" s="14"/>
    </row>
    <row r="615" spans="1:19" x14ac:dyDescent="0.25">
      <c r="A615" s="51">
        <v>46197</v>
      </c>
      <c r="B615" s="9" t="s">
        <v>31</v>
      </c>
      <c r="C615" s="12">
        <v>46203</v>
      </c>
      <c r="D615" s="9" t="s">
        <v>28</v>
      </c>
      <c r="E615" s="9" t="s">
        <v>32</v>
      </c>
      <c r="F615" s="13">
        <v>23500</v>
      </c>
      <c r="G615" s="39">
        <v>1885</v>
      </c>
      <c r="H615" s="45">
        <v>18.440000000000001</v>
      </c>
      <c r="I615" s="45">
        <v>19.63</v>
      </c>
      <c r="J615" s="40">
        <f>IF(D615="Short",H615-I615,I615-H615)</f>
        <v>-1.1899999999999977</v>
      </c>
      <c r="K615" s="40">
        <f>J615*G615</f>
        <v>-2243.1499999999955</v>
      </c>
      <c r="L615" s="40">
        <f>IF(D615="Short",G615*H615,G615*I615)</f>
        <v>34759.4</v>
      </c>
      <c r="M615" s="40">
        <f>IF(D615="Short",G615*I615,H615*G615)</f>
        <v>37002.549999999996</v>
      </c>
      <c r="N615" s="40">
        <f>L615+M615</f>
        <v>71761.95</v>
      </c>
      <c r="O615" s="40">
        <f>N615*0.000134</f>
        <v>9.6161013000000004</v>
      </c>
      <c r="P615" s="40">
        <f>K615-O615</f>
        <v>-2252.7661012999956</v>
      </c>
      <c r="Q615" s="14"/>
      <c r="R615" s="14"/>
      <c r="S615" s="14"/>
    </row>
    <row r="616" spans="1:19" x14ac:dyDescent="0.25">
      <c r="A616" s="51">
        <v>46197</v>
      </c>
      <c r="B616" s="9" t="s">
        <v>27</v>
      </c>
      <c r="C616" s="12">
        <v>46198</v>
      </c>
      <c r="D616" s="9" t="s">
        <v>30</v>
      </c>
      <c r="E616" s="9" t="s">
        <v>29</v>
      </c>
      <c r="F616" s="13">
        <v>77100</v>
      </c>
      <c r="G616" s="39">
        <v>160</v>
      </c>
      <c r="H616" s="45">
        <v>251.85</v>
      </c>
      <c r="I616" s="45">
        <v>463.08</v>
      </c>
      <c r="J616" s="40">
        <f>IF(D616="Short",H616-I616,I616-H616)</f>
        <v>211.23</v>
      </c>
      <c r="K616" s="40">
        <f>J616*G616</f>
        <v>33796.799999999996</v>
      </c>
      <c r="L616" s="40">
        <f>IF(D616="Short",G616*H616,G616*I616)</f>
        <v>74092.800000000003</v>
      </c>
      <c r="M616" s="40">
        <f>IF(D616="Short",G616*I616,H616*G616)</f>
        <v>40296</v>
      </c>
      <c r="N616" s="40">
        <f>L616+M616</f>
        <v>114388.8</v>
      </c>
      <c r="O616" s="40">
        <f>N616*0.000134</f>
        <v>15.3280992</v>
      </c>
      <c r="P616" s="40">
        <f>K616-O616</f>
        <v>33781.471900799996</v>
      </c>
      <c r="Q616" s="14"/>
      <c r="R616" s="14"/>
      <c r="S616" s="14"/>
    </row>
    <row r="617" spans="1:19" x14ac:dyDescent="0.25">
      <c r="A617" s="51">
        <v>46197</v>
      </c>
      <c r="B617" s="9" t="s">
        <v>27</v>
      </c>
      <c r="C617" s="12">
        <v>46198</v>
      </c>
      <c r="D617" s="9" t="s">
        <v>28</v>
      </c>
      <c r="E617" s="9" t="s">
        <v>29</v>
      </c>
      <c r="F617" s="13">
        <v>77500</v>
      </c>
      <c r="G617" s="39">
        <v>1000</v>
      </c>
      <c r="H617" s="45">
        <v>112.22</v>
      </c>
      <c r="I617" s="45">
        <v>65.36</v>
      </c>
      <c r="J617" s="40">
        <f>IF(D617="Short",H617-I617,I617-H617)</f>
        <v>46.86</v>
      </c>
      <c r="K617" s="40">
        <f>J617*G617</f>
        <v>46860</v>
      </c>
      <c r="L617" s="40">
        <f>IF(D617="Short",G617*H617,G617*I617)</f>
        <v>112220</v>
      </c>
      <c r="M617" s="40">
        <f>IF(D617="Short",G617*I617,H617*G617)</f>
        <v>65360</v>
      </c>
      <c r="N617" s="40">
        <f>L617+M617</f>
        <v>177580</v>
      </c>
      <c r="O617" s="40">
        <f>N617*0.000134</f>
        <v>23.795719999999999</v>
      </c>
      <c r="P617" s="40">
        <f>K617-O617</f>
        <v>46836.204279999998</v>
      </c>
      <c r="Q617" s="14"/>
      <c r="R617" s="14"/>
      <c r="S617" s="14"/>
    </row>
    <row r="618" spans="1:19" x14ac:dyDescent="0.25">
      <c r="A618" s="51">
        <v>46197</v>
      </c>
      <c r="B618" s="9" t="s">
        <v>31</v>
      </c>
      <c r="C618" s="12">
        <v>46203</v>
      </c>
      <c r="D618" s="9" t="s">
        <v>30</v>
      </c>
      <c r="E618" s="9" t="s">
        <v>32</v>
      </c>
      <c r="F618" s="13">
        <v>24050</v>
      </c>
      <c r="G618" s="39">
        <v>390</v>
      </c>
      <c r="H618" s="45">
        <v>144.32</v>
      </c>
      <c r="I618" s="45">
        <v>132.5</v>
      </c>
      <c r="J618" s="40">
        <f>IF(D618="Short",H618-I618,I618-H618)</f>
        <v>-11.819999999999993</v>
      </c>
      <c r="K618" s="40">
        <f>J618*G618</f>
        <v>-4609.7999999999975</v>
      </c>
      <c r="L618" s="40">
        <f>IF(D618="Short",G618*H618,G618*I618)</f>
        <v>51675</v>
      </c>
      <c r="M618" s="40">
        <f>IF(D618="Short",G618*I618,H618*G618)</f>
        <v>56284.799999999996</v>
      </c>
      <c r="N618" s="40">
        <f>L618+M618</f>
        <v>107959.79999999999</v>
      </c>
      <c r="O618" s="40">
        <f>N618*0.000134</f>
        <v>14.466613199999999</v>
      </c>
      <c r="P618" s="40">
        <f>K618-O618</f>
        <v>-4624.2666131999977</v>
      </c>
      <c r="Q618" s="14"/>
      <c r="R618" s="14"/>
      <c r="S618" s="14"/>
    </row>
    <row r="619" spans="1:19" x14ac:dyDescent="0.25">
      <c r="A619" s="51">
        <v>46197</v>
      </c>
      <c r="B619" s="9" t="s">
        <v>31</v>
      </c>
      <c r="C619" s="12">
        <v>46203</v>
      </c>
      <c r="D619" s="9" t="s">
        <v>28</v>
      </c>
      <c r="E619" s="9" t="s">
        <v>29</v>
      </c>
      <c r="F619" s="13">
        <v>23950</v>
      </c>
      <c r="G619" s="39">
        <v>130</v>
      </c>
      <c r="H619" s="45">
        <v>186.47</v>
      </c>
      <c r="I619" s="45">
        <v>182.42</v>
      </c>
      <c r="J619" s="40">
        <f>IF(D619="Short",H619-I619,I619-H619)</f>
        <v>4.0500000000000114</v>
      </c>
      <c r="K619" s="40">
        <f>J619*G619</f>
        <v>526.50000000000148</v>
      </c>
      <c r="L619" s="40">
        <f>IF(D619="Short",G619*H619,G619*I619)</f>
        <v>24241.1</v>
      </c>
      <c r="M619" s="40">
        <f>IF(D619="Short",G619*I619,H619*G619)</f>
        <v>23714.6</v>
      </c>
      <c r="N619" s="40">
        <f>L619+M619</f>
        <v>47955.7</v>
      </c>
      <c r="O619" s="40">
        <f>N619*0.000134</f>
        <v>6.4260637999999997</v>
      </c>
      <c r="P619" s="40">
        <f>K619-O619</f>
        <v>520.07393620000153</v>
      </c>
      <c r="Q619" s="14"/>
      <c r="R619" s="14"/>
      <c r="S619" s="14"/>
    </row>
    <row r="620" spans="1:19" x14ac:dyDescent="0.25">
      <c r="A620" s="51">
        <v>46197</v>
      </c>
      <c r="B620" s="9" t="s">
        <v>27</v>
      </c>
      <c r="C620" s="12">
        <v>46198</v>
      </c>
      <c r="D620" s="9" t="s">
        <v>28</v>
      </c>
      <c r="E620" s="9" t="s">
        <v>32</v>
      </c>
      <c r="F620" s="13">
        <v>76500</v>
      </c>
      <c r="G620" s="39">
        <v>280</v>
      </c>
      <c r="H620" s="45">
        <v>180.65</v>
      </c>
      <c r="I620" s="45">
        <v>9.75</v>
      </c>
      <c r="J620" s="40">
        <f>IF(D620="Short",H620-I620,I620-H620)</f>
        <v>170.9</v>
      </c>
      <c r="K620" s="40">
        <f>J620*G620</f>
        <v>47852</v>
      </c>
      <c r="L620" s="40">
        <f>IF(D620="Short",G620*H620,G620*I620)</f>
        <v>50582</v>
      </c>
      <c r="M620" s="40">
        <f>IF(D620="Short",G620*I620,H620*G620)</f>
        <v>2730</v>
      </c>
      <c r="N620" s="40">
        <f>L620+M620</f>
        <v>53312</v>
      </c>
      <c r="O620" s="40">
        <f>N620*0.000134</f>
        <v>7.1438079999999999</v>
      </c>
      <c r="P620" s="40">
        <f>K620-O620</f>
        <v>47844.856191999999</v>
      </c>
      <c r="Q620" s="14"/>
      <c r="R620" s="14"/>
      <c r="S620" s="14"/>
    </row>
    <row r="621" spans="1:19" x14ac:dyDescent="0.25">
      <c r="A621" s="51">
        <v>46197</v>
      </c>
      <c r="B621" s="9" t="s">
        <v>27</v>
      </c>
      <c r="C621" s="12">
        <v>46198</v>
      </c>
      <c r="D621" s="9" t="s">
        <v>28</v>
      </c>
      <c r="E621" s="9" t="s">
        <v>32</v>
      </c>
      <c r="F621" s="13">
        <v>76000</v>
      </c>
      <c r="G621" s="39">
        <v>2740</v>
      </c>
      <c r="H621" s="45">
        <v>35.68</v>
      </c>
      <c r="I621" s="45">
        <v>35.56</v>
      </c>
      <c r="J621" s="40">
        <f>IF(D621="Short",H621-I621,I621-H621)</f>
        <v>0.11999999999999744</v>
      </c>
      <c r="K621" s="40">
        <f>J621*G621</f>
        <v>328.79999999999302</v>
      </c>
      <c r="L621" s="40">
        <f>IF(D621="Short",G621*H621,G621*I621)</f>
        <v>97763.199999999997</v>
      </c>
      <c r="M621" s="40">
        <f>IF(D621="Short",G621*I621,H621*G621)</f>
        <v>97434.400000000009</v>
      </c>
      <c r="N621" s="40">
        <f>L621+M621</f>
        <v>195197.6</v>
      </c>
      <c r="O621" s="40">
        <f>N621*0.000134</f>
        <v>26.156478400000001</v>
      </c>
      <c r="P621" s="40">
        <f>K621-O621</f>
        <v>302.64352159999299</v>
      </c>
      <c r="Q621" s="14"/>
      <c r="R621" s="14"/>
      <c r="S621" s="14"/>
    </row>
    <row r="622" spans="1:19" x14ac:dyDescent="0.25">
      <c r="A622" s="51">
        <v>46197</v>
      </c>
      <c r="B622" s="9" t="s">
        <v>27</v>
      </c>
      <c r="C622" s="12">
        <v>46198</v>
      </c>
      <c r="D622" s="9" t="s">
        <v>28</v>
      </c>
      <c r="E622" s="9" t="s">
        <v>32</v>
      </c>
      <c r="F622" s="13">
        <v>76600</v>
      </c>
      <c r="G622" s="39">
        <v>280</v>
      </c>
      <c r="H622" s="45">
        <v>368.45</v>
      </c>
      <c r="I622" s="45">
        <v>11.74</v>
      </c>
      <c r="J622" s="40">
        <f>IF(D622="Short",H622-I622,I622-H622)</f>
        <v>356.71</v>
      </c>
      <c r="K622" s="40">
        <f>J622*G622</f>
        <v>99878.799999999988</v>
      </c>
      <c r="L622" s="40">
        <f>IF(D622="Short",G622*H622,G622*I622)</f>
        <v>103166</v>
      </c>
      <c r="M622" s="40">
        <f>IF(D622="Short",G622*I622,H622*G622)</f>
        <v>3287.2000000000003</v>
      </c>
      <c r="N622" s="40">
        <f>L622+M622</f>
        <v>106453.2</v>
      </c>
      <c r="O622" s="40">
        <f>N622*0.000134</f>
        <v>14.2647288</v>
      </c>
      <c r="P622" s="40">
        <f>K622-O622</f>
        <v>99864.535271199988</v>
      </c>
      <c r="Q622" s="14"/>
      <c r="R622" s="14"/>
      <c r="S622" s="14"/>
    </row>
    <row r="623" spans="1:19" x14ac:dyDescent="0.25">
      <c r="A623" s="51">
        <v>46197</v>
      </c>
      <c r="B623" s="9" t="s">
        <v>31</v>
      </c>
      <c r="C623" s="12">
        <v>46203</v>
      </c>
      <c r="D623" s="9" t="s">
        <v>28</v>
      </c>
      <c r="E623" s="9" t="s">
        <v>29</v>
      </c>
      <c r="F623" s="13">
        <v>24300</v>
      </c>
      <c r="G623" s="39">
        <v>8450</v>
      </c>
      <c r="H623" s="45">
        <v>42.4</v>
      </c>
      <c r="I623" s="45">
        <v>27.42</v>
      </c>
      <c r="J623" s="40">
        <f>IF(D623="Short",H623-I623,I623-H623)</f>
        <v>14.979999999999997</v>
      </c>
      <c r="K623" s="40">
        <f>J623*G623</f>
        <v>126580.99999999997</v>
      </c>
      <c r="L623" s="40">
        <f>IF(D623="Short",G623*H623,G623*I623)</f>
        <v>358280</v>
      </c>
      <c r="M623" s="40">
        <f>IF(D623="Short",G623*I623,H623*G623)</f>
        <v>231699</v>
      </c>
      <c r="N623" s="40">
        <f>L623+M623</f>
        <v>589979</v>
      </c>
      <c r="O623" s="40">
        <f>N623*0.000134</f>
        <v>79.057186000000002</v>
      </c>
      <c r="P623" s="40">
        <f>K623-O623</f>
        <v>126501.94281399997</v>
      </c>
      <c r="Q623" s="14"/>
      <c r="R623" s="14"/>
      <c r="S623" s="14"/>
    </row>
    <row r="624" spans="1:19" x14ac:dyDescent="0.25">
      <c r="A624" s="51">
        <v>46197</v>
      </c>
      <c r="B624" s="9" t="s">
        <v>27</v>
      </c>
      <c r="C624" s="12">
        <v>46198</v>
      </c>
      <c r="D624" s="9" t="s">
        <v>28</v>
      </c>
      <c r="E624" s="9" t="s">
        <v>32</v>
      </c>
      <c r="F624" s="13">
        <v>76700</v>
      </c>
      <c r="G624" s="39">
        <v>280</v>
      </c>
      <c r="H624" s="45">
        <v>293.68</v>
      </c>
      <c r="I624" s="45">
        <v>10.6</v>
      </c>
      <c r="J624" s="40">
        <f>IF(D624="Short",H624-I624,I624-H624)</f>
        <v>283.08</v>
      </c>
      <c r="K624" s="40">
        <f>J624*G624</f>
        <v>79262.399999999994</v>
      </c>
      <c r="L624" s="40">
        <f>IF(D624="Short",G624*H624,G624*I624)</f>
        <v>82230.400000000009</v>
      </c>
      <c r="M624" s="40">
        <f>IF(D624="Short",G624*I624,H624*G624)</f>
        <v>2968</v>
      </c>
      <c r="N624" s="40">
        <f>L624+M624</f>
        <v>85198.400000000009</v>
      </c>
      <c r="O624" s="40">
        <f>N624*0.000134</f>
        <v>11.416585600000001</v>
      </c>
      <c r="P624" s="40">
        <f>K624-O624</f>
        <v>79250.983414399991</v>
      </c>
      <c r="Q624" s="14"/>
      <c r="R624" s="14"/>
      <c r="S624" s="14"/>
    </row>
    <row r="625" spans="1:19" x14ac:dyDescent="0.25">
      <c r="A625" s="51">
        <v>46197</v>
      </c>
      <c r="B625" s="9" t="s">
        <v>27</v>
      </c>
      <c r="C625" s="12">
        <v>46198</v>
      </c>
      <c r="D625" s="9" t="s">
        <v>28</v>
      </c>
      <c r="E625" s="9" t="s">
        <v>32</v>
      </c>
      <c r="F625" s="13">
        <v>76500</v>
      </c>
      <c r="G625" s="39">
        <v>280</v>
      </c>
      <c r="H625" s="45">
        <v>180.65</v>
      </c>
      <c r="I625" s="45">
        <v>80.8</v>
      </c>
      <c r="J625" s="40">
        <f>IF(D625="Short",H625-I625,I625-H625)</f>
        <v>99.850000000000009</v>
      </c>
      <c r="K625" s="40">
        <f>J625*G625</f>
        <v>27958.000000000004</v>
      </c>
      <c r="L625" s="40">
        <f>IF(D625="Short",G625*H625,G625*I625)</f>
        <v>50582</v>
      </c>
      <c r="M625" s="40">
        <f>IF(D625="Short",G625*I625,H625*G625)</f>
        <v>22624</v>
      </c>
      <c r="N625" s="40">
        <f>L625+M625</f>
        <v>73206</v>
      </c>
      <c r="O625" s="40">
        <f>N625*0.000134</f>
        <v>9.8096040000000002</v>
      </c>
      <c r="P625" s="40">
        <f>K625-O625</f>
        <v>27948.190396000005</v>
      </c>
      <c r="Q625" s="14"/>
      <c r="R625" s="14"/>
      <c r="S625" s="14"/>
    </row>
    <row r="626" spans="1:19" x14ac:dyDescent="0.25">
      <c r="A626" s="51">
        <v>46197</v>
      </c>
      <c r="B626" s="9" t="s">
        <v>27</v>
      </c>
      <c r="C626" s="12">
        <v>46198</v>
      </c>
      <c r="D626" s="9" t="s">
        <v>28</v>
      </c>
      <c r="E626" s="9" t="s">
        <v>32</v>
      </c>
      <c r="F626" s="13">
        <v>75700</v>
      </c>
      <c r="G626" s="39">
        <v>2300</v>
      </c>
      <c r="H626" s="45">
        <v>24.46</v>
      </c>
      <c r="I626" s="45">
        <v>46.9</v>
      </c>
      <c r="J626" s="40">
        <f>IF(D626="Short",H626-I626,I626-H626)</f>
        <v>-22.439999999999998</v>
      </c>
      <c r="K626" s="40">
        <f>J626*G626</f>
        <v>-51611.999999999993</v>
      </c>
      <c r="L626" s="40">
        <f>IF(D626="Short",G626*H626,G626*I626)</f>
        <v>56258</v>
      </c>
      <c r="M626" s="40">
        <f>IF(D626="Short",G626*I626,H626*G626)</f>
        <v>107870</v>
      </c>
      <c r="N626" s="40">
        <f>L626+M626</f>
        <v>164128</v>
      </c>
      <c r="O626" s="40">
        <f>N626*0.000134</f>
        <v>21.993152000000002</v>
      </c>
      <c r="P626" s="40">
        <f>K626-O626</f>
        <v>-51633.993151999995</v>
      </c>
      <c r="Q626" s="14"/>
      <c r="R626" s="14"/>
      <c r="S626" s="14"/>
    </row>
    <row r="627" spans="1:19" x14ac:dyDescent="0.25">
      <c r="A627" s="51">
        <v>46197</v>
      </c>
      <c r="B627" s="9" t="s">
        <v>27</v>
      </c>
      <c r="C627" s="12">
        <v>46198</v>
      </c>
      <c r="D627" s="9" t="s">
        <v>28</v>
      </c>
      <c r="E627" s="9" t="s">
        <v>32</v>
      </c>
      <c r="F627" s="13">
        <v>77200</v>
      </c>
      <c r="G627" s="39">
        <v>140</v>
      </c>
      <c r="H627" s="45">
        <v>308.73</v>
      </c>
      <c r="I627" s="45">
        <v>785.75</v>
      </c>
      <c r="J627" s="40">
        <f>IF(D627="Short",H627-I627,I627-H627)</f>
        <v>-477.02</v>
      </c>
      <c r="K627" s="40">
        <f>J627*G627</f>
        <v>-66782.8</v>
      </c>
      <c r="L627" s="40">
        <f>IF(D627="Short",G627*H627,G627*I627)</f>
        <v>43222.200000000004</v>
      </c>
      <c r="M627" s="40">
        <f>IF(D627="Short",G627*I627,H627*G627)</f>
        <v>110005</v>
      </c>
      <c r="N627" s="40">
        <f>L627+M627</f>
        <v>153227.20000000001</v>
      </c>
      <c r="O627" s="40">
        <f>N627*0.000134</f>
        <v>20.532444800000004</v>
      </c>
      <c r="P627" s="40">
        <f>K627-O627</f>
        <v>-66803.332444800006</v>
      </c>
      <c r="Q627" s="14"/>
      <c r="R627" s="14"/>
      <c r="S627" s="14"/>
    </row>
    <row r="628" spans="1:19" x14ac:dyDescent="0.25">
      <c r="A628" s="51">
        <v>46197</v>
      </c>
      <c r="B628" s="9" t="s">
        <v>27</v>
      </c>
      <c r="C628" s="12">
        <v>46198</v>
      </c>
      <c r="D628" s="9" t="s">
        <v>28</v>
      </c>
      <c r="E628" s="9" t="s">
        <v>32</v>
      </c>
      <c r="F628" s="13">
        <v>76800</v>
      </c>
      <c r="G628" s="39">
        <v>280</v>
      </c>
      <c r="H628" s="45">
        <v>290.72000000000003</v>
      </c>
      <c r="I628" s="45">
        <v>3.08</v>
      </c>
      <c r="J628" s="40">
        <f>IF(D628="Short",H628-I628,I628-H628)</f>
        <v>287.64000000000004</v>
      </c>
      <c r="K628" s="40">
        <f>J628*G628</f>
        <v>80539.200000000012</v>
      </c>
      <c r="L628" s="40">
        <f>IF(D628="Short",G628*H628,G628*I628)</f>
        <v>81401.600000000006</v>
      </c>
      <c r="M628" s="40">
        <f>IF(D628="Short",G628*I628,H628*G628)</f>
        <v>862.4</v>
      </c>
      <c r="N628" s="40">
        <f>L628+M628</f>
        <v>82264</v>
      </c>
      <c r="O628" s="40">
        <f>N628*0.000134</f>
        <v>11.023376000000001</v>
      </c>
      <c r="P628" s="40">
        <f>K628-O628</f>
        <v>80528.176624000014</v>
      </c>
      <c r="Q628" s="14"/>
      <c r="R628" s="14"/>
      <c r="S628" s="14"/>
    </row>
    <row r="629" spans="1:19" x14ac:dyDescent="0.25">
      <c r="A629" s="51">
        <v>46197</v>
      </c>
      <c r="B629" s="9" t="s">
        <v>31</v>
      </c>
      <c r="C629" s="12">
        <v>46203</v>
      </c>
      <c r="D629" s="9" t="s">
        <v>28</v>
      </c>
      <c r="E629" s="9" t="s">
        <v>32</v>
      </c>
      <c r="F629" s="13">
        <v>24050</v>
      </c>
      <c r="G629" s="39">
        <v>1560</v>
      </c>
      <c r="H629" s="45">
        <v>132.5</v>
      </c>
      <c r="I629" s="45">
        <v>127.44</v>
      </c>
      <c r="J629" s="40">
        <f>IF(D629="Short",H629-I629,I629-H629)</f>
        <v>5.0600000000000023</v>
      </c>
      <c r="K629" s="40">
        <f>J629*G629</f>
        <v>7893.600000000004</v>
      </c>
      <c r="L629" s="40">
        <f>IF(D629="Short",G629*H629,G629*I629)</f>
        <v>206700</v>
      </c>
      <c r="M629" s="40">
        <f>IF(D629="Short",G629*I629,H629*G629)</f>
        <v>198806.39999999999</v>
      </c>
      <c r="N629" s="40">
        <f>L629+M629</f>
        <v>405506.4</v>
      </c>
      <c r="O629" s="40">
        <f>N629*0.000134</f>
        <v>54.337857600000007</v>
      </c>
      <c r="P629" s="40">
        <f>K629-O629</f>
        <v>7839.2621424000044</v>
      </c>
      <c r="Q629" s="14"/>
      <c r="R629" s="14"/>
      <c r="S629" s="14"/>
    </row>
    <row r="630" spans="1:19" x14ac:dyDescent="0.25">
      <c r="A630" s="51">
        <v>46197</v>
      </c>
      <c r="B630" s="9" t="s">
        <v>31</v>
      </c>
      <c r="C630" s="12">
        <v>46203</v>
      </c>
      <c r="D630" s="9" t="s">
        <v>30</v>
      </c>
      <c r="E630" s="9" t="s">
        <v>32</v>
      </c>
      <c r="F630" s="13">
        <v>23500</v>
      </c>
      <c r="G630" s="39">
        <v>6760</v>
      </c>
      <c r="H630" s="45">
        <v>19.63</v>
      </c>
      <c r="I630" s="45">
        <v>8.56</v>
      </c>
      <c r="J630" s="40">
        <f>IF(D630="Short",H630-I630,I630-H630)</f>
        <v>-11.069999999999999</v>
      </c>
      <c r="K630" s="40">
        <f>J630*G630</f>
        <v>-74833.2</v>
      </c>
      <c r="L630" s="40">
        <f>IF(D630="Short",G630*H630,G630*I630)</f>
        <v>57865.600000000006</v>
      </c>
      <c r="M630" s="40">
        <f>IF(D630="Short",G630*I630,H630*G630)</f>
        <v>132698.79999999999</v>
      </c>
      <c r="N630" s="40">
        <f>L630+M630</f>
        <v>190564.4</v>
      </c>
      <c r="O630" s="40">
        <f>N630*0.000134</f>
        <v>25.5356296</v>
      </c>
      <c r="P630" s="40">
        <f>K630-O630</f>
        <v>-74858.735629599993</v>
      </c>
      <c r="Q630" s="14"/>
      <c r="R630" s="14"/>
      <c r="S630" s="14"/>
    </row>
    <row r="631" spans="1:19" x14ac:dyDescent="0.25">
      <c r="A631" s="51">
        <v>46197</v>
      </c>
      <c r="B631" s="9" t="s">
        <v>27</v>
      </c>
      <c r="C631" s="12">
        <v>46198</v>
      </c>
      <c r="D631" s="9" t="s">
        <v>30</v>
      </c>
      <c r="E631" s="9" t="s">
        <v>29</v>
      </c>
      <c r="F631" s="13">
        <v>76700</v>
      </c>
      <c r="G631" s="39">
        <v>300</v>
      </c>
      <c r="H631" s="45">
        <v>417.22</v>
      </c>
      <c r="I631" s="45">
        <v>810.46</v>
      </c>
      <c r="J631" s="40">
        <f>IF(D631="Short",H631-I631,I631-H631)</f>
        <v>393.24</v>
      </c>
      <c r="K631" s="40">
        <f>J631*G631</f>
        <v>117972</v>
      </c>
      <c r="L631" s="40">
        <f>IF(D631="Short",G631*H631,G631*I631)</f>
        <v>243138</v>
      </c>
      <c r="M631" s="40">
        <f>IF(D631="Short",G631*I631,H631*G631)</f>
        <v>125166.00000000001</v>
      </c>
      <c r="N631" s="40">
        <f>L631+M631</f>
        <v>368304</v>
      </c>
      <c r="O631" s="40">
        <f>N631*0.000134</f>
        <v>49.352736</v>
      </c>
      <c r="P631" s="40">
        <f>K631-O631</f>
        <v>117922.647264</v>
      </c>
      <c r="Q631" s="14"/>
      <c r="R631" s="14"/>
      <c r="S631" s="14"/>
    </row>
    <row r="632" spans="1:19" x14ac:dyDescent="0.25">
      <c r="A632" s="51">
        <v>46197</v>
      </c>
      <c r="B632" s="9" t="s">
        <v>27</v>
      </c>
      <c r="C632" s="12">
        <v>46198</v>
      </c>
      <c r="D632" s="9" t="s">
        <v>30</v>
      </c>
      <c r="E632" s="9" t="s">
        <v>29</v>
      </c>
      <c r="F632" s="13">
        <v>77200</v>
      </c>
      <c r="G632" s="39">
        <v>640</v>
      </c>
      <c r="H632" s="45">
        <v>294.37</v>
      </c>
      <c r="I632" s="45">
        <v>305.36</v>
      </c>
      <c r="J632" s="40">
        <f>IF(D632="Short",H632-I632,I632-H632)</f>
        <v>10.990000000000009</v>
      </c>
      <c r="K632" s="40">
        <f>J632*G632</f>
        <v>7033.6000000000058</v>
      </c>
      <c r="L632" s="40">
        <f>IF(D632="Short",G632*H632,G632*I632)</f>
        <v>195430.40000000002</v>
      </c>
      <c r="M632" s="40">
        <f>IF(D632="Short",G632*I632,H632*G632)</f>
        <v>188396.79999999999</v>
      </c>
      <c r="N632" s="40">
        <f>L632+M632</f>
        <v>383827.20000000001</v>
      </c>
      <c r="O632" s="40">
        <f>N632*0.000134</f>
        <v>51.432844800000005</v>
      </c>
      <c r="P632" s="40">
        <f>K632-O632</f>
        <v>6982.1671552000062</v>
      </c>
      <c r="Q632" s="14"/>
      <c r="R632" s="14"/>
      <c r="S632" s="14"/>
    </row>
    <row r="633" spans="1:19" x14ac:dyDescent="0.25">
      <c r="A633" s="51">
        <v>46197</v>
      </c>
      <c r="B633" s="9" t="s">
        <v>31</v>
      </c>
      <c r="C633" s="12">
        <v>46203</v>
      </c>
      <c r="D633" s="9" t="s">
        <v>30</v>
      </c>
      <c r="E633" s="9" t="s">
        <v>29</v>
      </c>
      <c r="F633" s="13">
        <v>24050</v>
      </c>
      <c r="G633" s="39">
        <v>1040</v>
      </c>
      <c r="H633" s="45">
        <v>180.75</v>
      </c>
      <c r="I633" s="45">
        <v>190.65</v>
      </c>
      <c r="J633" s="40">
        <f>IF(D633="Short",H633-I633,I633-H633)</f>
        <v>9.9000000000000057</v>
      </c>
      <c r="K633" s="40">
        <f>J633*G633</f>
        <v>10296.000000000005</v>
      </c>
      <c r="L633" s="40">
        <f>IF(D633="Short",G633*H633,G633*I633)</f>
        <v>198276</v>
      </c>
      <c r="M633" s="40">
        <f>IF(D633="Short",G633*I633,H633*G633)</f>
        <v>187980</v>
      </c>
      <c r="N633" s="40">
        <f>L633+M633</f>
        <v>386256</v>
      </c>
      <c r="O633" s="40">
        <f>N633*0.000134</f>
        <v>51.758304000000003</v>
      </c>
      <c r="P633" s="40">
        <f>K633-O633</f>
        <v>10244.241696000005</v>
      </c>
      <c r="Q633" s="14"/>
      <c r="R633" s="14"/>
      <c r="S633" s="14"/>
    </row>
    <row r="634" spans="1:19" x14ac:dyDescent="0.25">
      <c r="A634" s="51">
        <v>46197</v>
      </c>
      <c r="B634" s="9" t="s">
        <v>31</v>
      </c>
      <c r="C634" s="12">
        <v>46203</v>
      </c>
      <c r="D634" s="9" t="s">
        <v>30</v>
      </c>
      <c r="E634" s="9" t="s">
        <v>29</v>
      </c>
      <c r="F634" s="13">
        <v>23950</v>
      </c>
      <c r="G634" s="39">
        <v>1170</v>
      </c>
      <c r="H634" s="45">
        <v>182.42</v>
      </c>
      <c r="I634" s="45">
        <v>266.88</v>
      </c>
      <c r="J634" s="40">
        <f>IF(D634="Short",H634-I634,I634-H634)</f>
        <v>84.460000000000008</v>
      </c>
      <c r="K634" s="40">
        <f>J634*G634</f>
        <v>98818.200000000012</v>
      </c>
      <c r="L634" s="40">
        <f>IF(D634="Short",G634*H634,G634*I634)</f>
        <v>312249.59999999998</v>
      </c>
      <c r="M634" s="40">
        <f>IF(D634="Short",G634*I634,H634*G634)</f>
        <v>213431.4</v>
      </c>
      <c r="N634" s="40">
        <f>L634+M634</f>
        <v>525681</v>
      </c>
      <c r="O634" s="40">
        <f>N634*0.000134</f>
        <v>70.441254000000001</v>
      </c>
      <c r="P634" s="40">
        <f>K634-O634</f>
        <v>98747.758746000007</v>
      </c>
      <c r="Q634" s="14"/>
      <c r="R634" s="14"/>
      <c r="S634" s="14"/>
    </row>
    <row r="635" spans="1:19" x14ac:dyDescent="0.25">
      <c r="A635" s="51">
        <v>46197</v>
      </c>
      <c r="B635" s="9" t="s">
        <v>31</v>
      </c>
      <c r="C635" s="12">
        <v>46203</v>
      </c>
      <c r="D635" s="9" t="s">
        <v>28</v>
      </c>
      <c r="E635" s="9" t="s">
        <v>32</v>
      </c>
      <c r="F635" s="13">
        <v>23300</v>
      </c>
      <c r="G635" s="39">
        <v>7670</v>
      </c>
      <c r="H635" s="45">
        <v>11.52</v>
      </c>
      <c r="I635" s="45">
        <v>13.52</v>
      </c>
      <c r="J635" s="40">
        <f>IF(D635="Short",H635-I635,I635-H635)</f>
        <v>-2</v>
      </c>
      <c r="K635" s="40">
        <f>J635*G635</f>
        <v>-15340</v>
      </c>
      <c r="L635" s="40">
        <f>IF(D635="Short",G635*H635,G635*I635)</f>
        <v>88358.399999999994</v>
      </c>
      <c r="M635" s="40">
        <f>IF(D635="Short",G635*I635,H635*G635)</f>
        <v>103698.4</v>
      </c>
      <c r="N635" s="40">
        <f>L635+M635</f>
        <v>192056.8</v>
      </c>
      <c r="O635" s="40">
        <f>N635*0.000134</f>
        <v>25.735611200000001</v>
      </c>
      <c r="P635" s="40">
        <f>K635-O635</f>
        <v>-15365.7356112</v>
      </c>
      <c r="Q635" s="14"/>
      <c r="R635" s="14"/>
      <c r="S635" s="14"/>
    </row>
    <row r="636" spans="1:19" x14ac:dyDescent="0.25">
      <c r="A636" s="51">
        <v>46197</v>
      </c>
      <c r="B636" s="9" t="s">
        <v>27</v>
      </c>
      <c r="C636" s="12">
        <v>46198</v>
      </c>
      <c r="D636" s="9" t="s">
        <v>28</v>
      </c>
      <c r="E636" s="9" t="s">
        <v>32</v>
      </c>
      <c r="F636" s="13">
        <v>76900</v>
      </c>
      <c r="G636" s="39">
        <v>240</v>
      </c>
      <c r="H636" s="45">
        <v>250.19</v>
      </c>
      <c r="I636" s="45">
        <v>5.55</v>
      </c>
      <c r="J636" s="40">
        <f>IF(D636="Short",H636-I636,I636-H636)</f>
        <v>244.64</v>
      </c>
      <c r="K636" s="40">
        <f>J636*G636</f>
        <v>58713.599999999999</v>
      </c>
      <c r="L636" s="40">
        <f>IF(D636="Short",G636*H636,G636*I636)</f>
        <v>60045.599999999999</v>
      </c>
      <c r="M636" s="40">
        <f>IF(D636="Short",G636*I636,H636*G636)</f>
        <v>1332</v>
      </c>
      <c r="N636" s="40">
        <f>L636+M636</f>
        <v>61377.599999999999</v>
      </c>
      <c r="O636" s="40">
        <f>N636*0.000134</f>
        <v>8.2245983999999996</v>
      </c>
      <c r="P636" s="40">
        <f>K636-O636</f>
        <v>58705.375401600002</v>
      </c>
      <c r="Q636" s="14"/>
      <c r="R636" s="14"/>
      <c r="S636" s="14"/>
    </row>
    <row r="637" spans="1:19" x14ac:dyDescent="0.25">
      <c r="A637" s="51">
        <v>46197</v>
      </c>
      <c r="B637" s="9" t="s">
        <v>27</v>
      </c>
      <c r="C637" s="12">
        <v>46198</v>
      </c>
      <c r="D637" s="9" t="s">
        <v>28</v>
      </c>
      <c r="E637" s="9" t="s">
        <v>32</v>
      </c>
      <c r="F637" s="13">
        <v>77000</v>
      </c>
      <c r="G637" s="39">
        <v>120</v>
      </c>
      <c r="H637" s="45">
        <v>241.77</v>
      </c>
      <c r="I637" s="45">
        <v>10.85</v>
      </c>
      <c r="J637" s="40">
        <f>IF(D637="Short",H637-I637,I637-H637)</f>
        <v>230.92000000000002</v>
      </c>
      <c r="K637" s="40">
        <f>J637*G637</f>
        <v>27710.400000000001</v>
      </c>
      <c r="L637" s="40">
        <f>IF(D637="Short",G637*H637,G637*I637)</f>
        <v>29012.400000000001</v>
      </c>
      <c r="M637" s="40">
        <f>IF(D637="Short",G637*I637,H637*G637)</f>
        <v>1302</v>
      </c>
      <c r="N637" s="40">
        <f>L637+M637</f>
        <v>30314.400000000001</v>
      </c>
      <c r="O637" s="40">
        <f>N637*0.000134</f>
        <v>4.0621296000000005</v>
      </c>
      <c r="P637" s="40">
        <f>K637-O637</f>
        <v>27706.337870400002</v>
      </c>
      <c r="Q637" s="14"/>
      <c r="R637" s="14"/>
      <c r="S637" s="14"/>
    </row>
    <row r="638" spans="1:19" x14ac:dyDescent="0.25">
      <c r="A638" s="51">
        <v>46197</v>
      </c>
      <c r="B638" s="9" t="s">
        <v>27</v>
      </c>
      <c r="C638" s="12">
        <v>46198</v>
      </c>
      <c r="D638" s="9" t="s">
        <v>30</v>
      </c>
      <c r="E638" s="9" t="s">
        <v>29</v>
      </c>
      <c r="F638" s="13">
        <v>76900</v>
      </c>
      <c r="G638" s="39">
        <v>160</v>
      </c>
      <c r="H638" s="45">
        <v>308.68</v>
      </c>
      <c r="I638" s="45">
        <v>653.76</v>
      </c>
      <c r="J638" s="40">
        <f>IF(D638="Short",H638-I638,I638-H638)</f>
        <v>345.08</v>
      </c>
      <c r="K638" s="40">
        <f>J638*G638</f>
        <v>55212.799999999996</v>
      </c>
      <c r="L638" s="40">
        <f>IF(D638="Short",G638*H638,G638*I638)</f>
        <v>104601.60000000001</v>
      </c>
      <c r="M638" s="40">
        <f>IF(D638="Short",G638*I638,H638*G638)</f>
        <v>49388.800000000003</v>
      </c>
      <c r="N638" s="40">
        <f>L638+M638</f>
        <v>153990.40000000002</v>
      </c>
      <c r="O638" s="40">
        <f>N638*0.000134</f>
        <v>20.634713600000005</v>
      </c>
      <c r="P638" s="40">
        <f>K638-O638</f>
        <v>55192.165286399999</v>
      </c>
      <c r="Q638" s="14"/>
      <c r="R638" s="14"/>
      <c r="S638" s="14"/>
    </row>
    <row r="639" spans="1:19" x14ac:dyDescent="0.25">
      <c r="A639" s="51">
        <v>46197</v>
      </c>
      <c r="B639" s="9" t="s">
        <v>31</v>
      </c>
      <c r="C639" s="12">
        <v>46203</v>
      </c>
      <c r="D639" s="9" t="s">
        <v>30</v>
      </c>
      <c r="E639" s="9" t="s">
        <v>29</v>
      </c>
      <c r="F639" s="13">
        <v>24000</v>
      </c>
      <c r="G639" s="39">
        <v>325</v>
      </c>
      <c r="H639" s="45">
        <v>155.77000000000001</v>
      </c>
      <c r="I639" s="45">
        <v>212.82</v>
      </c>
      <c r="J639" s="40">
        <f>IF(D639="Short",H639-I639,I639-H639)</f>
        <v>57.049999999999983</v>
      </c>
      <c r="K639" s="40">
        <f>J639*G639</f>
        <v>18541.249999999993</v>
      </c>
      <c r="L639" s="40">
        <f>IF(D639="Short",G639*H639,G639*I639)</f>
        <v>69166.5</v>
      </c>
      <c r="M639" s="40">
        <f>IF(D639="Short",G639*I639,H639*G639)</f>
        <v>50625.25</v>
      </c>
      <c r="N639" s="40">
        <f>L639+M639</f>
        <v>119791.75</v>
      </c>
      <c r="O639" s="40">
        <f>N639*0.000134</f>
        <v>16.052094499999999</v>
      </c>
      <c r="P639" s="40">
        <f>K639-O639</f>
        <v>18525.197905499994</v>
      </c>
      <c r="Q639" s="14"/>
      <c r="R639" s="14"/>
      <c r="S639" s="14"/>
    </row>
    <row r="640" spans="1:19" x14ac:dyDescent="0.25">
      <c r="A640" s="51">
        <v>46197</v>
      </c>
      <c r="B640" s="9" t="s">
        <v>27</v>
      </c>
      <c r="C640" s="12">
        <v>46198</v>
      </c>
      <c r="D640" s="9" t="s">
        <v>30</v>
      </c>
      <c r="E640" s="9" t="s">
        <v>29</v>
      </c>
      <c r="F640" s="13">
        <v>76800</v>
      </c>
      <c r="G640" s="39">
        <v>320</v>
      </c>
      <c r="H640" s="45">
        <v>252.89</v>
      </c>
      <c r="I640" s="45">
        <v>718.2</v>
      </c>
      <c r="J640" s="40">
        <f>IF(D640="Short",H640-I640,I640-H640)</f>
        <v>465.31000000000006</v>
      </c>
      <c r="K640" s="40">
        <f>J640*G640</f>
        <v>148899.20000000001</v>
      </c>
      <c r="L640" s="40">
        <f>IF(D640="Short",G640*H640,G640*I640)</f>
        <v>229824</v>
      </c>
      <c r="M640" s="40">
        <f>IF(D640="Short",G640*I640,H640*G640)</f>
        <v>80924.799999999988</v>
      </c>
      <c r="N640" s="40">
        <f>L640+M640</f>
        <v>310748.79999999999</v>
      </c>
      <c r="O640" s="40">
        <f>N640*0.000134</f>
        <v>41.6403392</v>
      </c>
      <c r="P640" s="40">
        <f>K640-O640</f>
        <v>148857.55966080001</v>
      </c>
      <c r="Q640" s="14"/>
      <c r="R640" s="14"/>
      <c r="S640" s="14"/>
    </row>
    <row r="641" spans="1:19" x14ac:dyDescent="0.25">
      <c r="A641" s="51">
        <v>46197</v>
      </c>
      <c r="B641" s="9" t="s">
        <v>31</v>
      </c>
      <c r="C641" s="12">
        <v>46203</v>
      </c>
      <c r="D641" s="9" t="s">
        <v>28</v>
      </c>
      <c r="E641" s="9" t="s">
        <v>32</v>
      </c>
      <c r="F641" s="13">
        <v>24000</v>
      </c>
      <c r="G641" s="39">
        <v>910</v>
      </c>
      <c r="H641" s="45">
        <v>157.76</v>
      </c>
      <c r="I641" s="45">
        <v>62.11</v>
      </c>
      <c r="J641" s="40">
        <f>IF(D641="Short",H641-I641,I641-H641)</f>
        <v>95.649999999999991</v>
      </c>
      <c r="K641" s="40">
        <f>J641*G641</f>
        <v>87041.499999999985</v>
      </c>
      <c r="L641" s="40">
        <f>IF(D641="Short",G641*H641,G641*I641)</f>
        <v>143561.60000000001</v>
      </c>
      <c r="M641" s="40">
        <f>IF(D641="Short",G641*I641,H641*G641)</f>
        <v>56520.1</v>
      </c>
      <c r="N641" s="40">
        <f>L641+M641</f>
        <v>200081.7</v>
      </c>
      <c r="O641" s="40">
        <f>N641*0.000134</f>
        <v>26.810947800000001</v>
      </c>
      <c r="P641" s="40">
        <f>K641-O641</f>
        <v>87014.689052199989</v>
      </c>
      <c r="Q641" s="14"/>
      <c r="R641" s="14"/>
      <c r="S641" s="14"/>
    </row>
    <row r="642" spans="1:19" x14ac:dyDescent="0.25">
      <c r="A642" s="51">
        <v>46197</v>
      </c>
      <c r="B642" s="9" t="s">
        <v>27</v>
      </c>
      <c r="C642" s="12">
        <v>46198</v>
      </c>
      <c r="D642" s="9" t="s">
        <v>28</v>
      </c>
      <c r="E642" s="9" t="s">
        <v>32</v>
      </c>
      <c r="F642" s="13">
        <v>77100</v>
      </c>
      <c r="G642" s="39">
        <v>240</v>
      </c>
      <c r="H642" s="45">
        <v>248.28</v>
      </c>
      <c r="I642" s="45">
        <v>24.1</v>
      </c>
      <c r="J642" s="40">
        <f>IF(D642="Short",H642-I642,I642-H642)</f>
        <v>224.18</v>
      </c>
      <c r="K642" s="40">
        <f>J642*G642</f>
        <v>53803.200000000004</v>
      </c>
      <c r="L642" s="40">
        <f>IF(D642="Short",G642*H642,G642*I642)</f>
        <v>59587.199999999997</v>
      </c>
      <c r="M642" s="40">
        <f>IF(D642="Short",G642*I642,H642*G642)</f>
        <v>5784</v>
      </c>
      <c r="N642" s="40">
        <f>L642+M642</f>
        <v>65371.199999999997</v>
      </c>
      <c r="O642" s="40">
        <f>N642*0.000134</f>
        <v>8.7597407999999994</v>
      </c>
      <c r="P642" s="40">
        <f>K642-O642</f>
        <v>53794.440259200004</v>
      </c>
      <c r="Q642" s="14"/>
      <c r="R642" s="14"/>
      <c r="S642" s="14"/>
    </row>
    <row r="643" spans="1:19" x14ac:dyDescent="0.25">
      <c r="A643" s="51">
        <v>46197</v>
      </c>
      <c r="B643" s="9" t="s">
        <v>27</v>
      </c>
      <c r="C643" s="12">
        <v>46198</v>
      </c>
      <c r="D643" s="9" t="s">
        <v>28</v>
      </c>
      <c r="E643" s="9" t="s">
        <v>29</v>
      </c>
      <c r="F643" s="13">
        <v>78100</v>
      </c>
      <c r="G643" s="39">
        <v>100</v>
      </c>
      <c r="H643" s="45">
        <v>19.75</v>
      </c>
      <c r="I643" s="45">
        <v>10.8</v>
      </c>
      <c r="J643" s="40">
        <f>IF(D643="Short",H643-I643,I643-H643)</f>
        <v>8.9499999999999993</v>
      </c>
      <c r="K643" s="40">
        <f>J643*G643</f>
        <v>894.99999999999989</v>
      </c>
      <c r="L643" s="40">
        <f>IF(D643="Short",G643*H643,G643*I643)</f>
        <v>1975</v>
      </c>
      <c r="M643" s="40">
        <f>IF(D643="Short",G643*I643,H643*G643)</f>
        <v>1080</v>
      </c>
      <c r="N643" s="40">
        <f>L643+M643</f>
        <v>3055</v>
      </c>
      <c r="O643" s="40">
        <f>N643*0.000134</f>
        <v>0.40937000000000001</v>
      </c>
      <c r="P643" s="40">
        <f>K643-O643</f>
        <v>894.59062999999992</v>
      </c>
      <c r="Q643" s="14"/>
      <c r="R643" s="14"/>
      <c r="S643" s="14"/>
    </row>
    <row r="644" spans="1:19" x14ac:dyDescent="0.25">
      <c r="A644" s="51">
        <v>46197</v>
      </c>
      <c r="B644" s="9" t="s">
        <v>31</v>
      </c>
      <c r="C644" s="12">
        <v>46203</v>
      </c>
      <c r="D644" s="9" t="s">
        <v>28</v>
      </c>
      <c r="E644" s="9" t="s">
        <v>32</v>
      </c>
      <c r="F644" s="13">
        <v>23950</v>
      </c>
      <c r="G644" s="39">
        <v>910</v>
      </c>
      <c r="H644" s="45">
        <v>174.15</v>
      </c>
      <c r="I644" s="45">
        <v>46.47</v>
      </c>
      <c r="J644" s="40">
        <f>IF(D644="Short",H644-I644,I644-H644)</f>
        <v>127.68</v>
      </c>
      <c r="K644" s="40">
        <f>J644*G644</f>
        <v>116188.8</v>
      </c>
      <c r="L644" s="40">
        <f>IF(D644="Short",G644*H644,G644*I644)</f>
        <v>158476.5</v>
      </c>
      <c r="M644" s="40">
        <f>IF(D644="Short",G644*I644,H644*G644)</f>
        <v>42287.7</v>
      </c>
      <c r="N644" s="40">
        <f>L644+M644</f>
        <v>200764.2</v>
      </c>
      <c r="O644" s="40">
        <f>N644*0.000134</f>
        <v>26.902402800000001</v>
      </c>
      <c r="P644" s="40">
        <f>K644-O644</f>
        <v>116161.8975972</v>
      </c>
      <c r="Q644" s="14"/>
      <c r="R644" s="14"/>
      <c r="S644" s="14"/>
    </row>
    <row r="645" spans="1:19" x14ac:dyDescent="0.25">
      <c r="A645" s="51">
        <v>46197</v>
      </c>
      <c r="B645" s="9" t="s">
        <v>27</v>
      </c>
      <c r="C645" s="12">
        <v>46198</v>
      </c>
      <c r="D645" s="9" t="s">
        <v>30</v>
      </c>
      <c r="E645" s="9" t="s">
        <v>29</v>
      </c>
      <c r="F645" s="13">
        <v>76800</v>
      </c>
      <c r="G645" s="39">
        <v>20</v>
      </c>
      <c r="H645" s="45">
        <v>252.89</v>
      </c>
      <c r="I645" s="45">
        <v>308.14999999999998</v>
      </c>
      <c r="J645" s="40">
        <f>IF(D645="Short",H645-I645,I645-H645)</f>
        <v>55.259999999999991</v>
      </c>
      <c r="K645" s="40">
        <f>J645*G645</f>
        <v>1105.1999999999998</v>
      </c>
      <c r="L645" s="40">
        <f>IF(D645="Short",G645*H645,G645*I645)</f>
        <v>6163</v>
      </c>
      <c r="M645" s="40">
        <f>IF(D645="Short",G645*I645,H645*G645)</f>
        <v>5057.7999999999993</v>
      </c>
      <c r="N645" s="40">
        <f>L645+M645</f>
        <v>11220.8</v>
      </c>
      <c r="O645" s="40">
        <f>N645*0.000134</f>
        <v>1.5035871999999999</v>
      </c>
      <c r="P645" s="40">
        <f>K645-O645</f>
        <v>1103.6964127999997</v>
      </c>
      <c r="Q645" s="14"/>
      <c r="R645" s="14"/>
      <c r="S645" s="14"/>
    </row>
    <row r="646" spans="1:19" x14ac:dyDescent="0.25">
      <c r="A646" s="51">
        <v>46196</v>
      </c>
      <c r="B646" s="9" t="s">
        <v>27</v>
      </c>
      <c r="C646" s="12">
        <v>46198</v>
      </c>
      <c r="D646" s="9" t="s">
        <v>28</v>
      </c>
      <c r="E646" s="9" t="s">
        <v>32</v>
      </c>
      <c r="F646" s="13">
        <v>77200</v>
      </c>
      <c r="G646" s="39">
        <v>220</v>
      </c>
      <c r="H646" s="45">
        <v>308.73</v>
      </c>
      <c r="I646" s="45">
        <v>68.56</v>
      </c>
      <c r="J646" s="40">
        <f>IF(D646="Short",H646-I646,I646-H646)</f>
        <v>240.17000000000002</v>
      </c>
      <c r="K646" s="40">
        <f>J646*G646</f>
        <v>52837.4</v>
      </c>
      <c r="L646" s="40">
        <f>IF(D646="Short",G646*H646,G646*I646)</f>
        <v>67920.600000000006</v>
      </c>
      <c r="M646" s="40">
        <f>IF(D646="Short",G646*I646,H646*G646)</f>
        <v>15083.2</v>
      </c>
      <c r="N646" s="40">
        <f>L646+M646</f>
        <v>83003.8</v>
      </c>
      <c r="O646" s="40">
        <f>N646*0.000134</f>
        <v>11.122509200000001</v>
      </c>
      <c r="P646" s="40">
        <f>K646-O646</f>
        <v>52826.277490799999</v>
      </c>
      <c r="Q646" s="14"/>
      <c r="R646" s="14"/>
      <c r="S646" s="14"/>
    </row>
    <row r="647" spans="1:19" x14ac:dyDescent="0.25">
      <c r="A647" s="51">
        <v>46197</v>
      </c>
      <c r="B647" s="9" t="s">
        <v>31</v>
      </c>
      <c r="C647" s="12">
        <v>46203</v>
      </c>
      <c r="D647" s="9" t="s">
        <v>28</v>
      </c>
      <c r="E647" s="9" t="s">
        <v>32</v>
      </c>
      <c r="F647" s="13">
        <v>23900</v>
      </c>
      <c r="G647" s="39">
        <v>390</v>
      </c>
      <c r="H647" s="45">
        <v>141.22999999999999</v>
      </c>
      <c r="I647" s="45">
        <v>60.21</v>
      </c>
      <c r="J647" s="40">
        <f>IF(D647="Short",H647-I647,I647-H647)</f>
        <v>81.019999999999982</v>
      </c>
      <c r="K647" s="40">
        <f>J647*G647</f>
        <v>31597.799999999992</v>
      </c>
      <c r="L647" s="40">
        <f>IF(D647="Short",G647*H647,G647*I647)</f>
        <v>55079.7</v>
      </c>
      <c r="M647" s="40">
        <f>IF(D647="Short",G647*I647,H647*G647)</f>
        <v>23481.9</v>
      </c>
      <c r="N647" s="40">
        <f>L647+M647</f>
        <v>78561.600000000006</v>
      </c>
      <c r="O647" s="40">
        <f>N647*0.000134</f>
        <v>10.5272544</v>
      </c>
      <c r="P647" s="40">
        <f>K647-O647</f>
        <v>31587.272745599992</v>
      </c>
      <c r="Q647" s="14"/>
      <c r="R647" s="14"/>
      <c r="S647" s="14"/>
    </row>
    <row r="648" spans="1:19" x14ac:dyDescent="0.25">
      <c r="A648" s="51">
        <v>46197</v>
      </c>
      <c r="B648" s="9" t="s">
        <v>27</v>
      </c>
      <c r="C648" s="12">
        <v>46198</v>
      </c>
      <c r="D648" s="9" t="s">
        <v>28</v>
      </c>
      <c r="E648" s="9" t="s">
        <v>32</v>
      </c>
      <c r="F648" s="13">
        <v>77200</v>
      </c>
      <c r="G648" s="39">
        <v>20</v>
      </c>
      <c r="H648" s="45">
        <v>298.75</v>
      </c>
      <c r="I648" s="45">
        <v>68.56</v>
      </c>
      <c r="J648" s="40">
        <f>IF(D648="Short",H648-I648,I648-H648)</f>
        <v>230.19</v>
      </c>
      <c r="K648" s="40">
        <f>J648*G648</f>
        <v>4603.8</v>
      </c>
      <c r="L648" s="40">
        <f>IF(D648="Short",G648*H648,G648*I648)</f>
        <v>5975</v>
      </c>
      <c r="M648" s="40">
        <f>IF(D648="Short",G648*I648,H648*G648)</f>
        <v>1371.2</v>
      </c>
      <c r="N648" s="40">
        <f>L648+M648</f>
        <v>7346.2</v>
      </c>
      <c r="O648" s="40">
        <f>N648*0.000134</f>
        <v>0.98439080000000001</v>
      </c>
      <c r="P648" s="40">
        <f>K648-O648</f>
        <v>4602.8156091999999</v>
      </c>
      <c r="Q648" s="14"/>
      <c r="R648" s="14"/>
      <c r="S648" s="14"/>
    </row>
    <row r="649" spans="1:19" x14ac:dyDescent="0.25">
      <c r="A649" s="51">
        <v>46197</v>
      </c>
      <c r="B649" s="9" t="s">
        <v>27</v>
      </c>
      <c r="C649" s="12">
        <v>46198</v>
      </c>
      <c r="D649" s="9" t="s">
        <v>30</v>
      </c>
      <c r="E649" s="9" t="s">
        <v>29</v>
      </c>
      <c r="F649" s="13">
        <v>76600</v>
      </c>
      <c r="G649" s="39">
        <v>180</v>
      </c>
      <c r="H649" s="45">
        <v>263.98</v>
      </c>
      <c r="I649" s="45">
        <v>960.87</v>
      </c>
      <c r="J649" s="40">
        <f>IF(D649="Short",H649-I649,I649-H649)</f>
        <v>696.89</v>
      </c>
      <c r="K649" s="40">
        <f>J649*G649</f>
        <v>125440.2</v>
      </c>
      <c r="L649" s="40">
        <f>IF(D649="Short",G649*H649,G649*I649)</f>
        <v>172956.6</v>
      </c>
      <c r="M649" s="40">
        <f>IF(D649="Short",G649*I649,H649*G649)</f>
        <v>47516.4</v>
      </c>
      <c r="N649" s="40">
        <f>L649+M649</f>
        <v>220473</v>
      </c>
      <c r="O649" s="40">
        <f>N649*0.000134</f>
        <v>29.543382000000001</v>
      </c>
      <c r="P649" s="40">
        <f>K649-O649</f>
        <v>125410.65661799999</v>
      </c>
      <c r="Q649" s="14"/>
      <c r="R649" s="14"/>
      <c r="S649" s="14"/>
    </row>
    <row r="650" spans="1:19" x14ac:dyDescent="0.25">
      <c r="A650" s="51">
        <v>46197</v>
      </c>
      <c r="B650" s="9" t="s">
        <v>31</v>
      </c>
      <c r="C650" s="12">
        <v>46203</v>
      </c>
      <c r="D650" s="9" t="s">
        <v>28</v>
      </c>
      <c r="E650" s="9" t="s">
        <v>32</v>
      </c>
      <c r="F650" s="13">
        <v>23900</v>
      </c>
      <c r="G650" s="39">
        <v>65</v>
      </c>
      <c r="H650" s="45">
        <v>141.22999999999999</v>
      </c>
      <c r="I650" s="45">
        <v>167.34</v>
      </c>
      <c r="J650" s="40">
        <f>IF(D650="Short",H650-I650,I650-H650)</f>
        <v>-26.110000000000014</v>
      </c>
      <c r="K650" s="40">
        <f>J650*G650</f>
        <v>-1697.150000000001</v>
      </c>
      <c r="L650" s="40">
        <f>IF(D650="Short",G650*H650,G650*I650)</f>
        <v>9179.9499999999989</v>
      </c>
      <c r="M650" s="40">
        <f>IF(D650="Short",G650*I650,H650*G650)</f>
        <v>10877.1</v>
      </c>
      <c r="N650" s="40">
        <f>L650+M650</f>
        <v>20057.05</v>
      </c>
      <c r="O650" s="40">
        <f>N650*0.000134</f>
        <v>2.6876446999999999</v>
      </c>
      <c r="P650" s="40">
        <f>K650-O650</f>
        <v>-1699.837644700001</v>
      </c>
      <c r="Q650" s="14"/>
      <c r="R650" s="14"/>
      <c r="S650" s="14"/>
    </row>
    <row r="651" spans="1:19" x14ac:dyDescent="0.25">
      <c r="A651" s="51">
        <v>46198</v>
      </c>
      <c r="B651" s="9" t="s">
        <v>27</v>
      </c>
      <c r="C651" s="12">
        <v>46205</v>
      </c>
      <c r="D651" s="9" t="s">
        <v>28</v>
      </c>
      <c r="E651" s="9" t="s">
        <v>32</v>
      </c>
      <c r="F651" s="13">
        <v>77200</v>
      </c>
      <c r="G651" s="39">
        <v>120</v>
      </c>
      <c r="H651" s="45">
        <v>448.78</v>
      </c>
      <c r="I651" s="45">
        <v>400.12</v>
      </c>
      <c r="J651" s="40">
        <f>IF(D651="Short",H651-I651,I651-H651)</f>
        <v>48.659999999999968</v>
      </c>
      <c r="K651" s="40">
        <f>J651*G651</f>
        <v>5839.1999999999962</v>
      </c>
      <c r="L651" s="40">
        <f>IF(D651="Short",G651*H651,G651*I651)</f>
        <v>53853.599999999999</v>
      </c>
      <c r="M651" s="40">
        <f>IF(D651="Short",G651*I651,H651*G651)</f>
        <v>48014.400000000001</v>
      </c>
      <c r="N651" s="40">
        <f>L651+M651</f>
        <v>101868</v>
      </c>
      <c r="O651" s="40">
        <f>N651*0.000134</f>
        <v>13.650312000000001</v>
      </c>
      <c r="P651" s="40">
        <f>K651-O651</f>
        <v>5825.5496879999964</v>
      </c>
      <c r="Q651" s="14"/>
      <c r="R651" s="14"/>
      <c r="S651" s="14"/>
    </row>
    <row r="652" spans="1:19" x14ac:dyDescent="0.25">
      <c r="A652" s="51">
        <v>46198</v>
      </c>
      <c r="B652" s="9" t="s">
        <v>27</v>
      </c>
      <c r="C652" s="12">
        <v>46205</v>
      </c>
      <c r="D652" s="9" t="s">
        <v>28</v>
      </c>
      <c r="E652" s="9" t="s">
        <v>32</v>
      </c>
      <c r="F652" s="13">
        <v>75000</v>
      </c>
      <c r="G652" s="39">
        <v>700</v>
      </c>
      <c r="H652" s="45">
        <v>35.51</v>
      </c>
      <c r="I652" s="45">
        <v>33.22</v>
      </c>
      <c r="J652" s="40">
        <f>IF(D652="Short",H652-I652,I652-H652)</f>
        <v>2.2899999999999991</v>
      </c>
      <c r="K652" s="40">
        <f>J652*G652</f>
        <v>1602.9999999999993</v>
      </c>
      <c r="L652" s="40">
        <f>IF(D652="Short",G652*H652,G652*I652)</f>
        <v>24857</v>
      </c>
      <c r="M652" s="40">
        <f>IF(D652="Short",G652*I652,H652*G652)</f>
        <v>23254</v>
      </c>
      <c r="N652" s="40">
        <f>L652+M652</f>
        <v>48111</v>
      </c>
      <c r="O652" s="40">
        <f>N652*0.000134</f>
        <v>6.4468740000000002</v>
      </c>
      <c r="P652" s="40">
        <f>K652-O652</f>
        <v>1596.5531259999993</v>
      </c>
      <c r="Q652" s="14"/>
      <c r="R652" s="14"/>
      <c r="S652" s="14"/>
    </row>
    <row r="653" spans="1:19" x14ac:dyDescent="0.25">
      <c r="A653" s="51">
        <v>46198</v>
      </c>
      <c r="B653" s="9" t="s">
        <v>27</v>
      </c>
      <c r="C653" s="12">
        <v>46205</v>
      </c>
      <c r="D653" s="9" t="s">
        <v>30</v>
      </c>
      <c r="E653" s="9" t="s">
        <v>32</v>
      </c>
      <c r="F653" s="13">
        <v>75500</v>
      </c>
      <c r="G653" s="39">
        <v>420</v>
      </c>
      <c r="H653" s="45">
        <v>62.71</v>
      </c>
      <c r="I653" s="45">
        <v>15.1</v>
      </c>
      <c r="J653" s="40">
        <f>IF(D653="Short",H653-I653,I653-H653)</f>
        <v>-47.61</v>
      </c>
      <c r="K653" s="40">
        <f>J653*G653</f>
        <v>-19996.2</v>
      </c>
      <c r="L653" s="40">
        <f>IF(D653="Short",G653*H653,G653*I653)</f>
        <v>6342</v>
      </c>
      <c r="M653" s="40">
        <f>IF(D653="Short",G653*I653,H653*G653)</f>
        <v>26338.2</v>
      </c>
      <c r="N653" s="40">
        <f>L653+M653</f>
        <v>32680.2</v>
      </c>
      <c r="O653" s="40">
        <f>N653*0.000134</f>
        <v>4.3791468</v>
      </c>
      <c r="P653" s="40">
        <f>K653-O653</f>
        <v>-20000.579146800002</v>
      </c>
      <c r="Q653" s="14"/>
      <c r="R653" s="14"/>
      <c r="S653" s="14"/>
    </row>
    <row r="654" spans="1:19" x14ac:dyDescent="0.25">
      <c r="A654" s="51">
        <v>46198</v>
      </c>
      <c r="B654" s="9" t="s">
        <v>27</v>
      </c>
      <c r="C654" s="12">
        <v>46205</v>
      </c>
      <c r="D654" s="9" t="s">
        <v>30</v>
      </c>
      <c r="E654" s="9" t="s">
        <v>32</v>
      </c>
      <c r="F654" s="13">
        <v>75000</v>
      </c>
      <c r="G654" s="39">
        <v>160</v>
      </c>
      <c r="H654" s="45">
        <v>33.22</v>
      </c>
      <c r="I654" s="45">
        <v>26.3</v>
      </c>
      <c r="J654" s="40">
        <f>IF(D654="Short",H654-I654,I654-H654)</f>
        <v>-6.9199999999999982</v>
      </c>
      <c r="K654" s="40">
        <f>J654*G654</f>
        <v>-1107.1999999999998</v>
      </c>
      <c r="L654" s="40">
        <f>IF(D654="Short",G654*H654,G654*I654)</f>
        <v>4208</v>
      </c>
      <c r="M654" s="40">
        <f>IF(D654="Short",G654*I654,H654*G654)</f>
        <v>5315.2</v>
      </c>
      <c r="N654" s="40">
        <f>L654+M654</f>
        <v>9523.2000000000007</v>
      </c>
      <c r="O654" s="40">
        <f>N654*0.000134</f>
        <v>1.2761088</v>
      </c>
      <c r="P654" s="40">
        <f>K654-O654</f>
        <v>-1108.4761087999998</v>
      </c>
      <c r="Q654" s="14"/>
      <c r="R654" s="14"/>
      <c r="S654" s="14"/>
    </row>
    <row r="655" spans="1:19" x14ac:dyDescent="0.25">
      <c r="A655" s="51">
        <v>46198</v>
      </c>
      <c r="B655" s="9" t="s">
        <v>27</v>
      </c>
      <c r="C655" s="12">
        <v>46205</v>
      </c>
      <c r="D655" s="9" t="s">
        <v>28</v>
      </c>
      <c r="E655" s="9" t="s">
        <v>32</v>
      </c>
      <c r="F655" s="13">
        <v>77300</v>
      </c>
      <c r="G655" s="39">
        <v>120</v>
      </c>
      <c r="H655" s="45">
        <v>493.17</v>
      </c>
      <c r="I655" s="45">
        <v>862.23</v>
      </c>
      <c r="J655" s="40">
        <f>IF(D655="Short",H655-I655,I655-H655)</f>
        <v>-369.06</v>
      </c>
      <c r="K655" s="40">
        <f>J655*G655</f>
        <v>-44287.199999999997</v>
      </c>
      <c r="L655" s="40">
        <f>IF(D655="Short",G655*H655,G655*I655)</f>
        <v>59180.4</v>
      </c>
      <c r="M655" s="40">
        <f>IF(D655="Short",G655*I655,H655*G655)</f>
        <v>103467.6</v>
      </c>
      <c r="N655" s="40">
        <f>L655+M655</f>
        <v>162648</v>
      </c>
      <c r="O655" s="40">
        <f>N655*0.000134</f>
        <v>21.794832</v>
      </c>
      <c r="P655" s="40">
        <f>K655-O655</f>
        <v>-44308.994831999997</v>
      </c>
      <c r="Q655" s="14"/>
      <c r="R655" s="14"/>
      <c r="S655" s="14"/>
    </row>
    <row r="656" spans="1:19" x14ac:dyDescent="0.25">
      <c r="A656" s="51">
        <v>46198</v>
      </c>
      <c r="B656" s="9" t="s">
        <v>27</v>
      </c>
      <c r="C656" s="12">
        <v>46198</v>
      </c>
      <c r="D656" s="9" t="s">
        <v>28</v>
      </c>
      <c r="E656" s="9" t="s">
        <v>29</v>
      </c>
      <c r="F656" s="13">
        <v>77800</v>
      </c>
      <c r="G656" s="39">
        <v>1160</v>
      </c>
      <c r="H656" s="45">
        <v>28.2</v>
      </c>
      <c r="I656" s="45">
        <v>121.56</v>
      </c>
      <c r="J656" s="40">
        <f>IF(D656="Short",H656-I656,I656-H656)</f>
        <v>-93.36</v>
      </c>
      <c r="K656" s="40">
        <f>J656*G656</f>
        <v>-108297.60000000001</v>
      </c>
      <c r="L656" s="40">
        <f>IF(D656="Short",G656*H656,G656*I656)</f>
        <v>32712</v>
      </c>
      <c r="M656" s="40">
        <f>IF(D656="Short",G656*I656,H656*G656)</f>
        <v>141009.60000000001</v>
      </c>
      <c r="N656" s="40">
        <f>L656+M656</f>
        <v>173721.60000000001</v>
      </c>
      <c r="O656" s="40">
        <f>N656*0.000134</f>
        <v>23.278694400000003</v>
      </c>
      <c r="P656" s="40">
        <f>K656-O656</f>
        <v>-108320.8786944</v>
      </c>
      <c r="Q656" s="14"/>
      <c r="R656" s="14"/>
      <c r="S656" s="14"/>
    </row>
    <row r="657" spans="1:19" x14ac:dyDescent="0.25">
      <c r="A657" s="51">
        <v>46198</v>
      </c>
      <c r="B657" s="9" t="s">
        <v>27</v>
      </c>
      <c r="C657" s="12">
        <v>46198</v>
      </c>
      <c r="D657" s="9" t="s">
        <v>28</v>
      </c>
      <c r="E657" s="9" t="s">
        <v>32</v>
      </c>
      <c r="F657" s="13">
        <v>76600</v>
      </c>
      <c r="G657" s="39">
        <v>500</v>
      </c>
      <c r="H657" s="45">
        <v>2.35</v>
      </c>
      <c r="I657" s="45">
        <v>11.74</v>
      </c>
      <c r="J657" s="40">
        <f>IF(D657="Short",H657-I657,I657-H657)</f>
        <v>-9.39</v>
      </c>
      <c r="K657" s="40">
        <f>J657*G657</f>
        <v>-4695</v>
      </c>
      <c r="L657" s="40">
        <f>IF(D657="Short",G657*H657,G657*I657)</f>
        <v>1175</v>
      </c>
      <c r="M657" s="40">
        <f>IF(D657="Short",G657*I657,H657*G657)</f>
        <v>5870</v>
      </c>
      <c r="N657" s="40">
        <f>L657+M657</f>
        <v>7045</v>
      </c>
      <c r="O657" s="40">
        <f>N657*0.000134</f>
        <v>0.94403000000000004</v>
      </c>
      <c r="P657" s="40">
        <f>K657-O657</f>
        <v>-4695.9440299999997</v>
      </c>
      <c r="Q657" s="14"/>
      <c r="R657" s="14"/>
      <c r="S657" s="14"/>
    </row>
    <row r="658" spans="1:19" x14ac:dyDescent="0.25">
      <c r="A658" s="51">
        <v>46198</v>
      </c>
      <c r="B658" s="9" t="s">
        <v>27</v>
      </c>
      <c r="C658" s="12">
        <v>46198</v>
      </c>
      <c r="D658" s="9" t="s">
        <v>30</v>
      </c>
      <c r="E658" s="9" t="s">
        <v>32</v>
      </c>
      <c r="F658" s="13">
        <v>77400</v>
      </c>
      <c r="G658" s="39">
        <v>240</v>
      </c>
      <c r="H658" s="45">
        <v>255.47</v>
      </c>
      <c r="I658" s="45">
        <v>100.35</v>
      </c>
      <c r="J658" s="40">
        <f>IF(D658="Short",H658-I658,I658-H658)</f>
        <v>-155.12</v>
      </c>
      <c r="K658" s="40">
        <f>J658*G658</f>
        <v>-37228.800000000003</v>
      </c>
      <c r="L658" s="40">
        <f>IF(D658="Short",G658*H658,G658*I658)</f>
        <v>24084</v>
      </c>
      <c r="M658" s="40">
        <f>IF(D658="Short",G658*I658,H658*G658)</f>
        <v>61312.800000000003</v>
      </c>
      <c r="N658" s="40">
        <f>L658+M658</f>
        <v>85396.800000000003</v>
      </c>
      <c r="O658" s="40">
        <f>N658*0.000134</f>
        <v>11.4431712</v>
      </c>
      <c r="P658" s="40">
        <f>K658-O658</f>
        <v>-37240.243171200003</v>
      </c>
      <c r="Q658" s="14"/>
      <c r="R658" s="14"/>
      <c r="S658" s="14"/>
    </row>
    <row r="659" spans="1:19" x14ac:dyDescent="0.25">
      <c r="A659" s="51">
        <v>46198</v>
      </c>
      <c r="B659" s="9" t="s">
        <v>27</v>
      </c>
      <c r="C659" s="12">
        <v>46205</v>
      </c>
      <c r="D659" s="9" t="s">
        <v>28</v>
      </c>
      <c r="E659" s="9" t="s">
        <v>29</v>
      </c>
      <c r="F659" s="13">
        <v>77800</v>
      </c>
      <c r="G659" s="39">
        <v>120</v>
      </c>
      <c r="H659" s="45">
        <v>275.39999999999998</v>
      </c>
      <c r="I659" s="45">
        <v>562.62</v>
      </c>
      <c r="J659" s="40">
        <f>IF(D659="Short",H659-I659,I659-H659)</f>
        <v>-287.22000000000003</v>
      </c>
      <c r="K659" s="40">
        <f>J659*G659</f>
        <v>-34466.400000000001</v>
      </c>
      <c r="L659" s="40">
        <f>IF(D659="Short",G659*H659,G659*I659)</f>
        <v>33048</v>
      </c>
      <c r="M659" s="40">
        <f>IF(D659="Short",G659*I659,H659*G659)</f>
        <v>67514.399999999994</v>
      </c>
      <c r="N659" s="40">
        <f>L659+M659</f>
        <v>100562.4</v>
      </c>
      <c r="O659" s="40">
        <f>N659*0.000134</f>
        <v>13.475361599999999</v>
      </c>
      <c r="P659" s="40">
        <f>K659-O659</f>
        <v>-34479.875361600003</v>
      </c>
      <c r="Q659" s="14"/>
      <c r="R659" s="14"/>
      <c r="S659" s="14"/>
    </row>
    <row r="660" spans="1:19" x14ac:dyDescent="0.25">
      <c r="A660" s="51">
        <v>46198</v>
      </c>
      <c r="B660" s="9" t="s">
        <v>31</v>
      </c>
      <c r="C660" s="12">
        <v>46203</v>
      </c>
      <c r="D660" s="9" t="s">
        <v>28</v>
      </c>
      <c r="E660" s="9" t="s">
        <v>32</v>
      </c>
      <c r="F660" s="13">
        <v>23800</v>
      </c>
      <c r="G660" s="39">
        <v>3380</v>
      </c>
      <c r="H660" s="45">
        <v>21.93</v>
      </c>
      <c r="I660" s="45">
        <v>21.68</v>
      </c>
      <c r="J660" s="40">
        <f>IF(D660="Short",H660-I660,I660-H660)</f>
        <v>0.25</v>
      </c>
      <c r="K660" s="40">
        <f>J660*G660</f>
        <v>845</v>
      </c>
      <c r="L660" s="40">
        <f>IF(D660="Short",G660*H660,G660*I660)</f>
        <v>74123.399999999994</v>
      </c>
      <c r="M660" s="40">
        <f>IF(D660="Short",G660*I660,H660*G660)</f>
        <v>73278.399999999994</v>
      </c>
      <c r="N660" s="40">
        <f>L660+M660</f>
        <v>147401.79999999999</v>
      </c>
      <c r="O660" s="40">
        <f>N660*0.000134</f>
        <v>19.751841199999998</v>
      </c>
      <c r="P660" s="40">
        <f>K660-O660</f>
        <v>825.24815880000006</v>
      </c>
      <c r="Q660" s="14"/>
      <c r="R660" s="14"/>
      <c r="S660" s="14"/>
    </row>
    <row r="661" spans="1:19" x14ac:dyDescent="0.25">
      <c r="A661" s="51">
        <v>46198</v>
      </c>
      <c r="B661" s="9" t="s">
        <v>31</v>
      </c>
      <c r="C661" s="12">
        <v>46203</v>
      </c>
      <c r="D661" s="9" t="s">
        <v>28</v>
      </c>
      <c r="E661" s="9" t="s">
        <v>32</v>
      </c>
      <c r="F661" s="13">
        <v>23950</v>
      </c>
      <c r="G661" s="39">
        <v>65</v>
      </c>
      <c r="H661" s="45">
        <v>47.5</v>
      </c>
      <c r="I661" s="45">
        <v>46.47</v>
      </c>
      <c r="J661" s="40">
        <f>IF(D661="Short",H661-I661,I661-H661)</f>
        <v>1.0300000000000011</v>
      </c>
      <c r="K661" s="40">
        <f>J661*G661</f>
        <v>66.950000000000074</v>
      </c>
      <c r="L661" s="40">
        <f>IF(D661="Short",G661*H661,G661*I661)</f>
        <v>3087.5</v>
      </c>
      <c r="M661" s="40">
        <f>IF(D661="Short",G661*I661,H661*G661)</f>
        <v>3020.5499999999997</v>
      </c>
      <c r="N661" s="40">
        <f>L661+M661</f>
        <v>6108.0499999999993</v>
      </c>
      <c r="O661" s="40">
        <f>N661*0.000134</f>
        <v>0.81847869999999989</v>
      </c>
      <c r="P661" s="40">
        <f>K661-O661</f>
        <v>66.131521300000074</v>
      </c>
      <c r="Q661" s="14"/>
      <c r="R661" s="14"/>
      <c r="S661" s="14"/>
    </row>
    <row r="662" spans="1:19" x14ac:dyDescent="0.25">
      <c r="A662" s="51">
        <v>46198</v>
      </c>
      <c r="B662" s="9" t="s">
        <v>31</v>
      </c>
      <c r="C662" s="12">
        <v>46203</v>
      </c>
      <c r="D662" s="9" t="s">
        <v>28</v>
      </c>
      <c r="E662" s="9" t="s">
        <v>32</v>
      </c>
      <c r="F662" s="13">
        <v>23900</v>
      </c>
      <c r="G662" s="39">
        <v>1885</v>
      </c>
      <c r="H662" s="45">
        <v>141.22999999999999</v>
      </c>
      <c r="I662" s="45">
        <v>33.130000000000003</v>
      </c>
      <c r="J662" s="40">
        <f>IF(D662="Short",H662-I662,I662-H662)</f>
        <v>108.1</v>
      </c>
      <c r="K662" s="40">
        <f>J662*G662</f>
        <v>203768.5</v>
      </c>
      <c r="L662" s="40">
        <f>IF(D662="Short",G662*H662,G662*I662)</f>
        <v>266218.55</v>
      </c>
      <c r="M662" s="40">
        <f>IF(D662="Short",G662*I662,H662*G662)</f>
        <v>62450.05</v>
      </c>
      <c r="N662" s="40">
        <f>L662+M662</f>
        <v>328668.59999999998</v>
      </c>
      <c r="O662" s="40">
        <f>N662*0.000134</f>
        <v>44.041592399999999</v>
      </c>
      <c r="P662" s="40">
        <f>K662-O662</f>
        <v>203724.4584076</v>
      </c>
      <c r="Q662" s="14"/>
      <c r="R662" s="14"/>
      <c r="S662" s="14"/>
    </row>
    <row r="663" spans="1:19" x14ac:dyDescent="0.25">
      <c r="A663" s="51">
        <v>46198</v>
      </c>
      <c r="B663" s="9" t="s">
        <v>31</v>
      </c>
      <c r="C663" s="12">
        <v>46203</v>
      </c>
      <c r="D663" s="9" t="s">
        <v>28</v>
      </c>
      <c r="E663" s="9" t="s">
        <v>29</v>
      </c>
      <c r="F663" s="13">
        <v>24250</v>
      </c>
      <c r="G663" s="39">
        <v>1040</v>
      </c>
      <c r="H663" s="45">
        <v>60.05</v>
      </c>
      <c r="I663" s="45">
        <v>121.59</v>
      </c>
      <c r="J663" s="40">
        <f>IF(D663="Short",H663-I663,I663-H663)</f>
        <v>-61.540000000000006</v>
      </c>
      <c r="K663" s="40">
        <f>J663*G663</f>
        <v>-64001.600000000006</v>
      </c>
      <c r="L663" s="40">
        <f>IF(D663="Short",G663*H663,G663*I663)</f>
        <v>62452</v>
      </c>
      <c r="M663" s="40">
        <f>IF(D663="Short",G663*I663,H663*G663)</f>
        <v>126453.6</v>
      </c>
      <c r="N663" s="40">
        <f>L663+M663</f>
        <v>188905.60000000001</v>
      </c>
      <c r="O663" s="40">
        <f>N663*0.000134</f>
        <v>25.313350400000001</v>
      </c>
      <c r="P663" s="40">
        <f>K663-O663</f>
        <v>-64026.913350400006</v>
      </c>
      <c r="Q663" s="14"/>
      <c r="R663" s="14"/>
      <c r="S663" s="14"/>
    </row>
    <row r="664" spans="1:19" x14ac:dyDescent="0.25">
      <c r="A664" s="51">
        <v>46198</v>
      </c>
      <c r="B664" s="9" t="s">
        <v>31</v>
      </c>
      <c r="C664" s="12">
        <v>46203</v>
      </c>
      <c r="D664" s="9" t="s">
        <v>30</v>
      </c>
      <c r="E664" s="9" t="s">
        <v>32</v>
      </c>
      <c r="F664" s="13">
        <v>24150</v>
      </c>
      <c r="G664" s="39">
        <v>1235</v>
      </c>
      <c r="H664" s="45">
        <v>92.73</v>
      </c>
      <c r="I664" s="45">
        <v>96.22</v>
      </c>
      <c r="J664" s="40">
        <f>IF(D664="Short",H664-I664,I664-H664)</f>
        <v>3.4899999999999949</v>
      </c>
      <c r="K664" s="40">
        <f>J664*G664</f>
        <v>4310.1499999999933</v>
      </c>
      <c r="L664" s="40">
        <f>IF(D664="Short",G664*H664,G664*I664)</f>
        <v>118831.7</v>
      </c>
      <c r="M664" s="40">
        <f>IF(D664="Short",G664*I664,H664*G664)</f>
        <v>114521.55</v>
      </c>
      <c r="N664" s="40">
        <f>L664+M664</f>
        <v>233353.25</v>
      </c>
      <c r="O664" s="40">
        <f>N664*0.000134</f>
        <v>31.2693355</v>
      </c>
      <c r="P664" s="40">
        <f>K664-O664</f>
        <v>4278.8806644999931</v>
      </c>
      <c r="Q664" s="14"/>
      <c r="R664" s="14"/>
      <c r="S664" s="14"/>
    </row>
    <row r="665" spans="1:19" x14ac:dyDescent="0.25">
      <c r="A665" s="51">
        <v>46198</v>
      </c>
      <c r="B665" s="9" t="s">
        <v>27</v>
      </c>
      <c r="C665" s="12">
        <v>46205</v>
      </c>
      <c r="D665" s="9" t="s">
        <v>30</v>
      </c>
      <c r="E665" s="9" t="s">
        <v>29</v>
      </c>
      <c r="F665" s="13">
        <v>77800</v>
      </c>
      <c r="G665" s="39">
        <v>120</v>
      </c>
      <c r="H665" s="45">
        <v>562.62</v>
      </c>
      <c r="I665" s="45">
        <v>228.01</v>
      </c>
      <c r="J665" s="40">
        <f>IF(D665="Short",H665-I665,I665-H665)</f>
        <v>-334.61</v>
      </c>
      <c r="K665" s="40">
        <f>J665*G665</f>
        <v>-40153.200000000004</v>
      </c>
      <c r="L665" s="40">
        <f>IF(D665="Short",G665*H665,G665*I665)</f>
        <v>27361.199999999997</v>
      </c>
      <c r="M665" s="40">
        <f>IF(D665="Short",G665*I665,H665*G665)</f>
        <v>67514.399999999994</v>
      </c>
      <c r="N665" s="40">
        <f>L665+M665</f>
        <v>94875.599999999991</v>
      </c>
      <c r="O665" s="40">
        <f>N665*0.000134</f>
        <v>12.713330399999998</v>
      </c>
      <c r="P665" s="40">
        <f>K665-O665</f>
        <v>-40165.913330400006</v>
      </c>
      <c r="Q665" s="14"/>
      <c r="R665" s="14"/>
      <c r="S665" s="14"/>
    </row>
    <row r="666" spans="1:19" x14ac:dyDescent="0.25">
      <c r="A666" s="51">
        <v>46198</v>
      </c>
      <c r="B666" s="9" t="s">
        <v>31</v>
      </c>
      <c r="C666" s="12">
        <v>46203</v>
      </c>
      <c r="D666" s="9" t="s">
        <v>30</v>
      </c>
      <c r="E666" s="9" t="s">
        <v>29</v>
      </c>
      <c r="F666" s="13">
        <v>24250</v>
      </c>
      <c r="G666" s="39">
        <v>1170</v>
      </c>
      <c r="H666" s="45">
        <v>121.59</v>
      </c>
      <c r="I666" s="45">
        <v>31.55</v>
      </c>
      <c r="J666" s="40">
        <f>IF(D666="Short",H666-I666,I666-H666)</f>
        <v>-90.04</v>
      </c>
      <c r="K666" s="40">
        <f>J666*G666</f>
        <v>-105346.8</v>
      </c>
      <c r="L666" s="40">
        <f>IF(D666="Short",G666*H666,G666*I666)</f>
        <v>36913.5</v>
      </c>
      <c r="M666" s="40">
        <f>IF(D666="Short",G666*I666,H666*G666)</f>
        <v>142260.30000000002</v>
      </c>
      <c r="N666" s="40">
        <f>L666+M666</f>
        <v>179173.80000000002</v>
      </c>
      <c r="O666" s="40">
        <f>N666*0.000134</f>
        <v>24.009289200000005</v>
      </c>
      <c r="P666" s="40">
        <f>K666-O666</f>
        <v>-105370.8092892</v>
      </c>
      <c r="Q666" s="14"/>
      <c r="R666" s="14"/>
      <c r="S666" s="14"/>
    </row>
    <row r="667" spans="1:19" x14ac:dyDescent="0.25">
      <c r="A667" s="51">
        <v>46198</v>
      </c>
      <c r="B667" s="9" t="s">
        <v>31</v>
      </c>
      <c r="C667" s="12">
        <v>46203</v>
      </c>
      <c r="D667" s="9" t="s">
        <v>30</v>
      </c>
      <c r="E667" s="9" t="s">
        <v>32</v>
      </c>
      <c r="F667" s="13">
        <v>23800</v>
      </c>
      <c r="G667" s="39">
        <v>3120</v>
      </c>
      <c r="H667" s="45">
        <v>21.68</v>
      </c>
      <c r="I667" s="45">
        <v>20.85</v>
      </c>
      <c r="J667" s="40">
        <f>IF(D667="Short",H667-I667,I667-H667)</f>
        <v>-0.82999999999999829</v>
      </c>
      <c r="K667" s="40">
        <f>J667*G667</f>
        <v>-2589.5999999999949</v>
      </c>
      <c r="L667" s="40">
        <f>IF(D667="Short",G667*H667,G667*I667)</f>
        <v>65052.000000000007</v>
      </c>
      <c r="M667" s="40">
        <f>IF(D667="Short",G667*I667,H667*G667)</f>
        <v>67641.600000000006</v>
      </c>
      <c r="N667" s="40">
        <f>L667+M667</f>
        <v>132693.6</v>
      </c>
      <c r="O667" s="40">
        <f>N667*0.000134</f>
        <v>17.780942400000001</v>
      </c>
      <c r="P667" s="40">
        <f>K667-O667</f>
        <v>-2607.3809423999951</v>
      </c>
      <c r="Q667" s="14"/>
      <c r="R667" s="14"/>
      <c r="S667" s="14"/>
    </row>
    <row r="668" spans="1:19" x14ac:dyDescent="0.25">
      <c r="A668" s="51">
        <v>46202</v>
      </c>
      <c r="B668" s="9" t="s">
        <v>31</v>
      </c>
      <c r="C668" s="12">
        <v>46203</v>
      </c>
      <c r="D668" s="9" t="s">
        <v>28</v>
      </c>
      <c r="E668" s="9" t="s">
        <v>32</v>
      </c>
      <c r="F668" s="13">
        <v>23800</v>
      </c>
      <c r="G668" s="39">
        <v>1040</v>
      </c>
      <c r="H668" s="45">
        <v>20.85</v>
      </c>
      <c r="I668" s="45">
        <v>15.83</v>
      </c>
      <c r="J668" s="40">
        <f>IF(D668="Short",H668-I668,I668-H668)</f>
        <v>5.0200000000000014</v>
      </c>
      <c r="K668" s="40">
        <f>J668*G668</f>
        <v>5220.8000000000011</v>
      </c>
      <c r="L668" s="40">
        <f>IF(D668="Short",G668*H668,G668*I668)</f>
        <v>21684</v>
      </c>
      <c r="M668" s="40">
        <f>IF(D668="Short",G668*I668,H668*G668)</f>
        <v>16463.2</v>
      </c>
      <c r="N668" s="40">
        <f>L668+M668</f>
        <v>38147.199999999997</v>
      </c>
      <c r="O668" s="40">
        <f>N668*0.000134</f>
        <v>5.1117248000000002</v>
      </c>
      <c r="P668" s="40">
        <f>K668-O668</f>
        <v>5215.688275200001</v>
      </c>
      <c r="Q668" s="14"/>
      <c r="R668" s="14"/>
      <c r="S668" s="14"/>
    </row>
    <row r="669" spans="1:19" x14ac:dyDescent="0.25">
      <c r="A669" s="51">
        <v>46202</v>
      </c>
      <c r="B669" s="9" t="s">
        <v>31</v>
      </c>
      <c r="C669" s="12">
        <v>46203</v>
      </c>
      <c r="D669" s="9" t="s">
        <v>30</v>
      </c>
      <c r="E669" s="9" t="s">
        <v>32</v>
      </c>
      <c r="F669" s="13">
        <v>24150</v>
      </c>
      <c r="G669" s="39">
        <v>780</v>
      </c>
      <c r="H669" s="45">
        <v>207.62</v>
      </c>
      <c r="I669" s="45">
        <v>122.62</v>
      </c>
      <c r="J669" s="40">
        <f>IF(D669="Short",H669-I669,I669-H669)</f>
        <v>-85</v>
      </c>
      <c r="K669" s="40">
        <f>J669*G669</f>
        <v>-66300</v>
      </c>
      <c r="L669" s="40">
        <f>IF(D669="Short",G669*H669,G669*I669)</f>
        <v>95643.6</v>
      </c>
      <c r="M669" s="40">
        <f>IF(D669="Short",G669*I669,H669*G669)</f>
        <v>161943.6</v>
      </c>
      <c r="N669" s="40">
        <f>L669+M669</f>
        <v>257587.20000000001</v>
      </c>
      <c r="O669" s="40">
        <f>N669*0.000134</f>
        <v>34.5166848</v>
      </c>
      <c r="P669" s="40">
        <f>K669-O669</f>
        <v>-66334.516684799994</v>
      </c>
      <c r="Q669" s="14"/>
      <c r="R669" s="14"/>
      <c r="S669" s="14"/>
    </row>
    <row r="670" spans="1:19" x14ac:dyDescent="0.25">
      <c r="A670" s="51">
        <v>46202</v>
      </c>
      <c r="B670" s="9" t="s">
        <v>27</v>
      </c>
      <c r="C670" s="12">
        <v>46205</v>
      </c>
      <c r="D670" s="9" t="s">
        <v>28</v>
      </c>
      <c r="E670" s="9" t="s">
        <v>32</v>
      </c>
      <c r="F670" s="13">
        <v>77200</v>
      </c>
      <c r="G670" s="39">
        <v>480</v>
      </c>
      <c r="H670" s="45">
        <v>448.78</v>
      </c>
      <c r="I670" s="45">
        <v>649.75</v>
      </c>
      <c r="J670" s="40">
        <f>IF(D670="Short",H670-I670,I670-H670)</f>
        <v>-200.97000000000003</v>
      </c>
      <c r="K670" s="40">
        <f>J670*G670</f>
        <v>-96465.600000000006</v>
      </c>
      <c r="L670" s="40">
        <f>IF(D670="Short",G670*H670,G670*I670)</f>
        <v>215414.39999999999</v>
      </c>
      <c r="M670" s="40">
        <f>IF(D670="Short",G670*I670,H670*G670)</f>
        <v>311880</v>
      </c>
      <c r="N670" s="40">
        <f>L670+M670</f>
        <v>527294.4</v>
      </c>
      <c r="O670" s="40">
        <f>N670*0.000134</f>
        <v>70.657449600000007</v>
      </c>
      <c r="P670" s="40">
        <f>K670-O670</f>
        <v>-96536.257449600002</v>
      </c>
      <c r="Q670" s="14"/>
      <c r="R670" s="14"/>
      <c r="S670" s="14"/>
    </row>
    <row r="671" spans="1:19" x14ac:dyDescent="0.25">
      <c r="A671" s="51">
        <v>46202</v>
      </c>
      <c r="B671" s="9" t="s">
        <v>27</v>
      </c>
      <c r="C671" s="12">
        <v>46205</v>
      </c>
      <c r="D671" s="9" t="s">
        <v>28</v>
      </c>
      <c r="E671" s="9" t="s">
        <v>32</v>
      </c>
      <c r="F671" s="13">
        <v>77300</v>
      </c>
      <c r="G671" s="39">
        <v>120</v>
      </c>
      <c r="H671" s="45">
        <v>493.17</v>
      </c>
      <c r="I671" s="45">
        <v>845.72</v>
      </c>
      <c r="J671" s="40">
        <f>IF(D671="Short",H671-I671,I671-H671)</f>
        <v>-352.55</v>
      </c>
      <c r="K671" s="40">
        <f>J671*G671</f>
        <v>-42306</v>
      </c>
      <c r="L671" s="40">
        <f>IF(D671="Short",G671*H671,G671*I671)</f>
        <v>59180.4</v>
      </c>
      <c r="M671" s="40">
        <f>IF(D671="Short",G671*I671,H671*G671)</f>
        <v>101486.40000000001</v>
      </c>
      <c r="N671" s="40">
        <f>L671+M671</f>
        <v>160666.80000000002</v>
      </c>
      <c r="O671" s="40">
        <f>N671*0.000134</f>
        <v>21.529351200000004</v>
      </c>
      <c r="P671" s="40">
        <f>K671-O671</f>
        <v>-42327.529351199999</v>
      </c>
      <c r="Q671" s="14"/>
      <c r="R671" s="14"/>
      <c r="S671" s="14"/>
    </row>
    <row r="672" spans="1:19" x14ac:dyDescent="0.25">
      <c r="A672" s="51">
        <v>46202</v>
      </c>
      <c r="B672" s="9" t="s">
        <v>31</v>
      </c>
      <c r="C672" s="12">
        <v>46203</v>
      </c>
      <c r="D672" s="9" t="s">
        <v>28</v>
      </c>
      <c r="E672" s="9" t="s">
        <v>32</v>
      </c>
      <c r="F672" s="13">
        <v>24150</v>
      </c>
      <c r="G672" s="39">
        <v>390</v>
      </c>
      <c r="H672" s="45">
        <v>122.62</v>
      </c>
      <c r="I672" s="45">
        <v>249.35</v>
      </c>
      <c r="J672" s="40">
        <f>IF(D672="Short",H672-I672,I672-H672)</f>
        <v>-126.72999999999999</v>
      </c>
      <c r="K672" s="40">
        <f>J672*G672</f>
        <v>-49424.7</v>
      </c>
      <c r="L672" s="40">
        <f>IF(D672="Short",G672*H672,G672*I672)</f>
        <v>47821.8</v>
      </c>
      <c r="M672" s="40">
        <f>IF(D672="Short",G672*I672,H672*G672)</f>
        <v>97246.5</v>
      </c>
      <c r="N672" s="40">
        <f>L672+M672</f>
        <v>145068.29999999999</v>
      </c>
      <c r="O672" s="40">
        <f>N672*0.000134</f>
        <v>19.439152199999999</v>
      </c>
      <c r="P672" s="40">
        <f>K672-O672</f>
        <v>-49444.139152199998</v>
      </c>
      <c r="Q672" s="14"/>
      <c r="R672" s="14"/>
      <c r="S672" s="14"/>
    </row>
    <row r="673" spans="1:19" x14ac:dyDescent="0.25">
      <c r="A673" s="51">
        <v>46202</v>
      </c>
      <c r="B673" s="9" t="s">
        <v>31</v>
      </c>
      <c r="C673" s="12">
        <v>46203</v>
      </c>
      <c r="D673" s="9" t="s">
        <v>28</v>
      </c>
      <c r="E673" s="9" t="s">
        <v>32</v>
      </c>
      <c r="F673" s="13">
        <v>23900</v>
      </c>
      <c r="G673" s="39">
        <v>325</v>
      </c>
      <c r="H673" s="45">
        <v>141.22999999999999</v>
      </c>
      <c r="I673" s="45">
        <v>30.67</v>
      </c>
      <c r="J673" s="40">
        <f>IF(D673="Short",H673-I673,I673-H673)</f>
        <v>110.55999999999999</v>
      </c>
      <c r="K673" s="40">
        <f>J673*G673</f>
        <v>35931.999999999993</v>
      </c>
      <c r="L673" s="40">
        <f>IF(D673="Short",G673*H673,G673*I673)</f>
        <v>45899.75</v>
      </c>
      <c r="M673" s="40">
        <f>IF(D673="Short",G673*I673,H673*G673)</f>
        <v>9967.75</v>
      </c>
      <c r="N673" s="40">
        <f>L673+M673</f>
        <v>55867.5</v>
      </c>
      <c r="O673" s="40">
        <f>N673*0.000134</f>
        <v>7.4862450000000003</v>
      </c>
      <c r="P673" s="40">
        <f>K673-O673</f>
        <v>35924.513754999993</v>
      </c>
      <c r="Q673" s="14"/>
      <c r="R673" s="14"/>
      <c r="S673" s="14"/>
    </row>
    <row r="674" spans="1:19" x14ac:dyDescent="0.25">
      <c r="A674" s="51">
        <v>46202</v>
      </c>
      <c r="B674" s="9" t="s">
        <v>31</v>
      </c>
      <c r="C674" s="12">
        <v>46203</v>
      </c>
      <c r="D674" s="9" t="s">
        <v>28</v>
      </c>
      <c r="E674" s="9" t="s">
        <v>32</v>
      </c>
      <c r="F674" s="13">
        <v>23900</v>
      </c>
      <c r="G674" s="39">
        <v>65</v>
      </c>
      <c r="H674" s="45">
        <v>29.65</v>
      </c>
      <c r="I674" s="45">
        <v>60.21</v>
      </c>
      <c r="J674" s="40">
        <f>IF(D674="Short",H674-I674,I674-H674)</f>
        <v>-30.560000000000002</v>
      </c>
      <c r="K674" s="40">
        <f>J674*G674</f>
        <v>-1986.4</v>
      </c>
      <c r="L674" s="40">
        <f>IF(D674="Short",G674*H674,G674*I674)</f>
        <v>1927.25</v>
      </c>
      <c r="M674" s="40">
        <f>IF(D674="Short",G674*I674,H674*G674)</f>
        <v>3913.65</v>
      </c>
      <c r="N674" s="40">
        <f>L674+M674</f>
        <v>5840.9</v>
      </c>
      <c r="O674" s="40">
        <f>N674*0.000134</f>
        <v>0.78268059999999995</v>
      </c>
      <c r="P674" s="40">
        <f>K674-O674</f>
        <v>-1987.1826806000001</v>
      </c>
      <c r="Q674" s="14"/>
      <c r="R674" s="14"/>
      <c r="S674" s="14"/>
    </row>
    <row r="675" spans="1:19" x14ac:dyDescent="0.25">
      <c r="A675" s="51">
        <v>46202</v>
      </c>
      <c r="B675" s="9" t="s">
        <v>31</v>
      </c>
      <c r="C675" s="12">
        <v>46203</v>
      </c>
      <c r="D675" s="9" t="s">
        <v>30</v>
      </c>
      <c r="E675" s="9" t="s">
        <v>32</v>
      </c>
      <c r="F675" s="13">
        <v>23800</v>
      </c>
      <c r="G675" s="39">
        <v>910</v>
      </c>
      <c r="H675" s="45">
        <v>15.83</v>
      </c>
      <c r="I675" s="45">
        <v>19</v>
      </c>
      <c r="J675" s="40">
        <f>IF(D675="Short",H675-I675,I675-H675)</f>
        <v>3.17</v>
      </c>
      <c r="K675" s="40">
        <f>J675*G675</f>
        <v>2884.7</v>
      </c>
      <c r="L675" s="40">
        <f>IF(D675="Short",G675*H675,G675*I675)</f>
        <v>17290</v>
      </c>
      <c r="M675" s="40">
        <f>IF(D675="Short",G675*I675,H675*G675)</f>
        <v>14405.3</v>
      </c>
      <c r="N675" s="40">
        <f>L675+M675</f>
        <v>31695.3</v>
      </c>
      <c r="O675" s="40">
        <f>N675*0.000134</f>
        <v>4.2471702000000002</v>
      </c>
      <c r="P675" s="40">
        <f>K675-O675</f>
        <v>2880.4528298</v>
      </c>
      <c r="Q675" s="14"/>
      <c r="R675" s="14"/>
      <c r="S675" s="14"/>
    </row>
    <row r="676" spans="1:19" x14ac:dyDescent="0.25">
      <c r="A676" s="51">
        <v>46202</v>
      </c>
      <c r="B676" s="9" t="s">
        <v>27</v>
      </c>
      <c r="C676" s="12">
        <v>46205</v>
      </c>
      <c r="D676" s="9" t="s">
        <v>30</v>
      </c>
      <c r="E676" s="9" t="s">
        <v>32</v>
      </c>
      <c r="F676" s="13">
        <v>75000</v>
      </c>
      <c r="G676" s="39">
        <v>340</v>
      </c>
      <c r="H676" s="45">
        <v>33.22</v>
      </c>
      <c r="I676" s="45">
        <v>37.450000000000003</v>
      </c>
      <c r="J676" s="40">
        <f>IF(D676="Short",H676-I676,I676-H676)</f>
        <v>4.230000000000004</v>
      </c>
      <c r="K676" s="40">
        <f>J676*G676</f>
        <v>1438.2000000000014</v>
      </c>
      <c r="L676" s="40">
        <f>IF(D676="Short",G676*H676,G676*I676)</f>
        <v>12733.000000000002</v>
      </c>
      <c r="M676" s="40">
        <f>IF(D676="Short",G676*I676,H676*G676)</f>
        <v>11294.8</v>
      </c>
      <c r="N676" s="40">
        <f>L676+M676</f>
        <v>24027.800000000003</v>
      </c>
      <c r="O676" s="40">
        <f>N676*0.000134</f>
        <v>3.2197252000000005</v>
      </c>
      <c r="P676" s="40">
        <f>K676-O676</f>
        <v>1434.9802748000013</v>
      </c>
      <c r="Q676" s="14"/>
      <c r="R676" s="14"/>
      <c r="S676" s="14"/>
    </row>
    <row r="677" spans="1:19" x14ac:dyDescent="0.25">
      <c r="A677" s="51">
        <v>46203</v>
      </c>
      <c r="B677" s="9" t="s">
        <v>27</v>
      </c>
      <c r="C677" s="12">
        <v>46205</v>
      </c>
      <c r="D677" s="9" t="s">
        <v>30</v>
      </c>
      <c r="E677" s="9" t="s">
        <v>32</v>
      </c>
      <c r="F677" s="13">
        <v>75500</v>
      </c>
      <c r="G677" s="39">
        <v>100</v>
      </c>
      <c r="H677" s="45">
        <v>52.6</v>
      </c>
      <c r="I677" s="45">
        <v>15.1</v>
      </c>
      <c r="J677" s="40">
        <f>IF(D677="Short",H677-I677,I677-H677)</f>
        <v>-37.5</v>
      </c>
      <c r="K677" s="40">
        <f>J677*G677</f>
        <v>-3750</v>
      </c>
      <c r="L677" s="40">
        <f>IF(D677="Short",G677*H677,G677*I677)</f>
        <v>1510</v>
      </c>
      <c r="M677" s="40">
        <f>IF(D677="Short",G677*I677,H677*G677)</f>
        <v>5260</v>
      </c>
      <c r="N677" s="40">
        <f>L677+M677</f>
        <v>6770</v>
      </c>
      <c r="O677" s="40">
        <f>N677*0.000134</f>
        <v>0.90717999999999999</v>
      </c>
      <c r="P677" s="40">
        <f>K677-O677</f>
        <v>-3750.9071800000002</v>
      </c>
      <c r="Q677" s="14"/>
      <c r="R677" s="14"/>
      <c r="S677" s="14"/>
    </row>
    <row r="678" spans="1:19" x14ac:dyDescent="0.25">
      <c r="A678" s="51">
        <v>46203</v>
      </c>
      <c r="B678" s="9" t="s">
        <v>27</v>
      </c>
      <c r="C678" s="12">
        <v>46205</v>
      </c>
      <c r="D678" s="9" t="s">
        <v>30</v>
      </c>
      <c r="E678" s="9" t="s">
        <v>32</v>
      </c>
      <c r="F678" s="13">
        <v>75500</v>
      </c>
      <c r="G678" s="39">
        <v>380</v>
      </c>
      <c r="H678" s="45">
        <v>62.71</v>
      </c>
      <c r="I678" s="45">
        <v>67.23</v>
      </c>
      <c r="J678" s="40">
        <f>IF(D678="Short",H678-I678,I678-H678)</f>
        <v>4.5200000000000031</v>
      </c>
      <c r="K678" s="40">
        <f>J678*G678</f>
        <v>1717.6000000000013</v>
      </c>
      <c r="L678" s="40">
        <f>IF(D678="Short",G678*H678,G678*I678)</f>
        <v>25547.4</v>
      </c>
      <c r="M678" s="40">
        <f>IF(D678="Short",G678*I678,H678*G678)</f>
        <v>23829.8</v>
      </c>
      <c r="N678" s="40">
        <f>L678+M678</f>
        <v>49377.2</v>
      </c>
      <c r="O678" s="40">
        <f>N678*0.000134</f>
        <v>6.6165447999999998</v>
      </c>
      <c r="P678" s="40">
        <f>K678-O678</f>
        <v>1710.9834552000013</v>
      </c>
      <c r="Q678" s="14"/>
      <c r="R678" s="14"/>
      <c r="S678" s="14"/>
    </row>
    <row r="679" spans="1:19" x14ac:dyDescent="0.25">
      <c r="A679" s="51">
        <v>46203</v>
      </c>
      <c r="B679" s="9" t="s">
        <v>27</v>
      </c>
      <c r="C679" s="12">
        <v>46205</v>
      </c>
      <c r="D679" s="9" t="s">
        <v>28</v>
      </c>
      <c r="E679" s="9" t="s">
        <v>32</v>
      </c>
      <c r="F679" s="13">
        <v>77200</v>
      </c>
      <c r="G679" s="39">
        <v>240</v>
      </c>
      <c r="H679" s="45">
        <v>448.78</v>
      </c>
      <c r="I679" s="45">
        <v>749.34</v>
      </c>
      <c r="J679" s="40">
        <f>IF(D679="Short",H679-I679,I679-H679)</f>
        <v>-300.56000000000006</v>
      </c>
      <c r="K679" s="40">
        <f>J679*G679</f>
        <v>-72134.400000000009</v>
      </c>
      <c r="L679" s="40">
        <f>IF(D679="Short",G679*H679,G679*I679)</f>
        <v>107707.2</v>
      </c>
      <c r="M679" s="40">
        <f>IF(D679="Short",G679*I679,H679*G679)</f>
        <v>179841.6</v>
      </c>
      <c r="N679" s="40">
        <f>L679+M679</f>
        <v>287548.79999999999</v>
      </c>
      <c r="O679" s="40">
        <f>N679*0.000134</f>
        <v>38.531539199999997</v>
      </c>
      <c r="P679" s="40">
        <f>K679-O679</f>
        <v>-72172.931539200014</v>
      </c>
      <c r="Q679" s="14"/>
      <c r="R679" s="14"/>
      <c r="S679" s="14"/>
    </row>
    <row r="680" spans="1:19" x14ac:dyDescent="0.25">
      <c r="A680" s="51">
        <v>46203</v>
      </c>
      <c r="B680" s="9" t="s">
        <v>27</v>
      </c>
      <c r="C680" s="12">
        <v>46205</v>
      </c>
      <c r="D680" s="9" t="s">
        <v>28</v>
      </c>
      <c r="E680" s="9" t="s">
        <v>32</v>
      </c>
      <c r="F680" s="13">
        <v>77200</v>
      </c>
      <c r="G680" s="39">
        <v>120</v>
      </c>
      <c r="H680" s="45">
        <v>744.42</v>
      </c>
      <c r="I680" s="45">
        <v>400.12</v>
      </c>
      <c r="J680" s="40">
        <f>IF(D680="Short",H680-I680,I680-H680)</f>
        <v>344.29999999999995</v>
      </c>
      <c r="K680" s="40">
        <f>J680*G680</f>
        <v>41315.999999999993</v>
      </c>
      <c r="L680" s="40">
        <f>IF(D680="Short",G680*H680,G680*I680)</f>
        <v>89330.4</v>
      </c>
      <c r="M680" s="40">
        <f>IF(D680="Short",G680*I680,H680*G680)</f>
        <v>48014.400000000001</v>
      </c>
      <c r="N680" s="40">
        <f>L680+M680</f>
        <v>137344.79999999999</v>
      </c>
      <c r="O680" s="40">
        <f>N680*0.000134</f>
        <v>18.404203199999998</v>
      </c>
      <c r="P680" s="40">
        <f>K680-O680</f>
        <v>41297.595796799993</v>
      </c>
      <c r="Q680" s="14"/>
      <c r="R680" s="14"/>
      <c r="S680" s="14"/>
    </row>
    <row r="681" spans="1:19" x14ac:dyDescent="0.25">
      <c r="A681" s="51">
        <v>46204</v>
      </c>
      <c r="B681" s="9" t="s">
        <v>27</v>
      </c>
      <c r="C681" s="12">
        <v>46205</v>
      </c>
      <c r="D681" s="9" t="s">
        <v>28</v>
      </c>
      <c r="E681" s="9" t="s">
        <v>32</v>
      </c>
      <c r="F681" s="13">
        <v>76200</v>
      </c>
      <c r="G681" s="39">
        <v>20</v>
      </c>
      <c r="H681" s="45">
        <v>53.15</v>
      </c>
      <c r="I681" s="45">
        <v>65.180000000000007</v>
      </c>
      <c r="J681" s="40">
        <f>IF(D681="Short",H681-I681,I681-H681)</f>
        <v>-12.030000000000008</v>
      </c>
      <c r="K681" s="40">
        <f>J681*G681</f>
        <v>-240.60000000000016</v>
      </c>
      <c r="L681" s="40">
        <f>IF(D681="Short",G681*H681,G681*I681)</f>
        <v>1063</v>
      </c>
      <c r="M681" s="40">
        <f>IF(D681="Short",G681*I681,H681*G681)</f>
        <v>1303.6000000000001</v>
      </c>
      <c r="N681" s="40">
        <f>L681+M681</f>
        <v>2366.6000000000004</v>
      </c>
      <c r="O681" s="40">
        <f>N681*0.000134</f>
        <v>0.31712440000000008</v>
      </c>
      <c r="P681" s="40">
        <f>K681-O681</f>
        <v>-240.91712440000018</v>
      </c>
      <c r="Q681" s="14"/>
      <c r="R681" s="14"/>
      <c r="S681" s="14"/>
    </row>
  </sheetData>
  <autoFilter ref="A1:S681"/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Kripal Sir F&amp;O</vt:lpstr>
      <vt:lpstr>Index F&amp;O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AFF50</dc:creator>
  <cp:lastModifiedBy>AFF37</cp:lastModifiedBy>
  <cp:lastPrinted>2022-07-08T11:03:07Z</cp:lastPrinted>
  <dcterms:created xsi:type="dcterms:W3CDTF">2015-06-05T18:17:20Z</dcterms:created>
  <dcterms:modified xsi:type="dcterms:W3CDTF">2026-08-17T10:43:07Z</dcterms:modified>
</cp:coreProperties>
</file>
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#Pre Final Folder\OPTIONS\#StockMock\"/>
    </mc:Choice>
  </mc:AlternateContent>
  <xr:revisionPtr revIDLastSave="0" documentId="13_ncr:1_{AA02D8C8-C312-4804-AB42-31FB8D70C46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ules" sheetId="10" r:id="rId1"/>
    <sheet name="Future" sheetId="11" r:id="rId2"/>
    <sheet name="Summary" sheetId="1" r:id="rId3"/>
    <sheet name="1 Lot CE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8" i="1" l="1"/>
  <c r="J64" i="1"/>
  <c r="I64" i="1"/>
  <c r="K98" i="1"/>
  <c r="K64" i="1"/>
  <c r="D64" i="1"/>
  <c r="H64" i="1"/>
  <c r="H98" i="1" l="1"/>
  <c r="D98" i="1"/>
  <c r="C64" i="1"/>
  <c r="G64" i="1"/>
  <c r="I98" i="1" l="1"/>
  <c r="C98" i="1"/>
  <c r="G98" i="1"/>
  <c r="F98" i="1" l="1"/>
  <c r="B98" i="1"/>
  <c r="B64" i="1"/>
  <c r="F64" i="1"/>
</calcChain>
</file>

<file path=xl/sharedStrings.xml><?xml version="1.0" encoding="utf-8"?>
<sst xmlns="http://schemas.openxmlformats.org/spreadsheetml/2006/main" count="743" uniqueCount="163">
  <si>
    <t>Performance</t>
  </si>
  <si>
    <t>Total P&amp;L</t>
  </si>
  <si>
    <t>Return %</t>
  </si>
  <si>
    <t>CAGR %</t>
  </si>
  <si>
    <t>Max Drawdown</t>
  </si>
  <si>
    <t>Max DD %</t>
  </si>
  <si>
    <t>CAR/MDD</t>
  </si>
  <si>
    <t>Trades</t>
  </si>
  <si>
    <t>Adjustments</t>
  </si>
  <si>
    <t>Rollovers</t>
  </si>
  <si>
    <t>Trading Days</t>
  </si>
  <si>
    <t>Trade Quality</t>
  </si>
  <si>
    <t>Win Rate %</t>
  </si>
  <si>
    <t>Profit Factor</t>
  </si>
  <si>
    <t>Avg Win</t>
  </si>
  <si>
    <t>Avg Loss</t>
  </si>
  <si>
    <t>Largest Win</t>
  </si>
  <si>
    <t>Largest Loss</t>
  </si>
  <si>
    <t>Avg Trade P&amp;L</t>
  </si>
  <si>
    <t>Monthly Consistency</t>
  </si>
  <si>
    <t>Monthly Win %</t>
  </si>
  <si>
    <t>Winning Months</t>
  </si>
  <si>
    <t>Losing Months</t>
  </si>
  <si>
    <t>Total Months</t>
  </si>
  <si>
    <t>Best Month</t>
  </si>
  <si>
    <t>Worst Month</t>
  </si>
  <si>
    <t>Index</t>
  </si>
  <si>
    <t>Type</t>
  </si>
  <si>
    <t>Strike</t>
  </si>
  <si>
    <t>Expiry</t>
  </si>
  <si>
    <t>Direction</t>
  </si>
  <si>
    <t>Lots</t>
  </si>
  <si>
    <t>Entry</t>
  </si>
  <si>
    <t>Exit</t>
  </si>
  <si>
    <t>Entry Price</t>
  </si>
  <si>
    <t>Entry Delta</t>
  </si>
  <si>
    <t>Exit Price</t>
  </si>
  <si>
    <t>Exit Delta</t>
  </si>
  <si>
    <t>P&amp;L</t>
  </si>
  <si>
    <t>Reason</t>
  </si>
  <si>
    <t>NIFTY</t>
  </si>
  <si>
    <t>CE</t>
  </si>
  <si>
    <t>Sell</t>
  </si>
  <si>
    <t>rollover</t>
  </si>
  <si>
    <t>PE</t>
  </si>
  <si>
    <t>Buy</t>
  </si>
  <si>
    <t>adjustment</t>
  </si>
  <si>
    <t>adjustment + rollover</t>
  </si>
  <si>
    <t>exit</t>
  </si>
  <si>
    <t>Month-on-Month P&amp;L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</si>
  <si>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</si>
  <si>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</si>
  <si>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</si>
  <si>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</si>
  <si>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</si>
  <si>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</si>
  <si>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</si>
  <si>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</si>
  <si>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</si>
  <si>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</si>
  <si>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</si>
  <si>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</si>
  <si>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</si>
  <si>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</si>
  <si>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</si>
  <si>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</si>
  <si>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</si>
  <si>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</si>
  <si>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</si>
  <si>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</si>
  <si>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</si>
  <si>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</si>
  <si>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</si>
  <si>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</si>
  <si>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</si>
  <si>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</si>
  <si>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</si>
  <si>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</si>
  <si>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</si>
  <si>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</si>
  <si>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</si>
  <si>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Timeframe</t>
  </si>
  <si>
    <t>01-01-2024 to 29-06-2026</t>
  </si>
  <si>
    <t>Leg1</t>
  </si>
  <si>
    <t>Leg2</t>
  </si>
  <si>
    <t>Leg3</t>
  </si>
  <si>
    <t>Entry:</t>
  </si>
  <si>
    <t>Symbol</t>
  </si>
  <si>
    <t>Nifty 50</t>
  </si>
  <si>
    <t>PE Premium - (Strike-Spot) :--</t>
  </si>
  <si>
    <t>Strike which are closet to zero will be selected</t>
  </si>
  <si>
    <t>=PE Buy Leg Premium / Expiry till Monthly Expiry / Lot</t>
  </si>
  <si>
    <t>Interval Time</t>
  </si>
  <si>
    <t>Moneynedd Ref.</t>
  </si>
  <si>
    <t>Spot</t>
  </si>
  <si>
    <t>Calculation</t>
  </si>
  <si>
    <t>Lot</t>
  </si>
  <si>
    <t>Roll</t>
  </si>
  <si>
    <t>Volume</t>
  </si>
  <si>
    <t>Monthly</t>
  </si>
  <si>
    <t>Weekly</t>
  </si>
  <si>
    <t>Optim</t>
  </si>
  <si>
    <t>T-1</t>
  </si>
  <si>
    <t>-</t>
  </si>
  <si>
    <t>Round off</t>
  </si>
  <si>
    <t>x50</t>
  </si>
  <si>
    <t>ATM &amp; ITM PE Buy</t>
  </si>
  <si>
    <t>CE Sell (Relative to Premium Leg2)</t>
  </si>
  <si>
    <t>ITM PE Sell (Theta zero)</t>
  </si>
  <si>
    <t>Margin Block</t>
  </si>
  <si>
    <t>Total</t>
  </si>
  <si>
    <t>Month-on-Month P&amp;L %</t>
  </si>
  <si>
    <t>Entry Date</t>
  </si>
  <si>
    <t>Exit Date</t>
  </si>
  <si>
    <t>Entry Spot</t>
  </si>
  <si>
    <t>Exit Spot</t>
  </si>
  <si>
    <t>Spot P&amp;L</t>
  </si>
  <si>
    <t>Spot P&amp;L %</t>
  </si>
  <si>
    <t>B/S</t>
  </si>
  <si>
    <t>Qty</t>
  </si>
  <si>
    <t>Raw Entry Price</t>
  </si>
  <si>
    <t>Raw Exit Price</t>
  </si>
  <si>
    <t>MAE</t>
  </si>
  <si>
    <t>MFE</t>
  </si>
  <si>
    <t>Net MAE 1</t>
  </si>
  <si>
    <t>Net MAE 2</t>
  </si>
  <si>
    <t>Final MAE</t>
  </si>
  <si>
    <t>FUT P&amp;L</t>
  </si>
  <si>
    <t>FUT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</si>
  <si>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</si>
  <si>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</si>
  <si>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</si>
  <si>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</si>
  <si>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</si>
  <si>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</si>
  <si>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</si>
  <si>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</si>
  <si>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</si>
  <si>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FUT</t>
  </si>
  <si>
    <t>BUY</t>
  </si>
  <si>
    <t>SCHEDULED_EXIT</t>
  </si>
  <si>
    <t>Any</t>
  </si>
  <si>
    <t>x100</t>
  </si>
  <si>
    <t>(500 Gap) :-</t>
  </si>
  <si>
    <t>ITM PE Sell in Monthly Expiry is in 500 step</t>
  </si>
  <si>
    <t>(100 Gap) :-</t>
  </si>
  <si>
    <t>ITM PE Sell in Monthly Expiry is in 100 step</t>
  </si>
  <si>
    <t>x500</t>
  </si>
  <si>
    <t>Adj</t>
  </si>
  <si>
    <t>Yes</t>
  </si>
  <si>
    <t>Future</t>
  </si>
  <si>
    <t>Final Setting :</t>
  </si>
  <si>
    <t>1. Sell Zero Theta value ITM PE in Monthly Expiry</t>
  </si>
  <si>
    <t>Adjustment if Spot&gt;Strike</t>
  </si>
  <si>
    <t>2. Buy Monthly ATM Put</t>
  </si>
  <si>
    <t>Adjustment whenever we change PE Sell Leg.</t>
  </si>
  <si>
    <t xml:space="preserve">3. 5 lot CE Sell in Weekly Expiry </t>
  </si>
  <si>
    <t>if PUT Buy Leg trigger adjustment then recalculate the cost of this put buy and based on this sell CE in weekly from next entry in CE</t>
  </si>
  <si>
    <t>1 Lot CE</t>
  </si>
  <si>
    <t>2 Lot CE</t>
  </si>
  <si>
    <t>3 Lot CE</t>
  </si>
  <si>
    <t>2026-03  (178642.7)</t>
  </si>
  <si>
    <t>2026-04  (-69803.6)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</si>
</sst>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00"/>
    <numFmt numFmtId="166" formatCode="dd\-mm\-yyyy"/>
    <numFmt numFmtId="167" formatCode="dd\-mm\-yyyy\ hh:mm"/>
    <numFmt numFmtId="168" formatCode="0.0%"/>
  </numFmts>
  <fonts count="18" x14ac:knownFonts="1">
    <font>
      <sz val="11"/>
      <color theme="1"/>
      <name val="Calibri"/>
      <family val="2"/>
      <scheme val="minor"/>
    </font>
    <font>
      <b/>
      <sz val="12"/>
      <color rgb="FF1F2933"/>
      <name val="Calibri"/>
      <family val="2"/>
    </font>
    <font>
      <sz val="11"/>
      <color rgb="FF374151"/>
      <name val="Calibri"/>
      <family val="2"/>
    </font>
    <font>
      <b/>
      <sz val="11"/>
      <color rgb="FF15803D"/>
      <name val="Calibri"/>
      <family val="2"/>
    </font>
    <font>
      <b/>
      <sz val="11"/>
      <color rgb="FFB91C1C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C0392B"/>
      <name val="Calibri"/>
      <family val="2"/>
      <scheme val="minor"/>
    </font>
    <font>
      <b/>
      <sz val="10"/>
      <color rgb="FF1E7E3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34495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D4EFD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5" fillId="2" borderId="0" xfId="0" applyFont="1" applyFill="1"/>
    <xf numFmtId="0" fontId="1" fillId="0" borderId="1" xfId="0" applyFont="1" applyBorder="1"/>
    <xf numFmtId="0" fontId="2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1" fillId="0" borderId="0" xfId="0" applyFont="1"/>
    <xf numFmtId="0" fontId="11" fillId="0" borderId="0" xfId="0" quotePrefix="1" applyFont="1"/>
    <xf numFmtId="20" fontId="6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/>
    <xf numFmtId="3" fontId="0" fillId="0" borderId="1" xfId="0" applyNumberForma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0" fontId="10" fillId="0" borderId="1" xfId="0" applyFont="1" applyBorder="1"/>
    <xf numFmtId="10" fontId="0" fillId="0" borderId="0" xfId="1" applyNumberFormat="1" applyFont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0" fillId="0" borderId="2" xfId="0" applyFont="1" applyBorder="1"/>
    <xf numFmtId="0" fontId="2" fillId="0" borderId="2" xfId="0" applyFont="1" applyBorder="1" applyAlignment="1">
      <alignment horizontal="left"/>
    </xf>
    <xf numFmtId="10" fontId="0" fillId="0" borderId="3" xfId="1" applyNumberFormat="1" applyFont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3" fontId="0" fillId="4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10" fillId="4" borderId="3" xfId="0" applyNumberFormat="1" applyFont="1" applyFill="1" applyBorder="1" applyAlignment="1">
      <alignment horizontal="center"/>
    </xf>
    <xf numFmtId="10" fontId="0" fillId="4" borderId="0" xfId="1" applyNumberFormat="1" applyFont="1" applyFill="1" applyAlignment="1">
      <alignment horizontal="center"/>
    </xf>
    <xf numFmtId="10" fontId="0" fillId="4" borderId="3" xfId="1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13" fillId="5" borderId="4" xfId="0" applyNumberFormat="1" applyFont="1" applyFill="1" applyBorder="1" applyAlignment="1">
      <alignment horizontal="left" vertical="center"/>
    </xf>
    <xf numFmtId="4" fontId="13" fillId="5" borderId="4" xfId="0" applyNumberFormat="1" applyFont="1" applyFill="1" applyBorder="1" applyAlignment="1">
      <alignment horizontal="left" vertical="center"/>
    </xf>
    <xf numFmtId="10" fontId="13" fillId="5" borderId="4" xfId="0" applyNumberFormat="1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1" fontId="13" fillId="5" borderId="4" xfId="0" applyNumberFormat="1" applyFont="1" applyFill="1" applyBorder="1" applyAlignment="1">
      <alignment horizontal="left" vertical="center"/>
    </xf>
    <xf numFmtId="165" fontId="13" fillId="5" borderId="4" xfId="0" applyNumberFormat="1" applyFont="1" applyFill="1" applyBorder="1" applyAlignment="1">
      <alignment horizontal="left" vertical="center"/>
    </xf>
    <xf numFmtId="4" fontId="14" fillId="6" borderId="4" xfId="0" applyNumberFormat="1" applyFont="1" applyFill="1" applyBorder="1" applyAlignment="1">
      <alignment horizontal="left" vertical="center"/>
    </xf>
    <xf numFmtId="164" fontId="13" fillId="7" borderId="4" xfId="0" applyNumberFormat="1" applyFont="1" applyFill="1" applyBorder="1" applyAlignment="1">
      <alignment horizontal="left" vertical="center"/>
    </xf>
    <xf numFmtId="4" fontId="13" fillId="7" borderId="4" xfId="0" applyNumberFormat="1" applyFont="1" applyFill="1" applyBorder="1" applyAlignment="1">
      <alignment horizontal="left" vertical="center"/>
    </xf>
    <xf numFmtId="10" fontId="13" fillId="7" borderId="4" xfId="0" applyNumberFormat="1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/>
    </xf>
    <xf numFmtId="1" fontId="13" fillId="7" borderId="4" xfId="0" applyNumberFormat="1" applyFont="1" applyFill="1" applyBorder="1" applyAlignment="1">
      <alignment horizontal="left" vertical="center"/>
    </xf>
    <xf numFmtId="165" fontId="13" fillId="7" borderId="4" xfId="0" applyNumberFormat="1" applyFont="1" applyFill="1" applyBorder="1" applyAlignment="1">
      <alignment horizontal="left" vertical="center"/>
    </xf>
    <xf numFmtId="1" fontId="15" fillId="8" borderId="4" xfId="0" applyNumberFormat="1" applyFont="1" applyFill="1" applyBorder="1" applyAlignment="1">
      <alignment horizontal="left" vertical="center"/>
    </xf>
    <xf numFmtId="4" fontId="15" fillId="8" borderId="4" xfId="0" applyNumberFormat="1" applyFont="1" applyFill="1" applyBorder="1" applyAlignment="1">
      <alignment horizontal="left" vertical="center"/>
    </xf>
    <xf numFmtId="1" fontId="14" fillId="6" borderId="4" xfId="0" applyNumberFormat="1" applyFont="1" applyFill="1" applyBorder="1" applyAlignment="1">
      <alignment horizontal="left" vertic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indent="2"/>
    </xf>
    <xf numFmtId="0" fontId="17" fillId="0" borderId="0" xfId="0" applyFont="1"/>
    <xf numFmtId="0" fontId="16" fillId="0" borderId="0" xfId="0" applyFont="1" applyAlignment="1">
      <alignment vertical="center" wrapText="1"/>
    </xf>
    <xf numFmtId="168" fontId="0" fillId="0" borderId="0" xfId="1" applyNumberFormat="1" applyFont="1"/>
    <xf numFmtId="0" fontId="16" fillId="0" borderId="0" xfId="0" applyFont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opLeftCell="A4" workbookViewId="0">
      <selection activeCell="A7" sqref="A7:XFD9"/>
    </sheetView>
  </sheetViews>
  <sheetFormatPr defaultRowHeight="15" x14ac:dyDescent="0.25"/>
  <cols>
    <col min="1" max="1" width="16" style="11" bestFit="1" customWidth="1"/>
    <col min="2" max="2" width="39.5703125" bestFit="1" customWidth="1"/>
    <col min="3" max="3" width="8.5703125" bestFit="1" customWidth="1"/>
    <col min="4" max="4" width="6.5703125" bestFit="1" customWidth="1"/>
    <col min="5" max="5" width="4.42578125" bestFit="1" customWidth="1"/>
    <col min="6" max="6" width="8" bestFit="1" customWidth="1"/>
    <col min="7" max="7" width="9.7109375" bestFit="1" customWidth="1"/>
    <col min="8" max="8" width="9.7109375" customWidth="1"/>
    <col min="9" max="9" width="27.5703125" bestFit="1" customWidth="1"/>
  </cols>
  <sheetData>
    <row r="1" spans="1:10" x14ac:dyDescent="0.25">
      <c r="A1" s="10" t="s">
        <v>87</v>
      </c>
      <c r="B1" s="9" t="s">
        <v>88</v>
      </c>
      <c r="C1" s="9"/>
      <c r="D1" s="9"/>
      <c r="E1" s="9"/>
      <c r="F1" s="9"/>
      <c r="G1" s="9"/>
      <c r="H1" s="9"/>
    </row>
    <row r="2" spans="1:10" x14ac:dyDescent="0.25">
      <c r="A2" s="10" t="s">
        <v>81</v>
      </c>
      <c r="B2" s="9" t="s">
        <v>82</v>
      </c>
      <c r="C2" s="9"/>
      <c r="D2" s="9"/>
      <c r="E2" s="9"/>
      <c r="F2" s="9"/>
      <c r="G2" s="9"/>
      <c r="H2" s="9"/>
    </row>
    <row r="3" spans="1:10" x14ac:dyDescent="0.25">
      <c r="A3" s="10" t="s">
        <v>92</v>
      </c>
      <c r="B3" s="16">
        <v>0.63541666666666663</v>
      </c>
      <c r="C3" s="16"/>
      <c r="D3" s="16"/>
      <c r="E3" s="16"/>
      <c r="F3" s="16"/>
      <c r="G3" s="42"/>
      <c r="H3" s="16"/>
    </row>
    <row r="4" spans="1:10" x14ac:dyDescent="0.25">
      <c r="A4" s="10" t="s">
        <v>93</v>
      </c>
      <c r="B4" s="16" t="s">
        <v>94</v>
      </c>
      <c r="C4" s="16"/>
      <c r="D4" s="16"/>
      <c r="E4" s="16"/>
      <c r="F4" s="16"/>
      <c r="G4" s="16"/>
      <c r="H4" s="16"/>
    </row>
    <row r="5" spans="1:10" x14ac:dyDescent="0.25">
      <c r="A5" s="10"/>
      <c r="B5" s="9"/>
      <c r="C5" s="9"/>
      <c r="D5" s="9"/>
      <c r="E5" s="9"/>
      <c r="F5" s="9"/>
      <c r="G5" s="9"/>
      <c r="H5" s="9"/>
    </row>
    <row r="6" spans="1:10" x14ac:dyDescent="0.25">
      <c r="A6" s="18" t="s">
        <v>86</v>
      </c>
      <c r="B6" s="8" t="s">
        <v>28</v>
      </c>
      <c r="C6" s="8" t="s">
        <v>29</v>
      </c>
      <c r="D6" s="8" t="s">
        <v>96</v>
      </c>
      <c r="E6" s="8" t="s">
        <v>97</v>
      </c>
      <c r="F6" s="8" t="s">
        <v>98</v>
      </c>
      <c r="G6" s="8" t="s">
        <v>104</v>
      </c>
      <c r="H6" s="8" t="s">
        <v>148</v>
      </c>
      <c r="I6" s="9" t="s">
        <v>95</v>
      </c>
    </row>
    <row r="7" spans="1:10" x14ac:dyDescent="0.25">
      <c r="A7" s="18" t="s">
        <v>83</v>
      </c>
      <c r="B7" s="17" t="s">
        <v>108</v>
      </c>
      <c r="C7" s="17" t="s">
        <v>99</v>
      </c>
      <c r="D7" s="17">
        <v>1</v>
      </c>
      <c r="E7" s="17" t="s">
        <v>102</v>
      </c>
      <c r="F7" s="17" t="s">
        <v>103</v>
      </c>
      <c r="G7" s="17" t="s">
        <v>147</v>
      </c>
      <c r="H7" s="17" t="s">
        <v>149</v>
      </c>
      <c r="I7" s="14" t="s">
        <v>89</v>
      </c>
      <c r="J7" t="s">
        <v>90</v>
      </c>
    </row>
    <row r="8" spans="1:10" x14ac:dyDescent="0.25">
      <c r="A8" s="18" t="s">
        <v>84</v>
      </c>
      <c r="B8" s="17" t="s">
        <v>106</v>
      </c>
      <c r="C8" s="17" t="s">
        <v>99</v>
      </c>
      <c r="D8" s="17">
        <v>1</v>
      </c>
      <c r="E8" s="17" t="s">
        <v>102</v>
      </c>
      <c r="F8" s="17" t="s">
        <v>103</v>
      </c>
      <c r="G8" s="17" t="s">
        <v>105</v>
      </c>
      <c r="H8" s="17"/>
    </row>
    <row r="9" spans="1:10" x14ac:dyDescent="0.25">
      <c r="A9" s="18" t="s">
        <v>85</v>
      </c>
      <c r="B9" s="17" t="s">
        <v>107</v>
      </c>
      <c r="C9" s="17" t="s">
        <v>100</v>
      </c>
      <c r="D9" s="17" t="s">
        <v>101</v>
      </c>
      <c r="E9" s="17" t="s">
        <v>102</v>
      </c>
      <c r="F9" s="17" t="s">
        <v>103</v>
      </c>
      <c r="G9" s="17" t="s">
        <v>141</v>
      </c>
      <c r="H9" s="17"/>
      <c r="I9" s="15" t="s">
        <v>91</v>
      </c>
    </row>
    <row r="11" spans="1:10" x14ac:dyDescent="0.25">
      <c r="A11" s="18" t="s">
        <v>86</v>
      </c>
      <c r="B11" s="8" t="s">
        <v>28</v>
      </c>
      <c r="C11" s="8" t="s">
        <v>29</v>
      </c>
      <c r="D11" s="8" t="s">
        <v>96</v>
      </c>
      <c r="E11" s="8" t="s">
        <v>97</v>
      </c>
      <c r="F11" s="8" t="s">
        <v>98</v>
      </c>
      <c r="G11" s="8" t="s">
        <v>104</v>
      </c>
      <c r="H11" s="8" t="s">
        <v>148</v>
      </c>
      <c r="I11" s="9" t="s">
        <v>95</v>
      </c>
    </row>
    <row r="12" spans="1:10" x14ac:dyDescent="0.25">
      <c r="A12" s="18" t="s">
        <v>83</v>
      </c>
      <c r="B12" s="17" t="s">
        <v>108</v>
      </c>
      <c r="C12" s="17" t="s">
        <v>99</v>
      </c>
      <c r="D12" s="17">
        <v>1</v>
      </c>
      <c r="E12" s="17" t="s">
        <v>102</v>
      </c>
      <c r="F12" s="17">
        <v>100</v>
      </c>
      <c r="G12" s="17" t="s">
        <v>142</v>
      </c>
      <c r="H12" s="17" t="s">
        <v>149</v>
      </c>
      <c r="I12" s="14" t="s">
        <v>89</v>
      </c>
      <c r="J12" t="s">
        <v>90</v>
      </c>
    </row>
    <row r="13" spans="1:10" x14ac:dyDescent="0.25">
      <c r="A13" s="18" t="s">
        <v>84</v>
      </c>
      <c r="B13" s="17" t="s">
        <v>106</v>
      </c>
      <c r="C13" s="17" t="s">
        <v>99</v>
      </c>
      <c r="D13" s="17">
        <v>1</v>
      </c>
      <c r="E13" s="17" t="s">
        <v>102</v>
      </c>
      <c r="F13" s="17" t="s">
        <v>103</v>
      </c>
      <c r="G13" s="17" t="s">
        <v>105</v>
      </c>
      <c r="H13" s="17"/>
    </row>
    <row r="14" spans="1:10" x14ac:dyDescent="0.25">
      <c r="A14" s="18" t="s">
        <v>85</v>
      </c>
      <c r="B14" s="17" t="s">
        <v>107</v>
      </c>
      <c r="C14" s="17" t="s">
        <v>100</v>
      </c>
      <c r="D14" s="17" t="s">
        <v>101</v>
      </c>
      <c r="E14" s="17" t="s">
        <v>102</v>
      </c>
      <c r="F14" s="17" t="s">
        <v>103</v>
      </c>
      <c r="G14" s="17" t="s">
        <v>141</v>
      </c>
      <c r="H14" s="17"/>
      <c r="I14" s="15" t="s">
        <v>91</v>
      </c>
    </row>
    <row r="16" spans="1:10" x14ac:dyDescent="0.25">
      <c r="A16" s="18" t="s">
        <v>86</v>
      </c>
      <c r="B16" s="8" t="s">
        <v>28</v>
      </c>
      <c r="C16" s="8" t="s">
        <v>29</v>
      </c>
      <c r="D16" s="8" t="s">
        <v>96</v>
      </c>
      <c r="E16" s="8" t="s">
        <v>97</v>
      </c>
      <c r="F16" s="8" t="s">
        <v>98</v>
      </c>
      <c r="G16" s="8" t="s">
        <v>104</v>
      </c>
      <c r="H16" s="8" t="s">
        <v>148</v>
      </c>
      <c r="I16" s="9" t="s">
        <v>95</v>
      </c>
    </row>
    <row r="17" spans="1:10" x14ac:dyDescent="0.25">
      <c r="A17" s="18" t="s">
        <v>83</v>
      </c>
      <c r="B17" s="17" t="s">
        <v>108</v>
      </c>
      <c r="C17" s="17" t="s">
        <v>99</v>
      </c>
      <c r="D17" s="17">
        <v>1</v>
      </c>
      <c r="E17" s="17" t="s">
        <v>102</v>
      </c>
      <c r="F17" s="17">
        <v>100</v>
      </c>
      <c r="G17" s="17" t="s">
        <v>142</v>
      </c>
      <c r="H17" s="17" t="s">
        <v>149</v>
      </c>
      <c r="I17" s="14" t="s">
        <v>89</v>
      </c>
      <c r="J17" t="s">
        <v>90</v>
      </c>
    </row>
    <row r="18" spans="1:10" x14ac:dyDescent="0.25">
      <c r="A18" s="18" t="s">
        <v>84</v>
      </c>
      <c r="B18" s="17" t="s">
        <v>106</v>
      </c>
      <c r="C18" s="17" t="s">
        <v>99</v>
      </c>
      <c r="D18" s="17">
        <v>1</v>
      </c>
      <c r="E18" s="17" t="s">
        <v>102</v>
      </c>
      <c r="F18" s="17" t="s">
        <v>103</v>
      </c>
      <c r="G18" s="17" t="s">
        <v>105</v>
      </c>
      <c r="H18" s="17" t="s">
        <v>149</v>
      </c>
    </row>
    <row r="19" spans="1:10" x14ac:dyDescent="0.25">
      <c r="A19" s="18" t="s">
        <v>85</v>
      </c>
      <c r="B19" s="17" t="s">
        <v>107</v>
      </c>
      <c r="C19" s="17" t="s">
        <v>100</v>
      </c>
      <c r="D19" s="17" t="s">
        <v>101</v>
      </c>
      <c r="E19" s="17" t="s">
        <v>102</v>
      </c>
      <c r="F19" s="17" t="s">
        <v>103</v>
      </c>
      <c r="G19" s="17" t="s">
        <v>141</v>
      </c>
      <c r="H19" s="17"/>
      <c r="I19" s="15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topLeftCell="F11" workbookViewId="0">
      <selection activeCell="G2" sqref="G2:G31"/>
    </sheetView>
  </sheetViews>
  <sheetFormatPr defaultRowHeight="15" x14ac:dyDescent="0.25"/>
  <cols>
    <col min="1" max="3" width="11.5703125" bestFit="1" customWidth="1"/>
    <col min="5" max="5" width="8.85546875" bestFit="1" customWidth="1"/>
    <col min="6" max="6" width="8.42578125" bestFit="1" customWidth="1"/>
    <col min="7" max="7" width="9.85546875" bestFit="1" customWidth="1"/>
    <col min="8" max="8" width="4.7109375" bestFit="1" customWidth="1"/>
    <col min="9" max="9" width="4" bestFit="1" customWidth="1"/>
    <col min="10" max="10" width="3.85546875" bestFit="1" customWidth="1"/>
    <col min="11" max="11" width="13.28515625" bestFit="1" customWidth="1"/>
    <col min="12" max="12" width="9.42578125" bestFit="1" customWidth="1"/>
    <col min="13" max="13" width="11.85546875" bestFit="1" customWidth="1"/>
    <col min="14" max="14" width="8.85546875" bestFit="1" customWidth="1"/>
    <col min="15" max="15" width="8" bestFit="1" customWidth="1"/>
    <col min="16" max="16" width="7" bestFit="1" customWidth="1"/>
    <col min="17" max="18" width="9.42578125" bestFit="1" customWidth="1"/>
    <col min="19" max="19" width="8.5703125" bestFit="1" customWidth="1"/>
    <col min="20" max="20" width="8.42578125" bestFit="1" customWidth="1"/>
    <col min="22" max="22" width="8.42578125" bestFit="1" customWidth="1"/>
    <col min="23" max="23" width="6" bestFit="1" customWidth="1"/>
    <col min="24" max="24" width="9.85546875" bestFit="1" customWidth="1"/>
    <col min="25" max="25" width="6.42578125" bestFit="1" customWidth="1"/>
    <col min="26" max="26" width="6" bestFit="1" customWidth="1"/>
    <col min="27" max="27" width="7.28515625" bestFit="1" customWidth="1"/>
    <col min="28" max="28" width="10.7109375" bestFit="1" customWidth="1"/>
    <col min="29" max="29" width="12.140625" bestFit="1" customWidth="1"/>
    <col min="30" max="30" width="14.140625" bestFit="1" customWidth="1"/>
    <col min="32" max="32" width="17.28515625" bestFit="1" customWidth="1"/>
    <col min="33" max="33" width="16.28515625" bestFit="1" customWidth="1"/>
    <col min="34" max="34" width="6.85546875" bestFit="1" customWidth="1"/>
    <col min="35" max="35" width="7.85546875" bestFit="1" customWidth="1"/>
    <col min="36" max="36" width="6.140625" bestFit="1" customWidth="1"/>
    <col min="37" max="44" width="6.85546875" bestFit="1" customWidth="1"/>
    <col min="45" max="45" width="11.28515625" bestFit="1" customWidth="1"/>
  </cols>
  <sheetData>
    <row r="1" spans="1:30" x14ac:dyDescent="0.25">
      <c r="A1" s="24" t="s">
        <v>112</v>
      </c>
      <c r="B1" s="24" t="s">
        <v>113</v>
      </c>
      <c r="C1" s="24" t="s">
        <v>29</v>
      </c>
      <c r="D1" s="24" t="s">
        <v>114</v>
      </c>
      <c r="E1" s="24" t="s">
        <v>115</v>
      </c>
      <c r="F1" s="24" t="s">
        <v>116</v>
      </c>
      <c r="G1" s="24" t="s">
        <v>117</v>
      </c>
      <c r="H1" s="24" t="s">
        <v>27</v>
      </c>
      <c r="I1" s="24" t="s">
        <v>118</v>
      </c>
      <c r="J1" s="24" t="s">
        <v>119</v>
      </c>
      <c r="K1" s="24" t="s">
        <v>120</v>
      </c>
      <c r="L1" s="24" t="s">
        <v>34</v>
      </c>
      <c r="M1" s="24" t="s">
        <v>121</v>
      </c>
      <c r="N1" s="24" t="s">
        <v>36</v>
      </c>
      <c r="O1" s="24" t="s">
        <v>122</v>
      </c>
      <c r="P1" s="24" t="s">
        <v>123</v>
      </c>
      <c r="Q1" s="24" t="s">
        <v>124</v>
      </c>
      <c r="R1" s="24" t="s">
        <v>125</v>
      </c>
      <c r="S1" s="24" t="s">
        <v>126</v>
      </c>
      <c r="T1" s="24" t="s">
        <v>127</v>
      </c>
      <c r="U1" s="24" t="s">
        <v>128</v>
      </c>
      <c r="V1" s="24" t="s">
        <v>129</v>
      </c>
      <c r="W1" s="24" t="s">
        <v>130</v>
      </c>
      <c r="X1" s="24" t="s">
        <v>131</v>
      </c>
      <c r="Y1" s="24" t="s">
        <v>132</v>
      </c>
      <c r="Z1" s="24" t="s">
        <v>133</v>
      </c>
      <c r="AA1" s="24" t="s">
        <v>134</v>
      </c>
      <c r="AB1" s="24" t="s">
        <v>135</v>
      </c>
      <c r="AC1" s="24" t="s">
        <v>136</v>
      </c>
      <c r="AD1" s="24" t="s">
        <v>137</v>
      </c>
    </row>
    <row r="2" spans="1:30" x14ac:dyDescent="0.25">
      <c r="A2" s="44">
        <v>45287</v>
      </c>
      <c r="B2" s="44">
        <v>45315</v>
      </c>
      <c r="C2" s="44">
        <v>45316</v>
      </c>
      <c r="D2" s="45">
        <v>21654.75</v>
      </c>
      <c r="E2" s="45">
        <v>21453.95</v>
      </c>
      <c r="F2" s="45">
        <v>-200.8</v>
      </c>
      <c r="G2" s="46">
        <v>-9.2727923434812228E-3</v>
      </c>
      <c r="H2" s="47" t="s">
        <v>138</v>
      </c>
      <c r="I2" s="47" t="s">
        <v>139</v>
      </c>
      <c r="J2" s="48">
        <v>65</v>
      </c>
      <c r="K2" s="45">
        <v>21854.099600000001</v>
      </c>
      <c r="L2" s="45">
        <v>21854.1</v>
      </c>
      <c r="M2" s="45">
        <v>21477.599600000001</v>
      </c>
      <c r="N2" s="45">
        <v>21477.599999999999</v>
      </c>
      <c r="O2" s="49">
        <v>-3.2629999999999999</v>
      </c>
      <c r="P2" s="49">
        <v>1.3534999999999999</v>
      </c>
      <c r="Q2" s="49">
        <v>-3.2629999999999999</v>
      </c>
      <c r="R2" s="49">
        <v>1.3534999999999999</v>
      </c>
      <c r="S2" s="49">
        <v>-3.2629999999999999</v>
      </c>
      <c r="T2" s="45">
        <v>-376.5</v>
      </c>
      <c r="U2" s="46">
        <v>-1.7386485644027293E-2</v>
      </c>
      <c r="V2" s="50">
        <v>-376.5</v>
      </c>
      <c r="W2" s="50">
        <v>-1.7386485644027294</v>
      </c>
      <c r="X2" s="45">
        <v>98.261351435597263</v>
      </c>
      <c r="Y2" s="48">
        <v>100</v>
      </c>
      <c r="Z2" s="45">
        <v>-1.7386485644027374</v>
      </c>
      <c r="AA2" s="46">
        <v>-1.7386485644027373E-2</v>
      </c>
      <c r="AB2" s="45">
        <v>96.74</v>
      </c>
      <c r="AC2" s="45">
        <v>-3.26</v>
      </c>
      <c r="AD2" s="47" t="s">
        <v>140</v>
      </c>
    </row>
    <row r="3" spans="1:30" x14ac:dyDescent="0.25">
      <c r="A3" s="51">
        <v>45315</v>
      </c>
      <c r="B3" s="51">
        <v>45350</v>
      </c>
      <c r="C3" s="51">
        <v>45351</v>
      </c>
      <c r="D3" s="52">
        <v>21453.95</v>
      </c>
      <c r="E3" s="52">
        <v>21951.15</v>
      </c>
      <c r="F3" s="52">
        <v>497.2</v>
      </c>
      <c r="G3" s="53">
        <v>2.3175219481727141E-2</v>
      </c>
      <c r="H3" s="54" t="s">
        <v>138</v>
      </c>
      <c r="I3" s="54" t="s">
        <v>139</v>
      </c>
      <c r="J3" s="55">
        <v>65</v>
      </c>
      <c r="K3" s="52">
        <v>21612.349600000001</v>
      </c>
      <c r="L3" s="52">
        <v>21612.35</v>
      </c>
      <c r="M3" s="52">
        <v>21921.349600000001</v>
      </c>
      <c r="N3" s="52">
        <v>21921.35</v>
      </c>
      <c r="O3" s="56">
        <v>-1.0101</v>
      </c>
      <c r="P3" s="56">
        <v>3.3874</v>
      </c>
      <c r="Q3" s="56">
        <v>-1.0101</v>
      </c>
      <c r="R3" s="56">
        <v>3.3874</v>
      </c>
      <c r="S3" s="56">
        <v>-1.0101</v>
      </c>
      <c r="T3" s="55">
        <v>309</v>
      </c>
      <c r="U3" s="53">
        <v>1.4402942115554478E-2</v>
      </c>
      <c r="V3" s="57">
        <v>309</v>
      </c>
      <c r="W3" s="58">
        <v>1.4402942115554478</v>
      </c>
      <c r="X3" s="52">
        <v>99.676603992520327</v>
      </c>
      <c r="Y3" s="55">
        <v>100</v>
      </c>
      <c r="Z3" s="52">
        <v>-0.32339600747967268</v>
      </c>
      <c r="AA3" s="53">
        <v>-3.2339600747967267E-3</v>
      </c>
      <c r="AB3" s="52">
        <v>97.27</v>
      </c>
      <c r="AC3" s="52">
        <v>-2.73</v>
      </c>
      <c r="AD3" s="54" t="s">
        <v>140</v>
      </c>
    </row>
    <row r="4" spans="1:30" x14ac:dyDescent="0.25">
      <c r="A4" s="44">
        <v>45350</v>
      </c>
      <c r="B4" s="44">
        <v>45378</v>
      </c>
      <c r="C4" s="44">
        <v>45379</v>
      </c>
      <c r="D4" s="45">
        <v>21951.15</v>
      </c>
      <c r="E4" s="45">
        <v>22123.65</v>
      </c>
      <c r="F4" s="45">
        <v>172.5</v>
      </c>
      <c r="G4" s="46">
        <v>7.8583582181343571E-3</v>
      </c>
      <c r="H4" s="47" t="s">
        <v>138</v>
      </c>
      <c r="I4" s="47" t="s">
        <v>139</v>
      </c>
      <c r="J4" s="48">
        <v>65</v>
      </c>
      <c r="K4" s="45">
        <v>22075.699199999999</v>
      </c>
      <c r="L4" s="45">
        <v>22075.7</v>
      </c>
      <c r="M4" s="45">
        <v>22167.050800000001</v>
      </c>
      <c r="N4" s="45">
        <v>22167.05</v>
      </c>
      <c r="O4" s="49">
        <v>-1.2577</v>
      </c>
      <c r="P4" s="49">
        <v>2.4651999999999998</v>
      </c>
      <c r="Q4" s="49">
        <v>-1.2577</v>
      </c>
      <c r="R4" s="49">
        <v>2.4651999999999998</v>
      </c>
      <c r="S4" s="49">
        <v>-1.2577</v>
      </c>
      <c r="T4" s="45">
        <v>91.35</v>
      </c>
      <c r="U4" s="46">
        <v>4.1615131781250637E-3</v>
      </c>
      <c r="V4" s="58">
        <v>91.35</v>
      </c>
      <c r="W4" s="58">
        <v>0.41615131781250636</v>
      </c>
      <c r="X4" s="45">
        <v>100.09140949358594</v>
      </c>
      <c r="Y4" s="45">
        <v>100.09140949358594</v>
      </c>
      <c r="Z4" s="48">
        <v>0</v>
      </c>
      <c r="AA4" s="46">
        <v>0</v>
      </c>
      <c r="AB4" s="45">
        <v>98.42</v>
      </c>
      <c r="AC4" s="45">
        <v>-1.58</v>
      </c>
      <c r="AD4" s="47" t="s">
        <v>140</v>
      </c>
    </row>
    <row r="5" spans="1:30" x14ac:dyDescent="0.25">
      <c r="A5" s="51">
        <v>45378</v>
      </c>
      <c r="B5" s="51">
        <v>45406</v>
      </c>
      <c r="C5" s="51">
        <v>45407</v>
      </c>
      <c r="D5" s="52">
        <v>22123.65</v>
      </c>
      <c r="E5" s="52">
        <v>22402.400000000001</v>
      </c>
      <c r="F5" s="52">
        <v>278.75</v>
      </c>
      <c r="G5" s="53">
        <v>1.2599638848020104E-2</v>
      </c>
      <c r="H5" s="54" t="s">
        <v>138</v>
      </c>
      <c r="I5" s="54" t="s">
        <v>139</v>
      </c>
      <c r="J5" s="55">
        <v>65</v>
      </c>
      <c r="K5" s="52">
        <v>22331.800800000001</v>
      </c>
      <c r="L5" s="52">
        <v>22331.8</v>
      </c>
      <c r="M5" s="52">
        <v>22414.699199999999</v>
      </c>
      <c r="N5" s="52">
        <v>22414.7</v>
      </c>
      <c r="O5" s="56">
        <v>-2.3205</v>
      </c>
      <c r="P5" s="56">
        <v>2.2980999999999998</v>
      </c>
      <c r="Q5" s="56">
        <v>-2.3205</v>
      </c>
      <c r="R5" s="56">
        <v>2.2980999999999998</v>
      </c>
      <c r="S5" s="56">
        <v>-2.3205</v>
      </c>
      <c r="T5" s="52">
        <v>82.9</v>
      </c>
      <c r="U5" s="53">
        <v>3.7471212932766521E-3</v>
      </c>
      <c r="V5" s="58">
        <v>82.9</v>
      </c>
      <c r="W5" s="58">
        <v>0.37471212932766518</v>
      </c>
      <c r="X5" s="52">
        <v>100.46646414537344</v>
      </c>
      <c r="Y5" s="52">
        <v>100.46646414537344</v>
      </c>
      <c r="Z5" s="55">
        <v>0</v>
      </c>
      <c r="AA5" s="53">
        <v>0</v>
      </c>
      <c r="AB5" s="52">
        <v>97.77</v>
      </c>
      <c r="AC5" s="52">
        <v>-2.3199999999999998</v>
      </c>
      <c r="AD5" s="54" t="s">
        <v>140</v>
      </c>
    </row>
    <row r="6" spans="1:30" x14ac:dyDescent="0.25">
      <c r="A6" s="44">
        <v>45406</v>
      </c>
      <c r="B6" s="44">
        <v>45441</v>
      </c>
      <c r="C6" s="44">
        <v>45442</v>
      </c>
      <c r="D6" s="45">
        <v>22402.400000000001</v>
      </c>
      <c r="E6" s="45">
        <v>22704.7</v>
      </c>
      <c r="F6" s="45">
        <v>302.3</v>
      </c>
      <c r="G6" s="46">
        <v>1.3494089918937257E-2</v>
      </c>
      <c r="H6" s="47" t="s">
        <v>138</v>
      </c>
      <c r="I6" s="47" t="s">
        <v>139</v>
      </c>
      <c r="J6" s="48">
        <v>65</v>
      </c>
      <c r="K6" s="45">
        <v>22509.75</v>
      </c>
      <c r="L6" s="45">
        <v>22509.75</v>
      </c>
      <c r="M6" s="45">
        <v>22743.800800000001</v>
      </c>
      <c r="N6" s="45">
        <v>22743.8</v>
      </c>
      <c r="O6" s="49">
        <v>-2.7088000000000001</v>
      </c>
      <c r="P6" s="49">
        <v>2.9643000000000002</v>
      </c>
      <c r="Q6" s="49">
        <v>-2.7088000000000001</v>
      </c>
      <c r="R6" s="49">
        <v>2.9643000000000002</v>
      </c>
      <c r="S6" s="49">
        <v>-2.7088000000000001</v>
      </c>
      <c r="T6" s="45">
        <v>234.05</v>
      </c>
      <c r="U6" s="46">
        <v>1.044754133485698E-2</v>
      </c>
      <c r="V6" s="58">
        <v>234.05</v>
      </c>
      <c r="W6" s="58">
        <v>1.044754133485698</v>
      </c>
      <c r="X6" s="45">
        <v>101.51609168229916</v>
      </c>
      <c r="Y6" s="45">
        <v>101.51609168229916</v>
      </c>
      <c r="Z6" s="48">
        <v>0</v>
      </c>
      <c r="AA6" s="46">
        <v>0</v>
      </c>
      <c r="AB6" s="45">
        <v>97.75</v>
      </c>
      <c r="AC6" s="45">
        <v>-2.7</v>
      </c>
      <c r="AD6" s="47" t="s">
        <v>140</v>
      </c>
    </row>
    <row r="7" spans="1:30" x14ac:dyDescent="0.25">
      <c r="A7" s="51">
        <v>45441</v>
      </c>
      <c r="B7" s="51">
        <v>45469</v>
      </c>
      <c r="C7" s="51">
        <v>45470</v>
      </c>
      <c r="D7" s="52">
        <v>22704.7</v>
      </c>
      <c r="E7" s="52">
        <v>23868.799999999999</v>
      </c>
      <c r="F7" s="52">
        <v>1164.0999999999999</v>
      </c>
      <c r="G7" s="53">
        <v>5.1271322677683473E-2</v>
      </c>
      <c r="H7" s="54" t="s">
        <v>138</v>
      </c>
      <c r="I7" s="54" t="s">
        <v>139</v>
      </c>
      <c r="J7" s="55">
        <v>65</v>
      </c>
      <c r="K7" s="55">
        <v>22863</v>
      </c>
      <c r="L7" s="55">
        <v>22863</v>
      </c>
      <c r="M7" s="52">
        <v>23867.949199999999</v>
      </c>
      <c r="N7" s="52">
        <v>23867.95</v>
      </c>
      <c r="O7" s="56">
        <v>-6.9894999999999996</v>
      </c>
      <c r="P7" s="56">
        <v>4.5655000000000001</v>
      </c>
      <c r="Q7" s="56">
        <v>-6.9894999999999996</v>
      </c>
      <c r="R7" s="56">
        <v>4.5655000000000001</v>
      </c>
      <c r="S7" s="56">
        <v>-6.9894999999999996</v>
      </c>
      <c r="T7" s="52">
        <v>1004.95</v>
      </c>
      <c r="U7" s="53">
        <v>4.4261760780807499E-2</v>
      </c>
      <c r="V7" s="58">
        <v>1004.95</v>
      </c>
      <c r="W7" s="58">
        <v>4.4261760780807498</v>
      </c>
      <c r="X7" s="52">
        <v>106.00937264774362</v>
      </c>
      <c r="Y7" s="52">
        <v>106.00937264774362</v>
      </c>
      <c r="Z7" s="55">
        <v>0</v>
      </c>
      <c r="AA7" s="53">
        <v>0</v>
      </c>
      <c r="AB7" s="52">
        <v>94.42</v>
      </c>
      <c r="AC7" s="52">
        <v>-6.99</v>
      </c>
      <c r="AD7" s="54" t="s">
        <v>140</v>
      </c>
    </row>
    <row r="8" spans="1:30" x14ac:dyDescent="0.25">
      <c r="A8" s="44">
        <v>45469</v>
      </c>
      <c r="B8" s="44">
        <v>45497</v>
      </c>
      <c r="C8" s="44">
        <v>45498</v>
      </c>
      <c r="D8" s="45">
        <v>23868.799999999999</v>
      </c>
      <c r="E8" s="45">
        <v>24413.5</v>
      </c>
      <c r="F8" s="45">
        <v>544.70000000000005</v>
      </c>
      <c r="G8" s="46">
        <v>2.2820585869419496E-2</v>
      </c>
      <c r="H8" s="47" t="s">
        <v>138</v>
      </c>
      <c r="I8" s="47" t="s">
        <v>139</v>
      </c>
      <c r="J8" s="48">
        <v>65</v>
      </c>
      <c r="K8" s="45">
        <v>23972.5</v>
      </c>
      <c r="L8" s="45">
        <v>23972.5</v>
      </c>
      <c r="M8" s="45">
        <v>24388.75</v>
      </c>
      <c r="N8" s="45">
        <v>24388.75</v>
      </c>
      <c r="O8" s="49">
        <v>-0.30309999999999998</v>
      </c>
      <c r="P8" s="49">
        <v>3.6103999999999998</v>
      </c>
      <c r="Q8" s="49">
        <v>-0.30309999999999998</v>
      </c>
      <c r="R8" s="49">
        <v>3.6103999999999998</v>
      </c>
      <c r="S8" s="49">
        <v>-0.30309999999999998</v>
      </c>
      <c r="T8" s="45">
        <v>416.25</v>
      </c>
      <c r="U8" s="46">
        <v>1.7439083657326718E-2</v>
      </c>
      <c r="V8" s="58">
        <v>416.25</v>
      </c>
      <c r="W8" s="58">
        <v>1.7439083657326719</v>
      </c>
      <c r="X8" s="45">
        <v>107.85807896580835</v>
      </c>
      <c r="Y8" s="45">
        <v>107.85807896580835</v>
      </c>
      <c r="Z8" s="48">
        <v>0</v>
      </c>
      <c r="AA8" s="46">
        <v>0</v>
      </c>
      <c r="AB8" s="45">
        <v>105.69</v>
      </c>
      <c r="AC8" s="45">
        <v>-0.3</v>
      </c>
      <c r="AD8" s="47" t="s">
        <v>140</v>
      </c>
    </row>
    <row r="9" spans="1:30" x14ac:dyDescent="0.25">
      <c r="A9" s="51">
        <v>45497</v>
      </c>
      <c r="B9" s="51">
        <v>45532</v>
      </c>
      <c r="C9" s="51">
        <v>45533</v>
      </c>
      <c r="D9" s="52">
        <v>24413.5</v>
      </c>
      <c r="E9" s="52">
        <v>25052.35</v>
      </c>
      <c r="F9" s="52">
        <v>638.85</v>
      </c>
      <c r="G9" s="53">
        <v>2.6167898908390851E-2</v>
      </c>
      <c r="H9" s="54" t="s">
        <v>138</v>
      </c>
      <c r="I9" s="54" t="s">
        <v>139</v>
      </c>
      <c r="J9" s="55">
        <v>65</v>
      </c>
      <c r="K9" s="52">
        <v>24492.199199999999</v>
      </c>
      <c r="L9" s="52">
        <v>24492.2</v>
      </c>
      <c r="M9" s="52">
        <v>25048.349600000001</v>
      </c>
      <c r="N9" s="52">
        <v>25048.35</v>
      </c>
      <c r="O9" s="56">
        <v>-2.3668999999999998</v>
      </c>
      <c r="P9" s="56">
        <v>2.6652999999999998</v>
      </c>
      <c r="Q9" s="56">
        <v>-2.3668999999999998</v>
      </c>
      <c r="R9" s="56">
        <v>2.6652999999999998</v>
      </c>
      <c r="S9" s="56">
        <v>-2.3668999999999998</v>
      </c>
      <c r="T9" s="52">
        <v>556.15</v>
      </c>
      <c r="U9" s="53">
        <v>2.2780428861080958E-2</v>
      </c>
      <c r="V9" s="58">
        <v>556.15</v>
      </c>
      <c r="W9" s="58">
        <v>2.2780428861080959</v>
      </c>
      <c r="X9" s="52">
        <v>110.31513226078179</v>
      </c>
      <c r="Y9" s="52">
        <v>110.31513226078179</v>
      </c>
      <c r="Z9" s="55">
        <v>0</v>
      </c>
      <c r="AA9" s="53">
        <v>0</v>
      </c>
      <c r="AB9" s="52">
        <v>105.31</v>
      </c>
      <c r="AC9" s="52">
        <v>-2.36</v>
      </c>
      <c r="AD9" s="54" t="s">
        <v>140</v>
      </c>
    </row>
    <row r="10" spans="1:30" x14ac:dyDescent="0.25">
      <c r="A10" s="44">
        <v>45532</v>
      </c>
      <c r="B10" s="44">
        <v>45560</v>
      </c>
      <c r="C10" s="44">
        <v>45561</v>
      </c>
      <c r="D10" s="45">
        <v>25052.35</v>
      </c>
      <c r="E10" s="45">
        <v>26004.15</v>
      </c>
      <c r="F10" s="45">
        <v>951.8</v>
      </c>
      <c r="G10" s="46">
        <v>3.7992443822635405E-2</v>
      </c>
      <c r="H10" s="47" t="s">
        <v>138</v>
      </c>
      <c r="I10" s="47" t="s">
        <v>139</v>
      </c>
      <c r="J10" s="48">
        <v>65</v>
      </c>
      <c r="K10" s="45">
        <v>25161.599600000001</v>
      </c>
      <c r="L10" s="45">
        <v>25161.599999999999</v>
      </c>
      <c r="M10" s="45">
        <v>25998.199199999999</v>
      </c>
      <c r="N10" s="45">
        <v>25998.2</v>
      </c>
      <c r="O10" s="49">
        <v>-1.3734999999999999</v>
      </c>
      <c r="P10" s="49">
        <v>3.4430999999999998</v>
      </c>
      <c r="Q10" s="49">
        <v>-1.3734999999999999</v>
      </c>
      <c r="R10" s="49">
        <v>3.4430999999999998</v>
      </c>
      <c r="S10" s="49">
        <v>-1.3734999999999999</v>
      </c>
      <c r="T10" s="45">
        <v>836.6</v>
      </c>
      <c r="U10" s="46">
        <v>3.339407281153265E-2</v>
      </c>
      <c r="V10" s="58">
        <v>836.6</v>
      </c>
      <c r="W10" s="58">
        <v>3.3394072811532651</v>
      </c>
      <c r="X10" s="45">
        <v>113.9990038197122</v>
      </c>
      <c r="Y10" s="45">
        <v>113.9990038197122</v>
      </c>
      <c r="Z10" s="48">
        <v>0</v>
      </c>
      <c r="AA10" s="46">
        <v>0</v>
      </c>
      <c r="AB10" s="45">
        <v>108.8</v>
      </c>
      <c r="AC10" s="45">
        <v>-1.37</v>
      </c>
      <c r="AD10" s="47" t="s">
        <v>140</v>
      </c>
    </row>
    <row r="11" spans="1:30" x14ac:dyDescent="0.25">
      <c r="A11" s="51">
        <v>45560</v>
      </c>
      <c r="B11" s="51">
        <v>45595</v>
      </c>
      <c r="C11" s="51">
        <v>45596</v>
      </c>
      <c r="D11" s="52">
        <v>26004.15</v>
      </c>
      <c r="E11" s="52">
        <v>24340.85</v>
      </c>
      <c r="F11" s="52">
        <v>-1663.3</v>
      </c>
      <c r="G11" s="53">
        <v>-6.3962867465385334E-2</v>
      </c>
      <c r="H11" s="54" t="s">
        <v>138</v>
      </c>
      <c r="I11" s="54" t="s">
        <v>139</v>
      </c>
      <c r="J11" s="55">
        <v>65</v>
      </c>
      <c r="K11" s="52">
        <v>26126.699199999999</v>
      </c>
      <c r="L11" s="52">
        <v>26126.7</v>
      </c>
      <c r="M11" s="52">
        <v>24371.050800000001</v>
      </c>
      <c r="N11" s="52">
        <v>24371.05</v>
      </c>
      <c r="O11" s="56">
        <v>-7.8796999999999997</v>
      </c>
      <c r="P11" s="56">
        <v>1.0571999999999999</v>
      </c>
      <c r="Q11" s="56">
        <v>-7.8796999999999997</v>
      </c>
      <c r="R11" s="56">
        <v>1.0571999999999999</v>
      </c>
      <c r="S11" s="56">
        <v>-7.8796999999999997</v>
      </c>
      <c r="T11" s="52">
        <v>-1755.65</v>
      </c>
      <c r="U11" s="53">
        <v>-6.7514223691218511E-2</v>
      </c>
      <c r="V11" s="50">
        <v>-1755.65</v>
      </c>
      <c r="W11" s="50">
        <v>-6.7514223691218511</v>
      </c>
      <c r="X11" s="52">
        <v>106.30244957525208</v>
      </c>
      <c r="Y11" s="52">
        <v>113.9990038197122</v>
      </c>
      <c r="Z11" s="52">
        <v>-7.6965542444601169</v>
      </c>
      <c r="AA11" s="53">
        <v>-6.7514223691218456E-2</v>
      </c>
      <c r="AB11" s="52">
        <v>105.02</v>
      </c>
      <c r="AC11" s="52">
        <v>-7.88</v>
      </c>
      <c r="AD11" s="54" t="s">
        <v>140</v>
      </c>
    </row>
    <row r="12" spans="1:30" x14ac:dyDescent="0.25">
      <c r="A12" s="44">
        <v>45595</v>
      </c>
      <c r="B12" s="44">
        <v>45623</v>
      </c>
      <c r="C12" s="44">
        <v>45624</v>
      </c>
      <c r="D12" s="45">
        <v>24340.85</v>
      </c>
      <c r="E12" s="45">
        <v>24274.9</v>
      </c>
      <c r="F12" s="45">
        <v>-65.95</v>
      </c>
      <c r="G12" s="46">
        <v>-2.7094370163737095E-3</v>
      </c>
      <c r="H12" s="47" t="s">
        <v>138</v>
      </c>
      <c r="I12" s="47" t="s">
        <v>139</v>
      </c>
      <c r="J12" s="48">
        <v>65</v>
      </c>
      <c r="K12" s="45">
        <v>24506.5</v>
      </c>
      <c r="L12" s="45">
        <v>24506.5</v>
      </c>
      <c r="M12" s="45">
        <v>24299.550800000001</v>
      </c>
      <c r="N12" s="45">
        <v>24299.55</v>
      </c>
      <c r="O12" s="49">
        <v>-5.0170000000000003</v>
      </c>
      <c r="P12" s="49">
        <v>0.64680000000000004</v>
      </c>
      <c r="Q12" s="49">
        <v>-5.0170000000000003</v>
      </c>
      <c r="R12" s="49">
        <v>0.64680000000000004</v>
      </c>
      <c r="S12" s="49">
        <v>-5.0170000000000003</v>
      </c>
      <c r="T12" s="45">
        <v>-206.95</v>
      </c>
      <c r="U12" s="46">
        <v>-8.5021681658610931E-3</v>
      </c>
      <c r="V12" s="50">
        <v>-206.95</v>
      </c>
      <c r="W12" s="50">
        <v>-0.85021681658610926</v>
      </c>
      <c r="X12" s="45">
        <v>105.39864827252032</v>
      </c>
      <c r="Y12" s="45">
        <v>113.9990038197122</v>
      </c>
      <c r="Z12" s="45">
        <v>-8.6003555471918816</v>
      </c>
      <c r="AA12" s="46">
        <v>-7.5442374573669271E-2</v>
      </c>
      <c r="AB12" s="45">
        <v>100.97</v>
      </c>
      <c r="AC12" s="45">
        <v>-11.43</v>
      </c>
      <c r="AD12" s="47" t="s">
        <v>140</v>
      </c>
    </row>
    <row r="13" spans="1:30" x14ac:dyDescent="0.25">
      <c r="A13" s="51">
        <v>45623</v>
      </c>
      <c r="B13" s="51">
        <v>45650</v>
      </c>
      <c r="C13" s="51">
        <v>45652</v>
      </c>
      <c r="D13" s="52">
        <v>24274.9</v>
      </c>
      <c r="E13" s="52">
        <v>23727.65</v>
      </c>
      <c r="F13" s="52">
        <v>-547.25</v>
      </c>
      <c r="G13" s="53">
        <v>-2.2543862178628953E-2</v>
      </c>
      <c r="H13" s="54" t="s">
        <v>138</v>
      </c>
      <c r="I13" s="54" t="s">
        <v>139</v>
      </c>
      <c r="J13" s="55">
        <v>65</v>
      </c>
      <c r="K13" s="52">
        <v>24437.550800000001</v>
      </c>
      <c r="L13" s="52">
        <v>24437.55</v>
      </c>
      <c r="M13" s="52">
        <v>23770.599600000001</v>
      </c>
      <c r="N13" s="52">
        <v>23770.6</v>
      </c>
      <c r="O13" s="56">
        <v>-3.5295999999999998</v>
      </c>
      <c r="P13" s="56">
        <v>2.0150999999999999</v>
      </c>
      <c r="Q13" s="56">
        <v>-3.5295999999999998</v>
      </c>
      <c r="R13" s="56">
        <v>2.0150999999999999</v>
      </c>
      <c r="S13" s="56">
        <v>-3.5295999999999998</v>
      </c>
      <c r="T13" s="52">
        <v>-666.95</v>
      </c>
      <c r="U13" s="53">
        <v>-2.7474881461921574E-2</v>
      </c>
      <c r="V13" s="50">
        <v>-666.95</v>
      </c>
      <c r="W13" s="50">
        <v>-2.7474881461921572</v>
      </c>
      <c r="X13" s="52">
        <v>102.50283290498606</v>
      </c>
      <c r="Y13" s="52">
        <v>113.9990038197122</v>
      </c>
      <c r="Z13" s="52">
        <v>-11.496170914726136</v>
      </c>
      <c r="AA13" s="53">
        <v>-0.10084448573697334</v>
      </c>
      <c r="AB13" s="52">
        <v>101.68</v>
      </c>
      <c r="AC13" s="52">
        <v>-10.81</v>
      </c>
      <c r="AD13" s="54" t="s">
        <v>140</v>
      </c>
    </row>
    <row r="14" spans="1:30" x14ac:dyDescent="0.25">
      <c r="A14" s="44">
        <v>45650</v>
      </c>
      <c r="B14" s="44">
        <v>45686</v>
      </c>
      <c r="C14" s="44">
        <v>45687</v>
      </c>
      <c r="D14" s="45">
        <v>23727.65</v>
      </c>
      <c r="E14" s="45">
        <v>23163.1</v>
      </c>
      <c r="F14" s="45">
        <v>-564.54999999999995</v>
      </c>
      <c r="G14" s="46">
        <v>-2.3792916702665451E-2</v>
      </c>
      <c r="H14" s="47" t="s">
        <v>138</v>
      </c>
      <c r="I14" s="47" t="s">
        <v>139</v>
      </c>
      <c r="J14" s="48">
        <v>65</v>
      </c>
      <c r="K14" s="45">
        <v>23929.25</v>
      </c>
      <c r="L14" s="45">
        <v>23929.25</v>
      </c>
      <c r="M14" s="45">
        <v>23148.25</v>
      </c>
      <c r="N14" s="45">
        <v>23148.25</v>
      </c>
      <c r="O14" s="49">
        <v>-4.6814999999999998</v>
      </c>
      <c r="P14" s="49">
        <v>1.6079000000000001</v>
      </c>
      <c r="Q14" s="49">
        <v>-4.6814999999999998</v>
      </c>
      <c r="R14" s="49">
        <v>1.6079000000000001</v>
      </c>
      <c r="S14" s="49">
        <v>-4.6814999999999998</v>
      </c>
      <c r="T14" s="48">
        <v>-781</v>
      </c>
      <c r="U14" s="46">
        <v>-3.2915185448200726E-2</v>
      </c>
      <c r="V14" s="59">
        <v>-781</v>
      </c>
      <c r="W14" s="50">
        <v>-3.2915185448200726</v>
      </c>
      <c r="X14" s="45">
        <v>99.12893315095252</v>
      </c>
      <c r="Y14" s="45">
        <v>113.9990038197122</v>
      </c>
      <c r="Z14" s="45">
        <v>-14.870070668759681</v>
      </c>
      <c r="AA14" s="46">
        <v>-0.13044035623571312</v>
      </c>
      <c r="AB14" s="45">
        <v>97.7</v>
      </c>
      <c r="AC14" s="45">
        <v>-14.3</v>
      </c>
      <c r="AD14" s="47" t="s">
        <v>140</v>
      </c>
    </row>
    <row r="15" spans="1:30" x14ac:dyDescent="0.25">
      <c r="A15" s="51">
        <v>45686</v>
      </c>
      <c r="B15" s="51">
        <v>45713</v>
      </c>
      <c r="C15" s="51">
        <v>45715</v>
      </c>
      <c r="D15" s="52">
        <v>23163.1</v>
      </c>
      <c r="E15" s="52">
        <v>22547.55</v>
      </c>
      <c r="F15" s="52">
        <v>-615.54999999999995</v>
      </c>
      <c r="G15" s="53">
        <v>-2.6574594937637881E-2</v>
      </c>
      <c r="H15" s="54" t="s">
        <v>138</v>
      </c>
      <c r="I15" s="54" t="s">
        <v>139</v>
      </c>
      <c r="J15" s="55">
        <v>65</v>
      </c>
      <c r="K15" s="52">
        <v>23279.349600000001</v>
      </c>
      <c r="L15" s="52">
        <v>23279.35</v>
      </c>
      <c r="M15" s="52">
        <v>22582.150399999999</v>
      </c>
      <c r="N15" s="52">
        <v>22582.15</v>
      </c>
      <c r="O15" s="56">
        <v>-3.0844999999999998</v>
      </c>
      <c r="P15" s="56">
        <v>2.4676</v>
      </c>
      <c r="Q15" s="56">
        <v>-3.0844999999999998</v>
      </c>
      <c r="R15" s="56">
        <v>2.4676</v>
      </c>
      <c r="S15" s="56">
        <v>-3.0844999999999998</v>
      </c>
      <c r="T15" s="52">
        <v>-697.2</v>
      </c>
      <c r="U15" s="53">
        <v>-3.0099598067616168E-2</v>
      </c>
      <c r="V15" s="50">
        <v>-697.2</v>
      </c>
      <c r="W15" s="50">
        <v>-3.0099598067616169</v>
      </c>
      <c r="X15" s="52">
        <v>96.145192106237261</v>
      </c>
      <c r="Y15" s="52">
        <v>113.9990038197122</v>
      </c>
      <c r="Z15" s="52">
        <v>-17.85381171347494</v>
      </c>
      <c r="AA15" s="53">
        <v>-0.15661375200883762</v>
      </c>
      <c r="AB15" s="52">
        <v>96.07</v>
      </c>
      <c r="AC15" s="52">
        <v>-15.73</v>
      </c>
      <c r="AD15" s="54" t="s">
        <v>140</v>
      </c>
    </row>
    <row r="16" spans="1:30" x14ac:dyDescent="0.25">
      <c r="A16" s="44">
        <v>45713</v>
      </c>
      <c r="B16" s="44">
        <v>45742</v>
      </c>
      <c r="C16" s="44">
        <v>45743</v>
      </c>
      <c r="D16" s="45">
        <v>22547.55</v>
      </c>
      <c r="E16" s="45">
        <v>23486.85</v>
      </c>
      <c r="F16" s="45">
        <v>939.3</v>
      </c>
      <c r="G16" s="46">
        <v>4.1658628099283515E-2</v>
      </c>
      <c r="H16" s="47" t="s">
        <v>138</v>
      </c>
      <c r="I16" s="47" t="s">
        <v>139</v>
      </c>
      <c r="J16" s="48">
        <v>65</v>
      </c>
      <c r="K16" s="45">
        <v>22716.199199999999</v>
      </c>
      <c r="L16" s="45">
        <v>22716.2</v>
      </c>
      <c r="M16" s="45">
        <v>23521.900399999999</v>
      </c>
      <c r="N16" s="45">
        <v>23521.9</v>
      </c>
      <c r="O16" s="49">
        <v>-2.7082000000000002</v>
      </c>
      <c r="P16" s="49">
        <v>5.1844000000000001</v>
      </c>
      <c r="Q16" s="49">
        <v>-2.7082000000000002</v>
      </c>
      <c r="R16" s="49">
        <v>5.1844000000000001</v>
      </c>
      <c r="S16" s="49">
        <v>-2.7082000000000002</v>
      </c>
      <c r="T16" s="45">
        <v>805.7</v>
      </c>
      <c r="U16" s="46">
        <v>3.5733372361963944E-2</v>
      </c>
      <c r="V16" s="58">
        <v>805.7</v>
      </c>
      <c r="W16" s="58">
        <v>3.5733372361963944</v>
      </c>
      <c r="X16" s="45">
        <v>99.58078405658199</v>
      </c>
      <c r="Y16" s="45">
        <v>113.9990038197122</v>
      </c>
      <c r="Z16" s="45">
        <v>-14.41821976313021</v>
      </c>
      <c r="AA16" s="46">
        <v>-0.12647671716440978</v>
      </c>
      <c r="AB16" s="45">
        <v>93.54</v>
      </c>
      <c r="AC16" s="45">
        <v>-17.95</v>
      </c>
      <c r="AD16" s="47" t="s">
        <v>140</v>
      </c>
    </row>
    <row r="17" spans="1:30" x14ac:dyDescent="0.25">
      <c r="A17" s="51">
        <v>45742</v>
      </c>
      <c r="B17" s="51">
        <v>45770</v>
      </c>
      <c r="C17" s="51">
        <v>45771</v>
      </c>
      <c r="D17" s="52">
        <v>23486.85</v>
      </c>
      <c r="E17" s="52">
        <v>24328.95</v>
      </c>
      <c r="F17" s="52">
        <v>842.1</v>
      </c>
      <c r="G17" s="53">
        <v>3.5854105595258624E-2</v>
      </c>
      <c r="H17" s="54" t="s">
        <v>138</v>
      </c>
      <c r="I17" s="54" t="s">
        <v>139</v>
      </c>
      <c r="J17" s="55">
        <v>65</v>
      </c>
      <c r="K17" s="52">
        <v>23681.449199999999</v>
      </c>
      <c r="L17" s="52">
        <v>23681.45</v>
      </c>
      <c r="M17" s="52">
        <v>24312.699199999999</v>
      </c>
      <c r="N17" s="52">
        <v>24312.7</v>
      </c>
      <c r="O17" s="56">
        <v>-7.6914999999999996</v>
      </c>
      <c r="P17" s="56">
        <v>2.8307000000000002</v>
      </c>
      <c r="Q17" s="56">
        <v>-7.6914999999999996</v>
      </c>
      <c r="R17" s="56">
        <v>2.8307000000000002</v>
      </c>
      <c r="S17" s="56">
        <v>-7.6914999999999996</v>
      </c>
      <c r="T17" s="52">
        <v>631.25</v>
      </c>
      <c r="U17" s="53">
        <v>2.6876741666081234E-2</v>
      </c>
      <c r="V17" s="58">
        <v>631.25</v>
      </c>
      <c r="W17" s="58">
        <v>2.6876741666081236</v>
      </c>
      <c r="X17" s="52">
        <v>102.25719106457657</v>
      </c>
      <c r="Y17" s="52">
        <v>113.9990038197122</v>
      </c>
      <c r="Z17" s="52">
        <v>-11.741812755135626</v>
      </c>
      <c r="AA17" s="53">
        <v>-0.10299925755233033</v>
      </c>
      <c r="AB17" s="52">
        <v>91.92</v>
      </c>
      <c r="AC17" s="52">
        <v>-19.37</v>
      </c>
      <c r="AD17" s="54" t="s">
        <v>140</v>
      </c>
    </row>
    <row r="18" spans="1:30" x14ac:dyDescent="0.25">
      <c r="A18" s="44">
        <v>45770</v>
      </c>
      <c r="B18" s="44">
        <v>45805</v>
      </c>
      <c r="C18" s="44">
        <v>45806</v>
      </c>
      <c r="D18" s="45">
        <v>24328.95</v>
      </c>
      <c r="E18" s="45">
        <v>24752.45</v>
      </c>
      <c r="F18" s="45">
        <v>423.5</v>
      </c>
      <c r="G18" s="46">
        <v>1.7407245277745238E-2</v>
      </c>
      <c r="H18" s="47" t="s">
        <v>138</v>
      </c>
      <c r="I18" s="47" t="s">
        <v>139</v>
      </c>
      <c r="J18" s="48">
        <v>65</v>
      </c>
      <c r="K18" s="45">
        <v>24448.699199999999</v>
      </c>
      <c r="L18" s="45">
        <v>24448.7</v>
      </c>
      <c r="M18" s="45">
        <v>24762.5</v>
      </c>
      <c r="N18" s="45">
        <v>24762.5</v>
      </c>
      <c r="O18" s="49">
        <v>-1.9375</v>
      </c>
      <c r="P18" s="49">
        <v>2.8643999999999998</v>
      </c>
      <c r="Q18" s="49">
        <v>-1.9375</v>
      </c>
      <c r="R18" s="49">
        <v>2.8643999999999998</v>
      </c>
      <c r="S18" s="49">
        <v>-1.9375</v>
      </c>
      <c r="T18" s="45">
        <v>313.8</v>
      </c>
      <c r="U18" s="46">
        <v>1.2898213856331654E-2</v>
      </c>
      <c r="V18" s="58">
        <v>313.8</v>
      </c>
      <c r="W18" s="58">
        <v>1.2898213856331653</v>
      </c>
      <c r="X18" s="45">
        <v>103.57612618327525</v>
      </c>
      <c r="Y18" s="45">
        <v>113.9990038197122</v>
      </c>
      <c r="Z18" s="45">
        <v>-10.422877636436951</v>
      </c>
      <c r="AA18" s="46">
        <v>-9.1429550146952018E-2</v>
      </c>
      <c r="AB18" s="45">
        <v>100.28</v>
      </c>
      <c r="AC18" s="45">
        <v>-12.03</v>
      </c>
      <c r="AD18" s="47" t="s">
        <v>140</v>
      </c>
    </row>
    <row r="19" spans="1:30" x14ac:dyDescent="0.25">
      <c r="A19" s="51">
        <v>45805</v>
      </c>
      <c r="B19" s="51">
        <v>45833</v>
      </c>
      <c r="C19" s="51">
        <v>45834</v>
      </c>
      <c r="D19" s="52">
        <v>24752.45</v>
      </c>
      <c r="E19" s="52">
        <v>25244.75</v>
      </c>
      <c r="F19" s="52">
        <v>492.3</v>
      </c>
      <c r="G19" s="53">
        <v>1.9888940286719094E-2</v>
      </c>
      <c r="H19" s="54" t="s">
        <v>138</v>
      </c>
      <c r="I19" s="54" t="s">
        <v>139</v>
      </c>
      <c r="J19" s="55">
        <v>65</v>
      </c>
      <c r="K19" s="52">
        <v>24860.699199999999</v>
      </c>
      <c r="L19" s="52">
        <v>24860.7</v>
      </c>
      <c r="M19" s="52">
        <v>25252.199199999999</v>
      </c>
      <c r="N19" s="52">
        <v>25252.2</v>
      </c>
      <c r="O19" s="56">
        <v>-1.1479999999999999</v>
      </c>
      <c r="P19" s="56">
        <v>1.9641</v>
      </c>
      <c r="Q19" s="56">
        <v>-1.1479999999999999</v>
      </c>
      <c r="R19" s="56">
        <v>1.9641</v>
      </c>
      <c r="S19" s="56">
        <v>-1.1479999999999999</v>
      </c>
      <c r="T19" s="52">
        <v>391.5</v>
      </c>
      <c r="U19" s="53">
        <v>1.5816616132948456E-2</v>
      </c>
      <c r="V19" s="58">
        <v>391.5</v>
      </c>
      <c r="W19" s="58">
        <v>1.5816616132948456</v>
      </c>
      <c r="X19" s="52">
        <v>105.21435001165395</v>
      </c>
      <c r="Y19" s="52">
        <v>113.9990038197122</v>
      </c>
      <c r="Z19" s="52">
        <v>-8.7846538080582519</v>
      </c>
      <c r="AA19" s="53">
        <v>-7.7059040111886037E-2</v>
      </c>
      <c r="AB19" s="52">
        <v>102.39</v>
      </c>
      <c r="AC19" s="52">
        <v>-10.18</v>
      </c>
      <c r="AD19" s="54" t="s">
        <v>140</v>
      </c>
    </row>
    <row r="20" spans="1:30" x14ac:dyDescent="0.25">
      <c r="A20" s="44">
        <v>45833</v>
      </c>
      <c r="B20" s="44">
        <v>45868</v>
      </c>
      <c r="C20" s="44">
        <v>45869</v>
      </c>
      <c r="D20" s="45">
        <v>25244.75</v>
      </c>
      <c r="E20" s="45">
        <v>24855.05</v>
      </c>
      <c r="F20" s="45">
        <v>-389.7</v>
      </c>
      <c r="G20" s="46">
        <v>-1.5436873013200764E-2</v>
      </c>
      <c r="H20" s="47" t="s">
        <v>138</v>
      </c>
      <c r="I20" s="47" t="s">
        <v>139</v>
      </c>
      <c r="J20" s="48">
        <v>65</v>
      </c>
      <c r="K20" s="45">
        <v>25350.199199999999</v>
      </c>
      <c r="L20" s="45">
        <v>25350.2</v>
      </c>
      <c r="M20" s="45">
        <v>24869.300800000001</v>
      </c>
      <c r="N20" s="45">
        <v>24869.3</v>
      </c>
      <c r="O20" s="49">
        <v>-2.8410000000000002</v>
      </c>
      <c r="P20" s="49">
        <v>1.7444</v>
      </c>
      <c r="Q20" s="49">
        <v>-2.8410000000000002</v>
      </c>
      <c r="R20" s="49">
        <v>1.7444</v>
      </c>
      <c r="S20" s="49">
        <v>-2.8410000000000002</v>
      </c>
      <c r="T20" s="45">
        <v>-480.9</v>
      </c>
      <c r="U20" s="46">
        <v>-1.9049505342695016E-2</v>
      </c>
      <c r="V20" s="50">
        <v>-480.9</v>
      </c>
      <c r="W20" s="50">
        <v>-1.9049505342695017</v>
      </c>
      <c r="X20" s="45">
        <v>103.21006868897877</v>
      </c>
      <c r="Y20" s="45">
        <v>113.9990038197122</v>
      </c>
      <c r="Z20" s="45">
        <v>-10.788935130733435</v>
      </c>
      <c r="AA20" s="46">
        <v>-9.4640608858266709E-2</v>
      </c>
      <c r="AB20" s="45">
        <v>102.23</v>
      </c>
      <c r="AC20" s="45">
        <v>-10.32</v>
      </c>
      <c r="AD20" s="47" t="s">
        <v>140</v>
      </c>
    </row>
    <row r="21" spans="1:30" x14ac:dyDescent="0.25">
      <c r="A21" s="51">
        <v>45868</v>
      </c>
      <c r="B21" s="51">
        <v>45895</v>
      </c>
      <c r="C21" s="51">
        <v>45897</v>
      </c>
      <c r="D21" s="52">
        <v>24855.05</v>
      </c>
      <c r="E21" s="52">
        <v>24712.05</v>
      </c>
      <c r="F21" s="55">
        <v>-143</v>
      </c>
      <c r="G21" s="53">
        <v>-5.7533579695072026E-3</v>
      </c>
      <c r="H21" s="54" t="s">
        <v>138</v>
      </c>
      <c r="I21" s="54" t="s">
        <v>139</v>
      </c>
      <c r="J21" s="55">
        <v>65</v>
      </c>
      <c r="K21" s="52">
        <v>24959.099600000001</v>
      </c>
      <c r="L21" s="52">
        <v>24959.1</v>
      </c>
      <c r="M21" s="52">
        <v>24731.5</v>
      </c>
      <c r="N21" s="52">
        <v>24731.5</v>
      </c>
      <c r="O21" s="56">
        <v>-2.2040000000000002</v>
      </c>
      <c r="P21" s="56">
        <v>0.88100000000000001</v>
      </c>
      <c r="Q21" s="56">
        <v>-2.2040000000000002</v>
      </c>
      <c r="R21" s="56">
        <v>0.88100000000000001</v>
      </c>
      <c r="S21" s="56">
        <v>-2.2040000000000002</v>
      </c>
      <c r="T21" s="52">
        <v>-227.6</v>
      </c>
      <c r="U21" s="53">
        <v>-9.1570928241946816E-3</v>
      </c>
      <c r="V21" s="50">
        <v>-227.6</v>
      </c>
      <c r="W21" s="50">
        <v>-0.91570928241946814</v>
      </c>
      <c r="X21" s="52">
        <v>102.26496450960228</v>
      </c>
      <c r="Y21" s="52">
        <v>113.9990038197122</v>
      </c>
      <c r="Z21" s="52">
        <v>-11.734039310109921</v>
      </c>
      <c r="AA21" s="53">
        <v>-0.10293106884220793</v>
      </c>
      <c r="AB21" s="52">
        <v>100.94</v>
      </c>
      <c r="AC21" s="52">
        <v>-11.46</v>
      </c>
      <c r="AD21" s="54" t="s">
        <v>140</v>
      </c>
    </row>
    <row r="22" spans="1:30" x14ac:dyDescent="0.25">
      <c r="A22" s="44">
        <v>45895</v>
      </c>
      <c r="B22" s="44">
        <v>45929</v>
      </c>
      <c r="C22" s="44">
        <v>45930</v>
      </c>
      <c r="D22" s="45">
        <v>24712.05</v>
      </c>
      <c r="E22" s="45">
        <v>24634.9</v>
      </c>
      <c r="F22" s="45">
        <v>-77.150000000000006</v>
      </c>
      <c r="G22" s="46">
        <v>-3.1219587205432173E-3</v>
      </c>
      <c r="H22" s="47" t="s">
        <v>138</v>
      </c>
      <c r="I22" s="47" t="s">
        <v>139</v>
      </c>
      <c r="J22" s="48">
        <v>65</v>
      </c>
      <c r="K22" s="45">
        <v>24857.5</v>
      </c>
      <c r="L22" s="45">
        <v>24857.5</v>
      </c>
      <c r="M22" s="48">
        <v>24685</v>
      </c>
      <c r="N22" s="48">
        <v>24685</v>
      </c>
      <c r="O22" s="49">
        <v>-1.2531000000000001</v>
      </c>
      <c r="P22" s="49">
        <v>2.6852999999999998</v>
      </c>
      <c r="Q22" s="49">
        <v>-1.2531000000000001</v>
      </c>
      <c r="R22" s="49">
        <v>2.6852999999999998</v>
      </c>
      <c r="S22" s="49">
        <v>-1.2531000000000001</v>
      </c>
      <c r="T22" s="45">
        <v>-172.5</v>
      </c>
      <c r="U22" s="46">
        <v>-6.9804002500804263E-3</v>
      </c>
      <c r="V22" s="50">
        <v>-172.5</v>
      </c>
      <c r="W22" s="50">
        <v>-0.69804002500804263</v>
      </c>
      <c r="X22" s="45">
        <v>101.55111412576498</v>
      </c>
      <c r="Y22" s="45">
        <v>113.9990038197122</v>
      </c>
      <c r="Z22" s="45">
        <v>-12.447889693947218</v>
      </c>
      <c r="AA22" s="46">
        <v>-0.10919296903360119</v>
      </c>
      <c r="AB22" s="45">
        <v>100.98</v>
      </c>
      <c r="AC22" s="45">
        <v>-11.42</v>
      </c>
      <c r="AD22" s="47" t="s">
        <v>140</v>
      </c>
    </row>
    <row r="23" spans="1:30" x14ac:dyDescent="0.25">
      <c r="A23" s="51">
        <v>45929</v>
      </c>
      <c r="B23" s="51">
        <v>45957</v>
      </c>
      <c r="C23" s="51">
        <v>45958</v>
      </c>
      <c r="D23" s="52">
        <v>24634.9</v>
      </c>
      <c r="E23" s="52">
        <v>25966.05</v>
      </c>
      <c r="F23" s="52">
        <v>1331.15</v>
      </c>
      <c r="G23" s="53">
        <v>5.4035129024270448E-2</v>
      </c>
      <c r="H23" s="54" t="s">
        <v>138</v>
      </c>
      <c r="I23" s="54" t="s">
        <v>139</v>
      </c>
      <c r="J23" s="55">
        <v>65</v>
      </c>
      <c r="K23" s="52">
        <v>24809.199199999999</v>
      </c>
      <c r="L23" s="52">
        <v>24809.200000000001</v>
      </c>
      <c r="M23" s="52">
        <v>26013.5</v>
      </c>
      <c r="N23" s="52">
        <v>26013.5</v>
      </c>
      <c r="O23" s="56">
        <v>-0.33939999999999998</v>
      </c>
      <c r="P23" s="56">
        <v>5.6261000000000001</v>
      </c>
      <c r="Q23" s="56">
        <v>-0.33939999999999998</v>
      </c>
      <c r="R23" s="56">
        <v>5.6261000000000001</v>
      </c>
      <c r="S23" s="56">
        <v>-0.33939999999999998</v>
      </c>
      <c r="T23" s="52">
        <v>1204.3</v>
      </c>
      <c r="U23" s="53">
        <v>4.8885930123523942E-2</v>
      </c>
      <c r="V23" s="58">
        <v>1204.3</v>
      </c>
      <c r="W23" s="58">
        <v>4.888593012352394</v>
      </c>
      <c r="X23" s="52">
        <v>106.51553479488315</v>
      </c>
      <c r="Y23" s="52">
        <v>113.9990038197122</v>
      </c>
      <c r="Z23" s="52">
        <v>-7.4834690248290485</v>
      </c>
      <c r="AA23" s="53">
        <v>-6.5645038764233832E-2</v>
      </c>
      <c r="AB23" s="52">
        <v>101.21</v>
      </c>
      <c r="AC23" s="52">
        <v>-11.22</v>
      </c>
      <c r="AD23" s="54" t="s">
        <v>140</v>
      </c>
    </row>
    <row r="24" spans="1:30" x14ac:dyDescent="0.25">
      <c r="A24" s="44">
        <v>45957</v>
      </c>
      <c r="B24" s="44">
        <v>45985</v>
      </c>
      <c r="C24" s="44">
        <v>45986</v>
      </c>
      <c r="D24" s="45">
        <v>25966.05</v>
      </c>
      <c r="E24" s="45">
        <v>25959.5</v>
      </c>
      <c r="F24" s="45">
        <v>-6.55</v>
      </c>
      <c r="G24" s="46">
        <v>-2.5225246042428481E-4</v>
      </c>
      <c r="H24" s="47" t="s">
        <v>138</v>
      </c>
      <c r="I24" s="47" t="s">
        <v>139</v>
      </c>
      <c r="J24" s="48">
        <v>65</v>
      </c>
      <c r="K24" s="45">
        <v>26168.400399999999</v>
      </c>
      <c r="L24" s="45">
        <v>26168.400000000001</v>
      </c>
      <c r="M24" s="45">
        <v>25996.400399999999</v>
      </c>
      <c r="N24" s="45">
        <v>25996.400000000001</v>
      </c>
      <c r="O24" s="49">
        <v>-2.8290000000000002</v>
      </c>
      <c r="P24" s="49">
        <v>0.44519999999999998</v>
      </c>
      <c r="Q24" s="49">
        <v>-2.8290000000000002</v>
      </c>
      <c r="R24" s="49">
        <v>0.44519999999999998</v>
      </c>
      <c r="S24" s="49">
        <v>-2.8290000000000002</v>
      </c>
      <c r="T24" s="48">
        <v>-172</v>
      </c>
      <c r="U24" s="46">
        <v>-6.6240340752636616E-3</v>
      </c>
      <c r="V24" s="59">
        <v>-172</v>
      </c>
      <c r="W24" s="50">
        <v>-0.66240340752636617</v>
      </c>
      <c r="X24" s="45">
        <v>105.80997226285692</v>
      </c>
      <c r="Y24" s="45">
        <v>113.9990038197122</v>
      </c>
      <c r="Z24" s="45">
        <v>-8.1890315568552836</v>
      </c>
      <c r="AA24" s="46">
        <v>-7.1834237865851178E-2</v>
      </c>
      <c r="AB24" s="45">
        <v>103.5</v>
      </c>
      <c r="AC24" s="45">
        <v>-9.2100000000000009</v>
      </c>
      <c r="AD24" s="47" t="s">
        <v>140</v>
      </c>
    </row>
    <row r="25" spans="1:30" x14ac:dyDescent="0.25">
      <c r="A25" s="51">
        <v>45985</v>
      </c>
      <c r="B25" s="51">
        <v>46020</v>
      </c>
      <c r="C25" s="51">
        <v>46021</v>
      </c>
      <c r="D25" s="52">
        <v>25959.5</v>
      </c>
      <c r="E25" s="52">
        <v>25942.1</v>
      </c>
      <c r="F25" s="52">
        <v>-17.399999999999999</v>
      </c>
      <c r="G25" s="53">
        <v>-6.7027485121053945E-4</v>
      </c>
      <c r="H25" s="54" t="s">
        <v>138</v>
      </c>
      <c r="I25" s="54" t="s">
        <v>139</v>
      </c>
      <c r="J25" s="55">
        <v>65</v>
      </c>
      <c r="K25" s="52">
        <v>26170.699199999999</v>
      </c>
      <c r="L25" s="52">
        <v>26170.7</v>
      </c>
      <c r="M25" s="52">
        <v>25957.199199999999</v>
      </c>
      <c r="N25" s="52">
        <v>25957.200000000001</v>
      </c>
      <c r="O25" s="56">
        <v>-1.4126000000000001</v>
      </c>
      <c r="P25" s="56">
        <v>1.2415</v>
      </c>
      <c r="Q25" s="56">
        <v>-1.4126000000000001</v>
      </c>
      <c r="R25" s="56">
        <v>1.2415</v>
      </c>
      <c r="S25" s="56">
        <v>-1.4126000000000001</v>
      </c>
      <c r="T25" s="52">
        <v>-213.5</v>
      </c>
      <c r="U25" s="53">
        <v>-8.2243494674396657E-3</v>
      </c>
      <c r="V25" s="50">
        <v>-213.5</v>
      </c>
      <c r="W25" s="50">
        <v>-0.82243494674396656</v>
      </c>
      <c r="X25" s="52">
        <v>104.93975407382709</v>
      </c>
      <c r="Y25" s="52">
        <v>113.9990038197122</v>
      </c>
      <c r="Z25" s="52">
        <v>-9.0592497458851113</v>
      </c>
      <c r="AA25" s="53">
        <v>-7.9467797457354855E-2</v>
      </c>
      <c r="AB25" s="52">
        <v>104.32</v>
      </c>
      <c r="AC25" s="52">
        <v>-8.49</v>
      </c>
      <c r="AD25" s="54" t="s">
        <v>140</v>
      </c>
    </row>
    <row r="26" spans="1:30" x14ac:dyDescent="0.25">
      <c r="A26" s="44">
        <v>46020</v>
      </c>
      <c r="B26" s="44">
        <v>46045</v>
      </c>
      <c r="C26" s="44">
        <v>46049</v>
      </c>
      <c r="D26" s="45">
        <v>25942.1</v>
      </c>
      <c r="E26" s="45">
        <v>25048.65</v>
      </c>
      <c r="F26" s="45">
        <v>-893.45</v>
      </c>
      <c r="G26" s="46">
        <v>-3.4440157119122974E-2</v>
      </c>
      <c r="H26" s="47" t="s">
        <v>138</v>
      </c>
      <c r="I26" s="47" t="s">
        <v>139</v>
      </c>
      <c r="J26" s="48">
        <v>65</v>
      </c>
      <c r="K26" s="45">
        <v>26121.300800000001</v>
      </c>
      <c r="L26" s="45">
        <v>26121.3</v>
      </c>
      <c r="M26" s="45">
        <v>25079.800800000001</v>
      </c>
      <c r="N26" s="45">
        <v>25079.8</v>
      </c>
      <c r="O26" s="49">
        <v>-4.4420000000000002</v>
      </c>
      <c r="P26" s="49">
        <v>1.4881</v>
      </c>
      <c r="Q26" s="49">
        <v>-4.4420000000000002</v>
      </c>
      <c r="R26" s="49">
        <v>1.4881</v>
      </c>
      <c r="S26" s="49">
        <v>-4.4420000000000002</v>
      </c>
      <c r="T26" s="45">
        <v>-1041.5</v>
      </c>
      <c r="U26" s="46">
        <v>-4.0147096804036685E-2</v>
      </c>
      <c r="V26" s="50">
        <v>-1041.5</v>
      </c>
      <c r="W26" s="50">
        <v>-4.0147096804036684</v>
      </c>
      <c r="X26" s="45">
        <v>100.72672760843335</v>
      </c>
      <c r="Y26" s="45">
        <v>113.9990038197122</v>
      </c>
      <c r="Z26" s="45">
        <v>-13.27227621127885</v>
      </c>
      <c r="AA26" s="46">
        <v>-0.11642449290406753</v>
      </c>
      <c r="AB26" s="45">
        <v>100.28</v>
      </c>
      <c r="AC26" s="45">
        <v>-12.03</v>
      </c>
      <c r="AD26" s="47" t="s">
        <v>140</v>
      </c>
    </row>
    <row r="27" spans="1:30" x14ac:dyDescent="0.25">
      <c r="A27" s="51">
        <v>46045</v>
      </c>
      <c r="B27" s="51">
        <v>46076</v>
      </c>
      <c r="C27" s="51">
        <v>46077</v>
      </c>
      <c r="D27" s="52">
        <v>25048.65</v>
      </c>
      <c r="E27" s="55">
        <v>25713</v>
      </c>
      <c r="F27" s="52">
        <v>664.35</v>
      </c>
      <c r="G27" s="53">
        <v>2.6522387434053333E-2</v>
      </c>
      <c r="H27" s="54" t="s">
        <v>138</v>
      </c>
      <c r="I27" s="54" t="s">
        <v>139</v>
      </c>
      <c r="J27" s="55">
        <v>65</v>
      </c>
      <c r="K27" s="52">
        <v>25202.599600000001</v>
      </c>
      <c r="L27" s="52">
        <v>25202.6</v>
      </c>
      <c r="M27" s="52">
        <v>25705.199199999999</v>
      </c>
      <c r="N27" s="52">
        <v>25705.200000000001</v>
      </c>
      <c r="O27" s="56">
        <v>-2.2486000000000002</v>
      </c>
      <c r="P27" s="56">
        <v>4.4337</v>
      </c>
      <c r="Q27" s="56">
        <v>-2.2486000000000002</v>
      </c>
      <c r="R27" s="56">
        <v>4.4337</v>
      </c>
      <c r="S27" s="56">
        <v>-2.2486000000000002</v>
      </c>
      <c r="T27" s="52">
        <v>502.6</v>
      </c>
      <c r="U27" s="53">
        <v>2.0064953600293828E-2</v>
      </c>
      <c r="V27" s="58">
        <v>502.6</v>
      </c>
      <c r="W27" s="58">
        <v>2.0064953600293829</v>
      </c>
      <c r="X27" s="52">
        <v>102.74780472420601</v>
      </c>
      <c r="Y27" s="52">
        <v>113.9990038197122</v>
      </c>
      <c r="Z27" s="52">
        <v>-11.251199095506195</v>
      </c>
      <c r="AA27" s="53">
        <v>-9.8695591351831508E-2</v>
      </c>
      <c r="AB27" s="52">
        <v>98.46</v>
      </c>
      <c r="AC27" s="52">
        <v>-13.63</v>
      </c>
      <c r="AD27" s="54" t="s">
        <v>140</v>
      </c>
    </row>
    <row r="28" spans="1:30" x14ac:dyDescent="0.25">
      <c r="A28" s="44">
        <v>46076</v>
      </c>
      <c r="B28" s="44">
        <v>46108</v>
      </c>
      <c r="C28" s="44">
        <v>46111</v>
      </c>
      <c r="D28" s="48">
        <v>25713</v>
      </c>
      <c r="E28" s="45">
        <v>22819.599999999999</v>
      </c>
      <c r="F28" s="45">
        <v>-2893.4</v>
      </c>
      <c r="G28" s="46">
        <v>-0.11252673744798351</v>
      </c>
      <c r="H28" s="47" t="s">
        <v>138</v>
      </c>
      <c r="I28" s="47" t="s">
        <v>139</v>
      </c>
      <c r="J28" s="48">
        <v>65</v>
      </c>
      <c r="K28" s="45">
        <v>25859.699199999999</v>
      </c>
      <c r="L28" s="45">
        <v>25859.7</v>
      </c>
      <c r="M28" s="45">
        <v>22816.599600000001</v>
      </c>
      <c r="N28" s="45">
        <v>22816.6</v>
      </c>
      <c r="O28" s="49">
        <v>-13.104200000000001</v>
      </c>
      <c r="P28" s="49">
        <v>-0.16200000000000001</v>
      </c>
      <c r="Q28" s="49">
        <v>-13.104200000000001</v>
      </c>
      <c r="R28" s="49">
        <v>-0.16200000000000001</v>
      </c>
      <c r="S28" s="49">
        <v>-13.104200000000001</v>
      </c>
      <c r="T28" s="45">
        <v>-3043.1</v>
      </c>
      <c r="U28" s="46">
        <v>-0.11834869521253841</v>
      </c>
      <c r="V28" s="50">
        <v>-3043.1</v>
      </c>
      <c r="W28" s="50">
        <v>-11.834869521253841</v>
      </c>
      <c r="X28" s="45">
        <v>90.587736099143527</v>
      </c>
      <c r="Y28" s="45">
        <v>113.9990038197122</v>
      </c>
      <c r="Z28" s="45">
        <v>-23.411267720568674</v>
      </c>
      <c r="AA28" s="46">
        <v>-0.20536379210465083</v>
      </c>
      <c r="AB28" s="45">
        <v>89.28</v>
      </c>
      <c r="AC28" s="45">
        <v>-21.68</v>
      </c>
      <c r="AD28" s="47" t="s">
        <v>140</v>
      </c>
    </row>
    <row r="29" spans="1:30" x14ac:dyDescent="0.25">
      <c r="A29" s="51">
        <v>46108</v>
      </c>
      <c r="B29" s="51">
        <v>46139</v>
      </c>
      <c r="C29" s="51">
        <v>46140</v>
      </c>
      <c r="D29" s="52">
        <v>22819.599999999999</v>
      </c>
      <c r="E29" s="52">
        <v>24092.7</v>
      </c>
      <c r="F29" s="52">
        <v>1273.0999999999999</v>
      </c>
      <c r="G29" s="53">
        <v>5.5789759680274852E-2</v>
      </c>
      <c r="H29" s="54" t="s">
        <v>138</v>
      </c>
      <c r="I29" s="54" t="s">
        <v>139</v>
      </c>
      <c r="J29" s="55">
        <v>65</v>
      </c>
      <c r="K29" s="52">
        <v>22908.699199999999</v>
      </c>
      <c r="L29" s="52">
        <v>22908.7</v>
      </c>
      <c r="M29" s="52">
        <v>24120.099600000001</v>
      </c>
      <c r="N29" s="52">
        <v>24120.1</v>
      </c>
      <c r="O29" s="56">
        <v>-2.7587999999999999</v>
      </c>
      <c r="P29" s="56">
        <v>7.4001999999999999</v>
      </c>
      <c r="Q29" s="56">
        <v>-2.7587999999999999</v>
      </c>
      <c r="R29" s="56">
        <v>7.4001999999999999</v>
      </c>
      <c r="S29" s="56">
        <v>-2.7587999999999999</v>
      </c>
      <c r="T29" s="52">
        <v>1211.4000000000001</v>
      </c>
      <c r="U29" s="53">
        <v>5.3085943662465607E-2</v>
      </c>
      <c r="V29" s="58">
        <v>1211.4000000000001</v>
      </c>
      <c r="W29" s="58">
        <v>5.3085943662465604</v>
      </c>
      <c r="X29" s="52">
        <v>95.396671554212958</v>
      </c>
      <c r="Y29" s="52">
        <v>113.9990038197122</v>
      </c>
      <c r="Z29" s="52">
        <v>-18.602332265499243</v>
      </c>
      <c r="AA29" s="53">
        <v>-0.16317977914016307</v>
      </c>
      <c r="AB29" s="52">
        <v>88.09</v>
      </c>
      <c r="AC29" s="52">
        <v>-22.73</v>
      </c>
      <c r="AD29" s="54" t="s">
        <v>140</v>
      </c>
    </row>
    <row r="30" spans="1:30" x14ac:dyDescent="0.25">
      <c r="A30" s="44">
        <v>46139</v>
      </c>
      <c r="B30" s="44">
        <v>46167</v>
      </c>
      <c r="C30" s="44">
        <v>46168</v>
      </c>
      <c r="D30" s="45">
        <v>24092.7</v>
      </c>
      <c r="E30" s="45">
        <v>24031.7</v>
      </c>
      <c r="F30" s="48">
        <v>-61</v>
      </c>
      <c r="G30" s="46">
        <v>-2.5318872521552169E-3</v>
      </c>
      <c r="H30" s="47" t="s">
        <v>138</v>
      </c>
      <c r="I30" s="47" t="s">
        <v>139</v>
      </c>
      <c r="J30" s="48">
        <v>65</v>
      </c>
      <c r="K30" s="45">
        <v>24209.699199999999</v>
      </c>
      <c r="L30" s="45">
        <v>24209.7</v>
      </c>
      <c r="M30" s="48">
        <v>24063</v>
      </c>
      <c r="N30" s="48">
        <v>24063</v>
      </c>
      <c r="O30" s="49">
        <v>-3.6749999999999998</v>
      </c>
      <c r="P30" s="49">
        <v>1.3436999999999999</v>
      </c>
      <c r="Q30" s="49">
        <v>-3.6749999999999998</v>
      </c>
      <c r="R30" s="49">
        <v>1.3436999999999999</v>
      </c>
      <c r="S30" s="49">
        <v>-3.6749999999999998</v>
      </c>
      <c r="T30" s="45">
        <v>-146.69999999999999</v>
      </c>
      <c r="U30" s="46">
        <v>-6.0889813096913162E-3</v>
      </c>
      <c r="V30" s="50">
        <v>-146.69999999999999</v>
      </c>
      <c r="W30" s="50">
        <v>-0.60889813096913159</v>
      </c>
      <c r="X30" s="45">
        <v>94.815803004112595</v>
      </c>
      <c r="Y30" s="45">
        <v>113.9990038197122</v>
      </c>
      <c r="Z30" s="45">
        <v>-19.183200815599605</v>
      </c>
      <c r="AA30" s="46">
        <v>-0.16827516182455035</v>
      </c>
      <c r="AB30" s="45">
        <v>91.89</v>
      </c>
      <c r="AC30" s="45">
        <v>-19.39</v>
      </c>
      <c r="AD30" s="47" t="s">
        <v>140</v>
      </c>
    </row>
    <row r="31" spans="1:30" x14ac:dyDescent="0.25">
      <c r="A31" s="51">
        <v>46167</v>
      </c>
      <c r="B31" s="51">
        <v>46202</v>
      </c>
      <c r="C31" s="51">
        <v>46203</v>
      </c>
      <c r="D31" s="52">
        <v>24031.7</v>
      </c>
      <c r="E31" s="52">
        <v>23946.25</v>
      </c>
      <c r="F31" s="52">
        <v>-85.45</v>
      </c>
      <c r="G31" s="53">
        <v>-3.5557201529646258E-3</v>
      </c>
      <c r="H31" s="54" t="s">
        <v>138</v>
      </c>
      <c r="I31" s="54" t="s">
        <v>139</v>
      </c>
      <c r="J31" s="55">
        <v>65</v>
      </c>
      <c r="K31" s="52">
        <v>24106.400399999999</v>
      </c>
      <c r="L31" s="52">
        <v>24106.400000000001</v>
      </c>
      <c r="M31" s="52">
        <v>23972.900399999999</v>
      </c>
      <c r="N31" s="52">
        <v>23972.9</v>
      </c>
      <c r="O31" s="56">
        <v>-4.1540999999999997</v>
      </c>
      <c r="P31" s="56">
        <v>0.71970000000000001</v>
      </c>
      <c r="Q31" s="56">
        <v>-4.1540999999999997</v>
      </c>
      <c r="R31" s="56">
        <v>0.71970000000000001</v>
      </c>
      <c r="S31" s="56">
        <v>-4.1540999999999997</v>
      </c>
      <c r="T31" s="52">
        <v>-133.5</v>
      </c>
      <c r="U31" s="53">
        <v>-5.5551625561237866E-3</v>
      </c>
      <c r="V31" s="50">
        <v>-133.5</v>
      </c>
      <c r="W31" s="50">
        <v>-0.55551625561237861</v>
      </c>
      <c r="X31" s="52">
        <v>94.289085805535336</v>
      </c>
      <c r="Y31" s="52">
        <v>113.9990038197122</v>
      </c>
      <c r="Z31" s="52">
        <v>-19.709918014176864</v>
      </c>
      <c r="AA31" s="53">
        <v>-0.17289552850258078</v>
      </c>
      <c r="AB31" s="52">
        <v>90.88</v>
      </c>
      <c r="AC31" s="52">
        <v>-20.28</v>
      </c>
      <c r="AD31" s="54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showGridLines="0" tabSelected="1" zoomScaleNormal="10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1" max="1" width="21.85546875" bestFit="1" customWidth="1"/>
    <col min="2" max="2" width="17.5703125" bestFit="1" customWidth="1"/>
    <col min="3" max="3" width="20.5703125" customWidth="1"/>
    <col min="4" max="4" width="31.42578125" bestFit="1" customWidth="1"/>
    <col min="5" max="5" width="6.85546875" style="35" customWidth="1"/>
    <col min="6" max="6" width="17.5703125" bestFit="1" customWidth="1"/>
    <col min="7" max="7" width="21.140625" bestFit="1" customWidth="1"/>
    <col min="8" max="8" width="31.42578125" bestFit="1" customWidth="1"/>
    <col min="9" max="9" width="21.140625" customWidth="1"/>
    <col min="10" max="10" width="11.140625" customWidth="1"/>
    <col min="11" max="11" width="10.7109375" customWidth="1"/>
  </cols>
  <sheetData>
    <row r="1" spans="1:19" x14ac:dyDescent="0.25">
      <c r="A1" s="19" t="s">
        <v>109</v>
      </c>
      <c r="B1" s="20">
        <v>1600000</v>
      </c>
      <c r="C1" s="20">
        <v>1600000</v>
      </c>
      <c r="D1" s="20">
        <v>1600000</v>
      </c>
      <c r="E1" s="30"/>
      <c r="F1" s="20">
        <v>1600000</v>
      </c>
      <c r="G1" s="20">
        <v>1600000</v>
      </c>
      <c r="H1" s="20">
        <v>1600000</v>
      </c>
      <c r="I1" s="20">
        <v>1600000</v>
      </c>
    </row>
    <row r="2" spans="1:19" ht="15.75" x14ac:dyDescent="0.25">
      <c r="A2" s="3" t="s">
        <v>0</v>
      </c>
      <c r="B2" s="8" t="s">
        <v>158</v>
      </c>
      <c r="C2" s="8" t="s">
        <v>159</v>
      </c>
      <c r="D2" s="8" t="s">
        <v>160</v>
      </c>
      <c r="E2" s="31"/>
      <c r="F2" s="8"/>
      <c r="G2" s="8"/>
      <c r="H2" s="8"/>
      <c r="I2" s="8"/>
      <c r="K2" s="43" t="s">
        <v>143</v>
      </c>
      <c r="L2" s="42" t="s">
        <v>144</v>
      </c>
    </row>
    <row r="3" spans="1:19" x14ac:dyDescent="0.25">
      <c r="A3" s="4" t="s">
        <v>1</v>
      </c>
      <c r="B3" s="5">
        <v>236746.2</v>
      </c>
      <c r="C3" s="5"/>
      <c r="D3" s="5"/>
      <c r="E3" s="32"/>
      <c r="F3" s="5"/>
      <c r="G3" s="5"/>
      <c r="H3" s="5"/>
      <c r="I3" s="5"/>
      <c r="K3" s="43" t="s">
        <v>145</v>
      </c>
      <c r="L3" s="42" t="s">
        <v>146</v>
      </c>
    </row>
    <row r="4" spans="1:19" x14ac:dyDescent="0.25">
      <c r="A4" s="4" t="s">
        <v>2</v>
      </c>
      <c r="B4" s="6">
        <v>23.67</v>
      </c>
      <c r="C4" s="6"/>
      <c r="D4" s="6"/>
      <c r="E4" s="33"/>
      <c r="F4" s="6"/>
      <c r="G4" s="6"/>
      <c r="H4" s="6"/>
      <c r="I4" s="6"/>
    </row>
    <row r="5" spans="1:19" x14ac:dyDescent="0.25">
      <c r="A5" s="4" t="s">
        <v>3</v>
      </c>
      <c r="B5" s="6">
        <v>8.9</v>
      </c>
      <c r="C5" s="6"/>
      <c r="D5" s="6"/>
      <c r="E5" s="33"/>
      <c r="F5" s="6"/>
      <c r="G5" s="6"/>
      <c r="H5" s="6"/>
      <c r="I5" s="6"/>
    </row>
    <row r="6" spans="1:19" x14ac:dyDescent="0.25">
      <c r="A6" s="4" t="s">
        <v>4</v>
      </c>
      <c r="B6" s="7">
        <v>-125251.8</v>
      </c>
      <c r="C6" s="7"/>
      <c r="D6" s="7"/>
      <c r="E6" s="34"/>
      <c r="F6" s="7"/>
      <c r="G6" s="7"/>
      <c r="H6" s="7"/>
      <c r="I6" s="7"/>
      <c r="K6" s="9" t="s">
        <v>151</v>
      </c>
      <c r="M6" s="68" t="s">
        <v>152</v>
      </c>
    </row>
    <row r="7" spans="1:19" x14ac:dyDescent="0.25">
      <c r="A7" s="4" t="s">
        <v>5</v>
      </c>
      <c r="B7" s="6">
        <v>12.53</v>
      </c>
      <c r="C7" s="6"/>
      <c r="D7" s="6"/>
      <c r="E7" s="33"/>
      <c r="F7" s="6"/>
      <c r="G7" s="6"/>
      <c r="H7" s="6"/>
      <c r="I7" s="6"/>
      <c r="M7" s="67" t="s">
        <v>153</v>
      </c>
    </row>
    <row r="8" spans="1:19" x14ac:dyDescent="0.25">
      <c r="A8" s="4" t="s">
        <v>6</v>
      </c>
      <c r="B8" s="6">
        <v>0.71099999999999997</v>
      </c>
      <c r="C8" s="6"/>
      <c r="D8" s="6"/>
      <c r="E8" s="33"/>
      <c r="F8" s="6"/>
      <c r="G8" s="6"/>
      <c r="H8" s="6"/>
      <c r="I8" s="6"/>
      <c r="M8" s="68" t="s">
        <v>154</v>
      </c>
    </row>
    <row r="9" spans="1:19" x14ac:dyDescent="0.25">
      <c r="A9" s="4" t="s">
        <v>7</v>
      </c>
      <c r="B9" s="6">
        <v>95</v>
      </c>
      <c r="C9" s="6"/>
      <c r="D9" s="6"/>
      <c r="E9" s="33"/>
      <c r="F9" s="6"/>
      <c r="G9" s="6"/>
      <c r="H9" s="6"/>
      <c r="I9" s="6"/>
      <c r="M9" s="67" t="s">
        <v>155</v>
      </c>
    </row>
    <row r="10" spans="1:19" x14ac:dyDescent="0.25">
      <c r="A10" s="4" t="s">
        <v>8</v>
      </c>
      <c r="B10" s="6">
        <v>16</v>
      </c>
      <c r="C10" s="6"/>
      <c r="D10" s="6"/>
      <c r="E10" s="33"/>
      <c r="F10" s="6"/>
      <c r="G10" s="6"/>
      <c r="H10" s="6"/>
      <c r="I10" s="6"/>
      <c r="M10" s="68" t="s">
        <v>156</v>
      </c>
    </row>
    <row r="11" spans="1:19" ht="15" customHeight="1" x14ac:dyDescent="0.25">
      <c r="A11" s="4" t="s">
        <v>9</v>
      </c>
      <c r="B11" s="6">
        <v>79</v>
      </c>
      <c r="C11" s="6"/>
      <c r="D11" s="6"/>
      <c r="E11" s="33"/>
      <c r="F11" s="6"/>
      <c r="G11" s="6"/>
      <c r="H11" s="6"/>
      <c r="I11" s="6"/>
      <c r="M11" s="71" t="s">
        <v>157</v>
      </c>
      <c r="N11" s="71"/>
      <c r="O11" s="71"/>
      <c r="P11" s="71"/>
      <c r="Q11" s="71"/>
      <c r="R11" s="69"/>
      <c r="S11" s="69"/>
    </row>
    <row r="12" spans="1:19" x14ac:dyDescent="0.25">
      <c r="A12" s="4" t="s">
        <v>10</v>
      </c>
      <c r="B12" s="6">
        <v>616</v>
      </c>
      <c r="C12" s="6"/>
      <c r="D12" s="6"/>
      <c r="E12" s="33"/>
      <c r="F12" s="6"/>
      <c r="G12" s="6"/>
      <c r="H12" s="6"/>
      <c r="I12" s="6"/>
      <c r="M12" s="71"/>
      <c r="N12" s="71"/>
      <c r="O12" s="71"/>
      <c r="P12" s="71"/>
      <c r="Q12" s="71"/>
      <c r="R12" s="69"/>
      <c r="S12" s="69"/>
    </row>
    <row r="13" spans="1:19" x14ac:dyDescent="0.25">
      <c r="M13" s="71"/>
      <c r="N13" s="71"/>
      <c r="O13" s="71"/>
      <c r="P13" s="71"/>
      <c r="Q13" s="71"/>
      <c r="R13" s="69"/>
      <c r="S13" s="69"/>
    </row>
    <row r="14" spans="1:19" ht="15.75" x14ac:dyDescent="0.25">
      <c r="A14" s="1" t="s">
        <v>11</v>
      </c>
    </row>
    <row r="15" spans="1:19" x14ac:dyDescent="0.25">
      <c r="A15" s="26" t="s">
        <v>12</v>
      </c>
      <c r="B15" s="6">
        <v>51.58</v>
      </c>
      <c r="C15" s="6"/>
      <c r="D15" s="6"/>
      <c r="E15" s="33"/>
      <c r="F15" s="6"/>
      <c r="G15" s="6"/>
      <c r="H15" s="6"/>
      <c r="I15" s="6"/>
    </row>
    <row r="16" spans="1:19" x14ac:dyDescent="0.25">
      <c r="A16" s="26" t="s">
        <v>13</v>
      </c>
      <c r="B16" s="6">
        <v>1.266</v>
      </c>
      <c r="C16" s="6"/>
      <c r="D16" s="6"/>
      <c r="E16" s="33"/>
      <c r="F16" s="6"/>
      <c r="G16" s="6"/>
      <c r="H16" s="6"/>
      <c r="I16" s="6"/>
    </row>
    <row r="17" spans="1:9" x14ac:dyDescent="0.25">
      <c r="A17" s="26" t="s">
        <v>14</v>
      </c>
      <c r="B17" s="5">
        <v>22967.7</v>
      </c>
      <c r="C17" s="5"/>
      <c r="D17" s="5"/>
      <c r="E17" s="32"/>
      <c r="F17" s="5"/>
      <c r="G17" s="5"/>
      <c r="H17" s="5"/>
      <c r="I17" s="5"/>
    </row>
    <row r="18" spans="1:9" x14ac:dyDescent="0.25">
      <c r="A18" s="26" t="s">
        <v>15</v>
      </c>
      <c r="B18" s="7">
        <v>-19318.900000000001</v>
      </c>
      <c r="C18" s="7"/>
      <c r="D18" s="7"/>
      <c r="E18" s="34"/>
      <c r="F18" s="7"/>
      <c r="G18" s="7"/>
      <c r="H18" s="7"/>
      <c r="I18" s="7"/>
    </row>
    <row r="19" spans="1:9" x14ac:dyDescent="0.25">
      <c r="A19" s="26" t="s">
        <v>16</v>
      </c>
      <c r="B19" s="5">
        <v>154495.20000000001</v>
      </c>
      <c r="C19" s="5"/>
      <c r="D19" s="5"/>
      <c r="E19" s="32"/>
      <c r="F19" s="5"/>
      <c r="G19" s="5"/>
      <c r="H19" s="5"/>
      <c r="I19" s="5"/>
    </row>
    <row r="20" spans="1:9" x14ac:dyDescent="0.25">
      <c r="A20" s="26" t="s">
        <v>17</v>
      </c>
      <c r="B20" s="7">
        <v>-106496</v>
      </c>
      <c r="C20" s="7"/>
      <c r="D20" s="7"/>
      <c r="E20" s="34"/>
      <c r="F20" s="7"/>
      <c r="G20" s="7"/>
      <c r="H20" s="7"/>
      <c r="I20" s="7"/>
    </row>
    <row r="21" spans="1:9" x14ac:dyDescent="0.25">
      <c r="A21" s="26" t="s">
        <v>18</v>
      </c>
      <c r="B21" s="5">
        <v>2492.1</v>
      </c>
      <c r="C21" s="5"/>
      <c r="D21" s="5"/>
      <c r="E21" s="32"/>
      <c r="F21" s="5"/>
      <c r="G21" s="5"/>
      <c r="H21" s="5"/>
      <c r="I21" s="5"/>
    </row>
    <row r="23" spans="1:9" ht="15.75" x14ac:dyDescent="0.25">
      <c r="A23" s="1" t="s">
        <v>19</v>
      </c>
    </row>
    <row r="24" spans="1:9" x14ac:dyDescent="0.25">
      <c r="A24" s="4" t="s">
        <v>20</v>
      </c>
      <c r="B24" s="17">
        <v>70</v>
      </c>
      <c r="C24" s="17"/>
      <c r="D24" s="17"/>
      <c r="E24" s="36"/>
      <c r="F24" s="17"/>
      <c r="G24" s="17"/>
      <c r="H24" s="17"/>
      <c r="I24" s="17"/>
    </row>
    <row r="25" spans="1:9" x14ac:dyDescent="0.25">
      <c r="A25" s="4" t="s">
        <v>21</v>
      </c>
      <c r="B25" s="17">
        <v>21</v>
      </c>
      <c r="C25" s="17"/>
      <c r="D25" s="17"/>
      <c r="E25" s="36"/>
      <c r="F25" s="17"/>
      <c r="G25" s="17"/>
      <c r="H25" s="17"/>
      <c r="I25" s="17"/>
    </row>
    <row r="26" spans="1:9" x14ac:dyDescent="0.25">
      <c r="A26" s="4" t="s">
        <v>22</v>
      </c>
      <c r="B26" s="17">
        <v>9</v>
      </c>
      <c r="C26" s="17"/>
      <c r="D26" s="17"/>
      <c r="E26" s="36"/>
      <c r="F26" s="17"/>
      <c r="G26" s="17"/>
      <c r="H26" s="17"/>
      <c r="I26" s="17"/>
    </row>
    <row r="27" spans="1:9" x14ac:dyDescent="0.25">
      <c r="A27" s="4" t="s">
        <v>23</v>
      </c>
      <c r="B27" s="17">
        <v>30</v>
      </c>
      <c r="C27" s="17"/>
      <c r="D27" s="17"/>
      <c r="E27" s="36"/>
      <c r="F27" s="17"/>
      <c r="G27" s="17"/>
      <c r="H27" s="17"/>
      <c r="I27" s="17"/>
    </row>
    <row r="28" spans="1:9" x14ac:dyDescent="0.25">
      <c r="A28" s="4" t="s">
        <v>24</v>
      </c>
      <c r="B28" s="17" t="s">
        <v>161</v>
      </c>
      <c r="C28" s="17"/>
      <c r="D28" s="17"/>
      <c r="E28" s="36"/>
      <c r="F28" s="17"/>
      <c r="G28" s="17"/>
      <c r="H28" s="17"/>
      <c r="I28" s="17"/>
    </row>
    <row r="29" spans="1:9" x14ac:dyDescent="0.25">
      <c r="A29" s="4" t="s">
        <v>25</v>
      </c>
      <c r="B29" s="17" t="s">
        <v>162</v>
      </c>
      <c r="C29" s="17"/>
      <c r="D29" s="17"/>
      <c r="E29" s="36"/>
      <c r="F29" s="17"/>
      <c r="G29" s="17"/>
      <c r="H29" s="17"/>
      <c r="I29" s="17"/>
    </row>
    <row r="31" spans="1:9" x14ac:dyDescent="0.25">
      <c r="C31" s="66"/>
    </row>
    <row r="32" spans="1:9" ht="15.75" x14ac:dyDescent="0.25">
      <c r="A32" s="1" t="s">
        <v>49</v>
      </c>
    </row>
    <row r="33" spans="1:11" x14ac:dyDescent="0.25">
      <c r="A33" s="2" t="s">
        <v>50</v>
      </c>
      <c r="B33" s="12" t="s">
        <v>38</v>
      </c>
      <c r="C33" s="12" t="s">
        <v>38</v>
      </c>
      <c r="D33" s="12" t="s">
        <v>38</v>
      </c>
      <c r="E33" s="37"/>
      <c r="F33" s="12" t="s">
        <v>38</v>
      </c>
      <c r="G33" s="12" t="s">
        <v>38</v>
      </c>
      <c r="H33" s="12" t="s">
        <v>38</v>
      </c>
      <c r="I33" s="12" t="s">
        <v>38</v>
      </c>
      <c r="J33" s="12" t="s">
        <v>94</v>
      </c>
      <c r="K33" s="12" t="s">
        <v>150</v>
      </c>
    </row>
    <row r="34" spans="1:11" x14ac:dyDescent="0.25">
      <c r="A34" t="s">
        <v>51</v>
      </c>
      <c r="B34" s="13">
        <v>-568.70000000000005</v>
      </c>
      <c r="C34" s="13"/>
      <c r="D34" s="13"/>
      <c r="E34" s="38"/>
      <c r="F34" s="13"/>
      <c r="G34" s="13"/>
      <c r="H34" s="13"/>
      <c r="I34" s="13"/>
      <c r="J34" s="60">
        <v>-13052</v>
      </c>
      <c r="K34" s="60">
        <v>-24472.5</v>
      </c>
    </row>
    <row r="35" spans="1:11" x14ac:dyDescent="0.25">
      <c r="A35" t="s">
        <v>52</v>
      </c>
      <c r="B35" s="13">
        <v>11557.1</v>
      </c>
      <c r="C35" s="13"/>
      <c r="D35" s="13"/>
      <c r="E35" s="38"/>
      <c r="F35" s="13"/>
      <c r="G35" s="13"/>
      <c r="H35" s="13"/>
      <c r="I35" s="13"/>
      <c r="J35" s="61">
        <v>32318</v>
      </c>
      <c r="K35" s="61">
        <v>20085</v>
      </c>
    </row>
    <row r="36" spans="1:11" x14ac:dyDescent="0.25">
      <c r="A36" t="s">
        <v>53</v>
      </c>
      <c r="B36" s="13">
        <v>11056.5</v>
      </c>
      <c r="C36" s="13"/>
      <c r="D36" s="13"/>
      <c r="E36" s="38"/>
      <c r="F36" s="13"/>
      <c r="G36" s="13"/>
      <c r="H36" s="13"/>
      <c r="I36" s="13"/>
      <c r="J36" s="61">
        <v>11212.5</v>
      </c>
      <c r="K36" s="61">
        <v>5937.75</v>
      </c>
    </row>
    <row r="37" spans="1:11" x14ac:dyDescent="0.25">
      <c r="A37" t="s">
        <v>54</v>
      </c>
      <c r="B37" s="13">
        <v>5606.2</v>
      </c>
      <c r="C37" s="13"/>
      <c r="D37" s="13"/>
      <c r="E37" s="38"/>
      <c r="F37" s="13"/>
      <c r="G37" s="13"/>
      <c r="H37" s="13"/>
      <c r="I37" s="13"/>
      <c r="J37" s="61">
        <v>18118.75</v>
      </c>
      <c r="K37" s="61">
        <v>5388.5</v>
      </c>
    </row>
    <row r="38" spans="1:11" x14ac:dyDescent="0.25">
      <c r="A38" t="s">
        <v>55</v>
      </c>
      <c r="B38" s="13">
        <v>10880.9</v>
      </c>
      <c r="C38" s="13"/>
      <c r="D38" s="13"/>
      <c r="E38" s="38"/>
      <c r="F38" s="13"/>
      <c r="G38" s="13"/>
      <c r="H38" s="13"/>
      <c r="I38" s="13"/>
      <c r="J38" s="61">
        <v>19649.5</v>
      </c>
      <c r="K38" s="61">
        <v>15213.25</v>
      </c>
    </row>
    <row r="39" spans="1:11" x14ac:dyDescent="0.25">
      <c r="A39" t="s">
        <v>56</v>
      </c>
      <c r="B39" s="13">
        <v>16321.5</v>
      </c>
      <c r="C39" s="13"/>
      <c r="D39" s="13"/>
      <c r="E39" s="38"/>
      <c r="F39" s="13"/>
      <c r="G39" s="13"/>
      <c r="H39" s="13"/>
      <c r="I39" s="13"/>
      <c r="J39" s="61">
        <v>75666.5</v>
      </c>
      <c r="K39" s="61">
        <v>65321.75</v>
      </c>
    </row>
    <row r="40" spans="1:11" x14ac:dyDescent="0.25">
      <c r="A40" t="s">
        <v>57</v>
      </c>
      <c r="B40" s="13">
        <v>-1004.2</v>
      </c>
      <c r="C40" s="13"/>
      <c r="D40" s="13"/>
      <c r="E40" s="38"/>
      <c r="F40" s="13"/>
      <c r="G40" s="13"/>
      <c r="H40" s="13"/>
      <c r="I40" s="13"/>
      <c r="J40" s="61">
        <v>35405.5</v>
      </c>
      <c r="K40" s="61">
        <v>27056.25</v>
      </c>
    </row>
    <row r="41" spans="1:11" x14ac:dyDescent="0.25">
      <c r="A41" t="s">
        <v>58</v>
      </c>
      <c r="B41" s="13">
        <v>7354.8</v>
      </c>
      <c r="C41" s="13"/>
      <c r="D41" s="13"/>
      <c r="E41" s="38"/>
      <c r="F41" s="13"/>
      <c r="G41" s="13"/>
      <c r="H41" s="13"/>
      <c r="I41" s="13"/>
      <c r="J41" s="61">
        <v>41525.25</v>
      </c>
      <c r="K41" s="61">
        <v>36149.75</v>
      </c>
    </row>
    <row r="42" spans="1:11" x14ac:dyDescent="0.25">
      <c r="A42" t="s">
        <v>59</v>
      </c>
      <c r="B42" s="13">
        <v>3438.5</v>
      </c>
      <c r="C42" s="13"/>
      <c r="D42" s="13"/>
      <c r="E42" s="38"/>
      <c r="F42" s="13"/>
      <c r="G42" s="13"/>
      <c r="H42" s="13"/>
      <c r="I42" s="13"/>
      <c r="J42" s="61">
        <v>61867</v>
      </c>
      <c r="K42" s="61">
        <v>54379</v>
      </c>
    </row>
    <row r="43" spans="1:11" x14ac:dyDescent="0.25">
      <c r="A43" t="s">
        <v>60</v>
      </c>
      <c r="B43" s="13">
        <v>-341.2</v>
      </c>
      <c r="C43" s="13"/>
      <c r="D43" s="13"/>
      <c r="E43" s="38"/>
      <c r="F43" s="13"/>
      <c r="G43" s="13"/>
      <c r="H43" s="13"/>
      <c r="I43" s="13"/>
      <c r="J43" s="61">
        <v>-108114.5</v>
      </c>
      <c r="K43" s="61">
        <v>-114117.25</v>
      </c>
    </row>
    <row r="44" spans="1:11" x14ac:dyDescent="0.25">
      <c r="A44" t="s">
        <v>61</v>
      </c>
      <c r="B44" s="13">
        <v>5342.9</v>
      </c>
      <c r="C44" s="13"/>
      <c r="D44" s="13"/>
      <c r="E44" s="38"/>
      <c r="F44" s="13"/>
      <c r="G44" s="13"/>
      <c r="H44" s="13"/>
      <c r="I44" s="13"/>
      <c r="J44" s="61">
        <v>-4286.75</v>
      </c>
      <c r="K44" s="61">
        <v>-13451.75</v>
      </c>
    </row>
    <row r="45" spans="1:11" x14ac:dyDescent="0.25">
      <c r="A45" t="s">
        <v>62</v>
      </c>
      <c r="B45" s="13">
        <v>3409.4</v>
      </c>
      <c r="C45" s="13"/>
      <c r="D45" s="13"/>
      <c r="E45" s="38"/>
      <c r="F45" s="13"/>
      <c r="G45" s="13"/>
      <c r="H45" s="13"/>
      <c r="I45" s="13"/>
      <c r="J45" s="61">
        <v>-35571.25</v>
      </c>
      <c r="K45" s="61">
        <v>-43351.75</v>
      </c>
    </row>
    <row r="46" spans="1:11" x14ac:dyDescent="0.25">
      <c r="A46" t="s">
        <v>63</v>
      </c>
      <c r="B46" s="13">
        <v>903.5</v>
      </c>
      <c r="C46" s="13"/>
      <c r="D46" s="13"/>
      <c r="E46" s="38"/>
      <c r="F46" s="13"/>
      <c r="G46" s="13"/>
      <c r="H46" s="13"/>
      <c r="I46" s="13"/>
      <c r="J46" s="61">
        <v>-36695.75</v>
      </c>
      <c r="K46" s="61">
        <v>-50765</v>
      </c>
    </row>
    <row r="47" spans="1:11" x14ac:dyDescent="0.25">
      <c r="A47" t="s">
        <v>64</v>
      </c>
      <c r="B47" s="13">
        <v>-2028</v>
      </c>
      <c r="C47" s="13"/>
      <c r="D47" s="13"/>
      <c r="E47" s="38"/>
      <c r="F47" s="13"/>
      <c r="G47" s="13"/>
      <c r="H47" s="13"/>
      <c r="I47" s="13"/>
      <c r="J47" s="61">
        <v>-40010.75</v>
      </c>
      <c r="K47" s="61">
        <v>-45318</v>
      </c>
    </row>
    <row r="48" spans="1:11" x14ac:dyDescent="0.25">
      <c r="A48" t="s">
        <v>65</v>
      </c>
      <c r="B48" s="13">
        <v>-2606.4</v>
      </c>
      <c r="C48" s="13"/>
      <c r="D48" s="13"/>
      <c r="E48" s="38"/>
      <c r="F48" s="13"/>
      <c r="G48" s="13"/>
      <c r="H48" s="13"/>
      <c r="I48" s="13"/>
      <c r="J48" s="61">
        <v>61054.5</v>
      </c>
      <c r="K48" s="61">
        <v>52370.5</v>
      </c>
    </row>
    <row r="49" spans="1:11" x14ac:dyDescent="0.25">
      <c r="A49" t="s">
        <v>66</v>
      </c>
      <c r="B49" s="13">
        <v>3204.5</v>
      </c>
      <c r="C49" s="13"/>
      <c r="D49" s="13"/>
      <c r="E49" s="38"/>
      <c r="F49" s="13"/>
      <c r="G49" s="13"/>
      <c r="H49" s="13"/>
      <c r="I49" s="13"/>
      <c r="J49" s="61">
        <v>54736.5</v>
      </c>
      <c r="K49" s="61">
        <v>41031.25</v>
      </c>
    </row>
    <row r="50" spans="1:11" x14ac:dyDescent="0.25">
      <c r="A50" t="s">
        <v>67</v>
      </c>
      <c r="B50" s="13">
        <v>-3392.9</v>
      </c>
      <c r="C50" s="13"/>
      <c r="D50" s="13"/>
      <c r="E50" s="38"/>
      <c r="F50" s="13"/>
      <c r="G50" s="13"/>
      <c r="H50" s="13"/>
      <c r="I50" s="13"/>
      <c r="J50" s="61">
        <v>27527.5</v>
      </c>
      <c r="K50" s="61">
        <v>20397</v>
      </c>
    </row>
    <row r="51" spans="1:11" x14ac:dyDescent="0.25">
      <c r="A51" t="s">
        <v>68</v>
      </c>
      <c r="B51" s="13">
        <v>9850.7000000000007</v>
      </c>
      <c r="C51" s="13"/>
      <c r="D51" s="13"/>
      <c r="E51" s="38"/>
      <c r="F51" s="13"/>
      <c r="G51" s="13"/>
      <c r="H51" s="13"/>
      <c r="I51" s="13"/>
      <c r="J51" s="61">
        <v>31999.5</v>
      </c>
      <c r="K51" s="61">
        <v>25447.5</v>
      </c>
    </row>
    <row r="52" spans="1:11" x14ac:dyDescent="0.25">
      <c r="A52" t="s">
        <v>69</v>
      </c>
      <c r="B52" s="13">
        <v>24706.5</v>
      </c>
      <c r="C52" s="13"/>
      <c r="D52" s="13"/>
      <c r="E52" s="38"/>
      <c r="F52" s="13"/>
      <c r="G52" s="13"/>
      <c r="H52" s="13"/>
      <c r="I52" s="13"/>
      <c r="J52" s="61">
        <v>-25330.5</v>
      </c>
      <c r="K52" s="61">
        <v>-31258.5</v>
      </c>
    </row>
    <row r="53" spans="1:11" x14ac:dyDescent="0.25">
      <c r="A53" t="s">
        <v>70</v>
      </c>
      <c r="B53" s="13">
        <v>12112.7</v>
      </c>
      <c r="C53" s="13"/>
      <c r="D53" s="13"/>
      <c r="E53" s="38"/>
      <c r="F53" s="13"/>
      <c r="G53" s="13"/>
      <c r="H53" s="13"/>
      <c r="I53" s="13"/>
      <c r="J53" s="61">
        <v>-9295</v>
      </c>
      <c r="K53" s="61">
        <v>-14794</v>
      </c>
    </row>
    <row r="54" spans="1:11" x14ac:dyDescent="0.25">
      <c r="A54" t="s">
        <v>71</v>
      </c>
      <c r="B54" s="13">
        <v>7826</v>
      </c>
      <c r="C54" s="13"/>
      <c r="D54" s="13"/>
      <c r="E54" s="38"/>
      <c r="F54" s="13"/>
      <c r="G54" s="13"/>
      <c r="H54" s="13"/>
      <c r="I54" s="13"/>
      <c r="J54" s="61">
        <v>-5014.75</v>
      </c>
      <c r="K54" s="61">
        <v>-11212.5</v>
      </c>
    </row>
    <row r="55" spans="1:11" x14ac:dyDescent="0.25">
      <c r="A55" t="s">
        <v>72</v>
      </c>
      <c r="B55" s="13">
        <v>-64974</v>
      </c>
      <c r="C55" s="13"/>
      <c r="D55" s="13"/>
      <c r="E55" s="38"/>
      <c r="F55" s="13"/>
      <c r="G55" s="13"/>
      <c r="H55" s="13"/>
      <c r="I55" s="13"/>
      <c r="J55" s="61">
        <v>86524.75</v>
      </c>
      <c r="K55" s="61">
        <v>78279.5</v>
      </c>
    </row>
    <row r="56" spans="1:11" x14ac:dyDescent="0.25">
      <c r="A56" t="s">
        <v>73</v>
      </c>
      <c r="B56" s="13">
        <v>7325.5</v>
      </c>
      <c r="C56" s="13"/>
      <c r="D56" s="13"/>
      <c r="E56" s="38"/>
      <c r="F56" s="13"/>
      <c r="G56" s="13"/>
      <c r="H56" s="13"/>
      <c r="I56" s="13"/>
      <c r="J56" s="61">
        <v>-425.75</v>
      </c>
      <c r="K56" s="61">
        <v>-11180</v>
      </c>
    </row>
    <row r="57" spans="1:11" x14ac:dyDescent="0.25">
      <c r="A57" t="s">
        <v>74</v>
      </c>
      <c r="B57" s="13">
        <v>8976.5</v>
      </c>
      <c r="C57" s="13"/>
      <c r="D57" s="13"/>
      <c r="E57" s="38"/>
      <c r="F57" s="13"/>
      <c r="G57" s="13"/>
      <c r="H57" s="13"/>
      <c r="I57" s="13"/>
      <c r="J57" s="61">
        <v>-1131</v>
      </c>
      <c r="K57" s="61">
        <v>-13877.5</v>
      </c>
    </row>
    <row r="58" spans="1:11" x14ac:dyDescent="0.25">
      <c r="A58" t="s">
        <v>75</v>
      </c>
      <c r="B58" s="13">
        <v>52078</v>
      </c>
      <c r="C58" s="13"/>
      <c r="D58" s="13"/>
      <c r="E58" s="38"/>
      <c r="F58" s="13"/>
      <c r="G58" s="13"/>
      <c r="H58" s="13"/>
      <c r="I58" s="13"/>
      <c r="J58" s="61">
        <v>-58074.25</v>
      </c>
      <c r="K58" s="61">
        <v>-67697.5</v>
      </c>
    </row>
    <row r="59" spans="1:11" x14ac:dyDescent="0.25">
      <c r="A59" t="s">
        <v>76</v>
      </c>
      <c r="B59" s="13">
        <v>-20159.7</v>
      </c>
      <c r="C59" s="13"/>
      <c r="D59" s="13"/>
      <c r="E59" s="38"/>
      <c r="F59" s="13"/>
      <c r="G59" s="13"/>
      <c r="H59" s="13"/>
      <c r="I59" s="13"/>
      <c r="J59" s="61">
        <v>43182.75</v>
      </c>
      <c r="K59" s="61">
        <v>32669</v>
      </c>
    </row>
    <row r="60" spans="1:11" x14ac:dyDescent="0.25">
      <c r="A60" t="s">
        <v>77</v>
      </c>
      <c r="B60" s="13">
        <v>178642.7</v>
      </c>
      <c r="C60" s="13"/>
      <c r="D60" s="13"/>
      <c r="E60" s="38"/>
      <c r="F60" s="13"/>
      <c r="G60" s="13"/>
      <c r="H60" s="13"/>
      <c r="I60" s="13"/>
      <c r="J60" s="61">
        <v>-188071</v>
      </c>
      <c r="K60" s="61">
        <v>-197801.5</v>
      </c>
    </row>
    <row r="61" spans="1:11" x14ac:dyDescent="0.25">
      <c r="A61" t="s">
        <v>78</v>
      </c>
      <c r="B61" s="13">
        <v>-69803.600000000006</v>
      </c>
      <c r="C61" s="13"/>
      <c r="D61" s="13"/>
      <c r="E61" s="38"/>
      <c r="F61" s="13"/>
      <c r="G61" s="13"/>
      <c r="H61" s="13"/>
      <c r="I61" s="13"/>
      <c r="J61" s="61">
        <v>82751.5</v>
      </c>
      <c r="K61" s="61">
        <v>78741</v>
      </c>
    </row>
    <row r="62" spans="1:11" x14ac:dyDescent="0.25">
      <c r="A62" t="s">
        <v>79</v>
      </c>
      <c r="B62" s="13">
        <v>13630.5</v>
      </c>
      <c r="C62" s="13"/>
      <c r="D62" s="13"/>
      <c r="E62" s="38"/>
      <c r="F62" s="13"/>
      <c r="G62" s="13"/>
      <c r="H62" s="13"/>
      <c r="I62" s="13"/>
      <c r="J62" s="61">
        <v>-3965</v>
      </c>
      <c r="K62" s="61">
        <v>-9535.5</v>
      </c>
    </row>
    <row r="63" spans="1:11" x14ac:dyDescent="0.25">
      <c r="A63" t="s">
        <v>80</v>
      </c>
      <c r="B63" s="13">
        <v>7400.2</v>
      </c>
      <c r="C63" s="13"/>
      <c r="D63" s="13"/>
      <c r="E63" s="38"/>
      <c r="F63" s="13"/>
      <c r="G63" s="13"/>
      <c r="H63" s="13"/>
      <c r="I63" s="13"/>
      <c r="J63" s="62">
        <v>-5554.25</v>
      </c>
      <c r="K63" s="62">
        <v>-8677.5</v>
      </c>
    </row>
    <row r="64" spans="1:11" x14ac:dyDescent="0.25">
      <c r="A64" s="22" t="s">
        <v>110</v>
      </c>
      <c r="B64" s="21">
        <f t="shared" ref="B64:F64" si="0">SUM(B34:B63)</f>
        <v>236746.40000000005</v>
      </c>
      <c r="C64" s="21">
        <f>SUM(C34:C63)</f>
        <v>0</v>
      </c>
      <c r="D64" s="21">
        <f>SUM(D34:D63)</f>
        <v>0</v>
      </c>
      <c r="E64" s="39"/>
      <c r="F64" s="21">
        <f t="shared" si="0"/>
        <v>0</v>
      </c>
      <c r="G64" s="21">
        <f t="shared" ref="G64:H64" si="1">SUM(G34:G63)</f>
        <v>0</v>
      </c>
      <c r="H64" s="21">
        <f t="shared" si="1"/>
        <v>0</v>
      </c>
      <c r="I64" s="21">
        <f>SUM(I34:I63)</f>
        <v>0</v>
      </c>
      <c r="J64" s="21">
        <f>SUM(J34:J63)</f>
        <v>148947.5</v>
      </c>
      <c r="K64" s="21">
        <f>SUM(K34:K63)</f>
        <v>-99043.75</v>
      </c>
    </row>
    <row r="66" spans="1:11" ht="15.75" x14ac:dyDescent="0.25">
      <c r="A66" s="1" t="s">
        <v>111</v>
      </c>
    </row>
    <row r="67" spans="1:11" x14ac:dyDescent="0.25">
      <c r="A67" s="2" t="s">
        <v>50</v>
      </c>
      <c r="B67" s="12" t="s">
        <v>38</v>
      </c>
      <c r="C67" s="12" t="s">
        <v>38</v>
      </c>
      <c r="D67" s="12" t="s">
        <v>38</v>
      </c>
      <c r="E67" s="37"/>
      <c r="F67" s="12" t="s">
        <v>38</v>
      </c>
      <c r="G67" s="12" t="s">
        <v>38</v>
      </c>
      <c r="H67" s="12" t="s">
        <v>38</v>
      </c>
      <c r="I67" s="12" t="s">
        <v>38</v>
      </c>
      <c r="J67" s="63" t="s">
        <v>94</v>
      </c>
      <c r="K67" s="63" t="s">
        <v>150</v>
      </c>
    </row>
    <row r="68" spans="1:11" x14ac:dyDescent="0.25">
      <c r="A68" t="s">
        <v>51</v>
      </c>
      <c r="B68" s="23"/>
      <c r="C68" s="23"/>
      <c r="D68" s="23"/>
      <c r="E68" s="40"/>
      <c r="F68" s="23"/>
      <c r="G68" s="23"/>
      <c r="H68" s="23"/>
      <c r="I68" s="23"/>
      <c r="J68" s="64">
        <v>-9.2727923434812228E-3</v>
      </c>
      <c r="K68" s="64">
        <v>-1.7386485644027293E-2</v>
      </c>
    </row>
    <row r="69" spans="1:11" x14ac:dyDescent="0.25">
      <c r="A69" t="s">
        <v>52</v>
      </c>
      <c r="B69" s="23"/>
      <c r="C69" s="23"/>
      <c r="D69" s="23"/>
      <c r="E69" s="40"/>
      <c r="F69" s="23"/>
      <c r="G69" s="23"/>
      <c r="H69" s="23"/>
      <c r="I69" s="23"/>
      <c r="J69" s="64">
        <v>2.3175219481727141E-2</v>
      </c>
      <c r="K69" s="64">
        <v>1.4402942115554478E-2</v>
      </c>
    </row>
    <row r="70" spans="1:11" x14ac:dyDescent="0.25">
      <c r="A70" t="s">
        <v>53</v>
      </c>
      <c r="B70" s="23"/>
      <c r="C70" s="23"/>
      <c r="D70" s="23"/>
      <c r="E70" s="40"/>
      <c r="F70" s="23"/>
      <c r="G70" s="23"/>
      <c r="H70" s="23"/>
      <c r="I70" s="23"/>
      <c r="J70" s="64">
        <v>7.8583582181343571E-3</v>
      </c>
      <c r="K70" s="64">
        <v>4.1615131781250637E-3</v>
      </c>
    </row>
    <row r="71" spans="1:11" x14ac:dyDescent="0.25">
      <c r="A71" t="s">
        <v>54</v>
      </c>
      <c r="B71" s="23"/>
      <c r="C71" s="23"/>
      <c r="D71" s="23"/>
      <c r="E71" s="40"/>
      <c r="F71" s="23"/>
      <c r="G71" s="23"/>
      <c r="H71" s="23"/>
      <c r="I71" s="23"/>
      <c r="J71" s="64">
        <v>1.2599638848020104E-2</v>
      </c>
      <c r="K71" s="64">
        <v>3.7471212932766521E-3</v>
      </c>
    </row>
    <row r="72" spans="1:11" x14ac:dyDescent="0.25">
      <c r="A72" t="s">
        <v>55</v>
      </c>
      <c r="B72" s="23"/>
      <c r="C72" s="23"/>
      <c r="D72" s="23"/>
      <c r="E72" s="40"/>
      <c r="F72" s="23"/>
      <c r="G72" s="23"/>
      <c r="H72" s="23"/>
      <c r="I72" s="23"/>
      <c r="J72" s="64">
        <v>1.3494089918937257E-2</v>
      </c>
      <c r="K72" s="64">
        <v>1.044754133485698E-2</v>
      </c>
    </row>
    <row r="73" spans="1:11" x14ac:dyDescent="0.25">
      <c r="A73" t="s">
        <v>56</v>
      </c>
      <c r="B73" s="23"/>
      <c r="C73" s="23"/>
      <c r="D73" s="23"/>
      <c r="E73" s="40"/>
      <c r="F73" s="23"/>
      <c r="G73" s="23"/>
      <c r="H73" s="23"/>
      <c r="I73" s="23"/>
      <c r="J73" s="64">
        <v>5.1271322677683473E-2</v>
      </c>
      <c r="K73" s="64">
        <v>4.4261760780807499E-2</v>
      </c>
    </row>
    <row r="74" spans="1:11" x14ac:dyDescent="0.25">
      <c r="A74" t="s">
        <v>57</v>
      </c>
      <c r="B74" s="23"/>
      <c r="C74" s="23"/>
      <c r="D74" s="23"/>
      <c r="E74" s="40"/>
      <c r="F74" s="23"/>
      <c r="G74" s="23"/>
      <c r="H74" s="23"/>
      <c r="I74" s="23"/>
      <c r="J74" s="64">
        <v>2.2820585869419496E-2</v>
      </c>
      <c r="K74" s="64">
        <v>1.7439083657326718E-2</v>
      </c>
    </row>
    <row r="75" spans="1:11" x14ac:dyDescent="0.25">
      <c r="A75" t="s">
        <v>58</v>
      </c>
      <c r="B75" s="23"/>
      <c r="C75" s="23"/>
      <c r="D75" s="23"/>
      <c r="E75" s="40"/>
      <c r="F75" s="23"/>
      <c r="G75" s="23"/>
      <c r="H75" s="23"/>
      <c r="I75" s="23"/>
      <c r="J75" s="64">
        <v>2.6167898908390851E-2</v>
      </c>
      <c r="K75" s="64">
        <v>2.2780428861080958E-2</v>
      </c>
    </row>
    <row r="76" spans="1:11" x14ac:dyDescent="0.25">
      <c r="A76" t="s">
        <v>59</v>
      </c>
      <c r="B76" s="23"/>
      <c r="C76" s="23"/>
      <c r="D76" s="23"/>
      <c r="E76" s="40"/>
      <c r="F76" s="23"/>
      <c r="G76" s="23"/>
      <c r="H76" s="23"/>
      <c r="I76" s="23"/>
      <c r="J76" s="64">
        <v>3.7992443822635405E-2</v>
      </c>
      <c r="K76" s="64">
        <v>3.339407281153265E-2</v>
      </c>
    </row>
    <row r="77" spans="1:11" x14ac:dyDescent="0.25">
      <c r="A77" t="s">
        <v>60</v>
      </c>
      <c r="B77" s="23"/>
      <c r="C77" s="23"/>
      <c r="D77" s="23"/>
      <c r="E77" s="40"/>
      <c r="F77" s="23"/>
      <c r="G77" s="23"/>
      <c r="H77" s="23"/>
      <c r="I77" s="23"/>
      <c r="J77" s="64">
        <v>-6.3962867465385334E-2</v>
      </c>
      <c r="K77" s="64">
        <v>-6.7514223691218511E-2</v>
      </c>
    </row>
    <row r="78" spans="1:11" x14ac:dyDescent="0.25">
      <c r="A78" t="s">
        <v>61</v>
      </c>
      <c r="B78" s="23"/>
      <c r="C78" s="23"/>
      <c r="D78" s="23"/>
      <c r="E78" s="40"/>
      <c r="F78" s="23"/>
      <c r="G78" s="23"/>
      <c r="H78" s="23"/>
      <c r="I78" s="23"/>
      <c r="J78" s="64">
        <v>-2.7094370163737095E-3</v>
      </c>
      <c r="K78" s="64">
        <v>-8.5021681658610931E-3</v>
      </c>
    </row>
    <row r="79" spans="1:11" x14ac:dyDescent="0.25">
      <c r="A79" t="s">
        <v>62</v>
      </c>
      <c r="B79" s="23"/>
      <c r="C79" s="23"/>
      <c r="D79" s="23"/>
      <c r="E79" s="40"/>
      <c r="F79" s="23"/>
      <c r="G79" s="23"/>
      <c r="H79" s="23"/>
      <c r="I79" s="23"/>
      <c r="J79" s="64">
        <v>-2.2543862178628953E-2</v>
      </c>
      <c r="K79" s="64">
        <v>-2.7474881461921574E-2</v>
      </c>
    </row>
    <row r="80" spans="1:11" x14ac:dyDescent="0.25">
      <c r="A80" t="s">
        <v>63</v>
      </c>
      <c r="B80" s="23"/>
      <c r="C80" s="23"/>
      <c r="D80" s="23"/>
      <c r="E80" s="40"/>
      <c r="F80" s="23"/>
      <c r="G80" s="23"/>
      <c r="H80" s="23"/>
      <c r="I80" s="23"/>
      <c r="J80" s="64">
        <v>-2.3792916702665451E-2</v>
      </c>
      <c r="K80" s="64">
        <v>-3.2915185448200726E-2</v>
      </c>
    </row>
    <row r="81" spans="1:11" x14ac:dyDescent="0.25">
      <c r="A81" t="s">
        <v>64</v>
      </c>
      <c r="B81" s="23"/>
      <c r="C81" s="23"/>
      <c r="D81" s="23"/>
      <c r="E81" s="40"/>
      <c r="F81" s="23"/>
      <c r="G81" s="23"/>
      <c r="H81" s="23"/>
      <c r="I81" s="23"/>
      <c r="J81" s="64">
        <v>-2.6574594937637881E-2</v>
      </c>
      <c r="K81" s="64">
        <v>-3.0099598067616168E-2</v>
      </c>
    </row>
    <row r="82" spans="1:11" x14ac:dyDescent="0.25">
      <c r="A82" t="s">
        <v>65</v>
      </c>
      <c r="B82" s="23"/>
      <c r="C82" s="23"/>
      <c r="D82" s="23"/>
      <c r="E82" s="40"/>
      <c r="F82" s="23"/>
      <c r="G82" s="23"/>
      <c r="H82" s="23"/>
      <c r="I82" s="23"/>
      <c r="J82" s="64">
        <v>4.1658628099283515E-2</v>
      </c>
      <c r="K82" s="64">
        <v>3.5733372361963944E-2</v>
      </c>
    </row>
    <row r="83" spans="1:11" x14ac:dyDescent="0.25">
      <c r="A83" t="s">
        <v>66</v>
      </c>
      <c r="B83" s="23"/>
      <c r="C83" s="23"/>
      <c r="D83" s="23"/>
      <c r="E83" s="40"/>
      <c r="F83" s="23"/>
      <c r="G83" s="23"/>
      <c r="H83" s="23"/>
      <c r="I83" s="23"/>
      <c r="J83" s="64">
        <v>3.5854105595258624E-2</v>
      </c>
      <c r="K83" s="64">
        <v>2.6876741666081234E-2</v>
      </c>
    </row>
    <row r="84" spans="1:11" x14ac:dyDescent="0.25">
      <c r="A84" t="s">
        <v>67</v>
      </c>
      <c r="B84" s="23"/>
      <c r="C84" s="23"/>
      <c r="D84" s="23"/>
      <c r="E84" s="40"/>
      <c r="F84" s="23"/>
      <c r="G84" s="23"/>
      <c r="H84" s="23"/>
      <c r="I84" s="23"/>
      <c r="J84" s="64">
        <v>1.7407245277745238E-2</v>
      </c>
      <c r="K84" s="64">
        <v>1.2898213856331654E-2</v>
      </c>
    </row>
    <row r="85" spans="1:11" x14ac:dyDescent="0.25">
      <c r="A85" t="s">
        <v>68</v>
      </c>
      <c r="B85" s="23"/>
      <c r="C85" s="23"/>
      <c r="D85" s="23"/>
      <c r="E85" s="40"/>
      <c r="F85" s="23"/>
      <c r="G85" s="23"/>
      <c r="H85" s="23"/>
      <c r="I85" s="23"/>
      <c r="J85" s="64">
        <v>1.9888940286719094E-2</v>
      </c>
      <c r="K85" s="64">
        <v>1.5816616132948456E-2</v>
      </c>
    </row>
    <row r="86" spans="1:11" x14ac:dyDescent="0.25">
      <c r="A86" t="s">
        <v>69</v>
      </c>
      <c r="B86" s="23"/>
      <c r="C86" s="23"/>
      <c r="D86" s="23"/>
      <c r="E86" s="40"/>
      <c r="F86" s="23"/>
      <c r="G86" s="23"/>
      <c r="H86" s="23"/>
      <c r="I86" s="23"/>
      <c r="J86" s="64">
        <v>-1.5436873013200764E-2</v>
      </c>
      <c r="K86" s="64">
        <v>-1.9049505342695016E-2</v>
      </c>
    </row>
    <row r="87" spans="1:11" x14ac:dyDescent="0.25">
      <c r="A87" t="s">
        <v>70</v>
      </c>
      <c r="B87" s="23"/>
      <c r="C87" s="23"/>
      <c r="D87" s="23"/>
      <c r="E87" s="40"/>
      <c r="F87" s="23"/>
      <c r="G87" s="23"/>
      <c r="H87" s="23"/>
      <c r="I87" s="23"/>
      <c r="J87" s="64">
        <v>-5.7533579695072026E-3</v>
      </c>
      <c r="K87" s="64">
        <v>-9.1570928241946816E-3</v>
      </c>
    </row>
    <row r="88" spans="1:11" x14ac:dyDescent="0.25">
      <c r="A88" t="s">
        <v>71</v>
      </c>
      <c r="B88" s="23"/>
      <c r="C88" s="23"/>
      <c r="D88" s="23"/>
      <c r="E88" s="40"/>
      <c r="F88" s="23"/>
      <c r="G88" s="23"/>
      <c r="H88" s="23"/>
      <c r="I88" s="23"/>
      <c r="J88" s="64">
        <v>-3.1219587205432173E-3</v>
      </c>
      <c r="K88" s="64">
        <v>-6.9804002500804263E-3</v>
      </c>
    </row>
    <row r="89" spans="1:11" x14ac:dyDescent="0.25">
      <c r="A89" t="s">
        <v>72</v>
      </c>
      <c r="B89" s="23"/>
      <c r="C89" s="23"/>
      <c r="D89" s="23"/>
      <c r="E89" s="40"/>
      <c r="F89" s="23"/>
      <c r="G89" s="23"/>
      <c r="H89" s="23"/>
      <c r="I89" s="23"/>
      <c r="J89" s="64">
        <v>5.4035129024270448E-2</v>
      </c>
      <c r="K89" s="64">
        <v>4.8885930123523942E-2</v>
      </c>
    </row>
    <row r="90" spans="1:11" x14ac:dyDescent="0.25">
      <c r="A90" t="s">
        <v>73</v>
      </c>
      <c r="B90" s="23"/>
      <c r="C90" s="23"/>
      <c r="D90" s="23"/>
      <c r="E90" s="40"/>
      <c r="F90" s="23"/>
      <c r="G90" s="23"/>
      <c r="H90" s="23"/>
      <c r="I90" s="23"/>
      <c r="J90" s="64">
        <v>-2.5225246042428481E-4</v>
      </c>
      <c r="K90" s="64">
        <v>-6.6240340752636616E-3</v>
      </c>
    </row>
    <row r="91" spans="1:11" x14ac:dyDescent="0.25">
      <c r="A91" t="s">
        <v>74</v>
      </c>
      <c r="B91" s="23"/>
      <c r="C91" s="23"/>
      <c r="D91" s="23"/>
      <c r="E91" s="40"/>
      <c r="F91" s="23"/>
      <c r="G91" s="23"/>
      <c r="H91" s="23"/>
      <c r="I91" s="23"/>
      <c r="J91" s="64">
        <v>-6.7027485121053945E-4</v>
      </c>
      <c r="K91" s="64">
        <v>-8.2243494674396657E-3</v>
      </c>
    </row>
    <row r="92" spans="1:11" x14ac:dyDescent="0.25">
      <c r="A92" t="s">
        <v>75</v>
      </c>
      <c r="B92" s="23"/>
      <c r="C92" s="23"/>
      <c r="D92" s="23"/>
      <c r="E92" s="40"/>
      <c r="F92" s="23"/>
      <c r="G92" s="23"/>
      <c r="H92" s="23"/>
      <c r="I92" s="23"/>
      <c r="J92" s="64">
        <v>-3.4440157119122974E-2</v>
      </c>
      <c r="K92" s="64">
        <v>-4.0147096804036685E-2</v>
      </c>
    </row>
    <row r="93" spans="1:11" x14ac:dyDescent="0.25">
      <c r="A93" t="s">
        <v>76</v>
      </c>
      <c r="B93" s="23"/>
      <c r="C93" s="23"/>
      <c r="D93" s="23"/>
      <c r="E93" s="40"/>
      <c r="F93" s="23"/>
      <c r="G93" s="23"/>
      <c r="H93" s="23"/>
      <c r="I93" s="23"/>
      <c r="J93" s="64">
        <v>2.6522387434053333E-2</v>
      </c>
      <c r="K93" s="64">
        <v>2.0064953600293828E-2</v>
      </c>
    </row>
    <row r="94" spans="1:11" x14ac:dyDescent="0.25">
      <c r="A94" t="s">
        <v>77</v>
      </c>
      <c r="B94" s="23"/>
      <c r="C94" s="23"/>
      <c r="D94" s="23"/>
      <c r="E94" s="40"/>
      <c r="F94" s="23"/>
      <c r="G94" s="23"/>
      <c r="H94" s="23"/>
      <c r="I94" s="23"/>
      <c r="J94" s="64">
        <v>-0.11252673744798351</v>
      </c>
      <c r="K94" s="64">
        <v>-0.11834869521253841</v>
      </c>
    </row>
    <row r="95" spans="1:11" x14ac:dyDescent="0.25">
      <c r="A95" t="s">
        <v>78</v>
      </c>
      <c r="B95" s="23"/>
      <c r="C95" s="23"/>
      <c r="D95" s="23"/>
      <c r="E95" s="40"/>
      <c r="F95" s="23"/>
      <c r="G95" s="23"/>
      <c r="H95" s="23"/>
      <c r="I95" s="23"/>
      <c r="J95" s="64">
        <v>5.5789759680274852E-2</v>
      </c>
      <c r="K95" s="64">
        <v>5.3085943662465607E-2</v>
      </c>
    </row>
    <row r="96" spans="1:11" x14ac:dyDescent="0.25">
      <c r="A96" t="s">
        <v>79</v>
      </c>
      <c r="B96" s="23"/>
      <c r="C96" s="23"/>
      <c r="D96" s="23"/>
      <c r="E96" s="40"/>
      <c r="F96" s="23"/>
      <c r="G96" s="23"/>
      <c r="H96" s="23"/>
      <c r="I96" s="23"/>
      <c r="J96" s="64">
        <v>-2.5318872521552169E-3</v>
      </c>
      <c r="K96" s="64">
        <v>-6.0889813096913162E-3</v>
      </c>
    </row>
    <row r="97" spans="1:11" x14ac:dyDescent="0.25">
      <c r="A97" t="s">
        <v>80</v>
      </c>
      <c r="B97" s="23"/>
      <c r="C97" s="23"/>
      <c r="D97" s="23"/>
      <c r="E97" s="40"/>
      <c r="F97" s="23"/>
      <c r="G97" s="23"/>
      <c r="H97" s="23"/>
      <c r="I97" s="23"/>
      <c r="J97" s="64">
        <v>-3.5557201529646258E-3</v>
      </c>
      <c r="K97" s="64">
        <v>-5.5551625561237866E-3</v>
      </c>
    </row>
    <row r="98" spans="1:11" x14ac:dyDescent="0.25">
      <c r="A98" s="25" t="s">
        <v>110</v>
      </c>
      <c r="B98" s="27">
        <f t="shared" ref="B98:F98" si="2">SUM(B68:B97)</f>
        <v>0</v>
      </c>
      <c r="C98" s="27">
        <f t="shared" si="2"/>
        <v>0</v>
      </c>
      <c r="D98" s="27">
        <f t="shared" si="2"/>
        <v>0</v>
      </c>
      <c r="E98" s="41"/>
      <c r="F98" s="27">
        <f t="shared" si="2"/>
        <v>0</v>
      </c>
      <c r="G98" s="27">
        <f t="shared" ref="G98:H98" si="3">SUM(G68:G97)</f>
        <v>0</v>
      </c>
      <c r="H98" s="27">
        <f t="shared" si="3"/>
        <v>0</v>
      </c>
      <c r="I98" s="27">
        <f t="shared" ref="I98" si="4">SUM(I68:I97)</f>
        <v>0</v>
      </c>
      <c r="J98" s="65">
        <f>SUM(J68:J97)</f>
        <v>0.1193900635112683</v>
      </c>
      <c r="K98" s="65">
        <f>SUM(K68:K97)</f>
        <v>-4.0071624884739317E-2</v>
      </c>
    </row>
    <row r="101" spans="1:11" x14ac:dyDescent="0.25">
      <c r="C101" s="70"/>
    </row>
    <row r="102" spans="1:11" x14ac:dyDescent="0.25">
      <c r="C102" s="70"/>
    </row>
  </sheetData>
  <mergeCells count="1">
    <mergeCell ref="M11:Q13"/>
  </mergeCells>
  <conditionalFormatting sqref="B34:K63 B68:K98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36B-FA75-4E97-AFBC-D17814511D19}">
  <dimension ref="A2:N97"/>
  <sheetViews>
    <sheetView workbookViewId="0">
      <selection activeCell="A2" sqref="A2:N97"/>
    </sheetView>
  </sheetViews>
  <sheetFormatPr defaultRowHeight="15" x14ac:dyDescent="0.25"/>
  <cols>
    <col min="1" max="1" width="6" bestFit="1" customWidth="1"/>
    <col min="2" max="2" width="5.28515625" bestFit="1" customWidth="1"/>
    <col min="3" max="3" width="6.140625" bestFit="1" customWidth="1"/>
    <col min="4" max="4" width="10.42578125" bestFit="1" customWidth="1"/>
    <col min="6" max="6" width="4.5703125" bestFit="1" customWidth="1"/>
    <col min="7" max="8" width="15.5703125" bestFit="1" customWidth="1"/>
    <col min="9" max="9" width="10.42578125" bestFit="1" customWidth="1"/>
    <col min="10" max="10" width="10.7109375" bestFit="1" customWidth="1"/>
    <col min="12" max="12" width="9.42578125" bestFit="1" customWidth="1"/>
    <col min="13" max="13" width="9" bestFit="1" customWidth="1"/>
    <col min="14" max="14" width="20.28515625" bestFit="1" customWidth="1"/>
  </cols>
  <sheetData>
    <row r="2" spans="1:14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</row>
    <row r="3" spans="1:14" x14ac:dyDescent="0.25">
      <c r="A3" t="s">
        <v>40</v>
      </c>
      <c r="B3" t="s">
        <v>44</v>
      </c>
      <c r="C3">
        <v>22200</v>
      </c>
      <c r="D3" s="28">
        <v>45316</v>
      </c>
      <c r="E3" t="s">
        <v>42</v>
      </c>
      <c r="F3">
        <v>1</v>
      </c>
      <c r="G3" s="29">
        <v>45292.635416666657</v>
      </c>
      <c r="H3" s="29">
        <v>45315.635416666657</v>
      </c>
      <c r="I3">
        <v>475.35</v>
      </c>
      <c r="J3">
        <v>0.66959999999999997</v>
      </c>
      <c r="K3">
        <v>736.25</v>
      </c>
      <c r="L3">
        <v>0.99270000000000003</v>
      </c>
      <c r="M3">
        <v>-16958.5</v>
      </c>
      <c r="N3" t="s">
        <v>43</v>
      </c>
    </row>
    <row r="4" spans="1:14" x14ac:dyDescent="0.25">
      <c r="A4" t="s">
        <v>40</v>
      </c>
      <c r="B4" t="s">
        <v>44</v>
      </c>
      <c r="C4">
        <v>21750</v>
      </c>
      <c r="D4" s="28">
        <v>45316</v>
      </c>
      <c r="E4" t="s">
        <v>45</v>
      </c>
      <c r="F4">
        <v>1</v>
      </c>
      <c r="G4" s="29">
        <v>45292.635416666657</v>
      </c>
      <c r="H4" s="29">
        <v>45315.635416666657</v>
      </c>
      <c r="I4">
        <v>244</v>
      </c>
      <c r="J4">
        <v>-0.45250000000000001</v>
      </c>
      <c r="K4">
        <v>266</v>
      </c>
      <c r="L4">
        <v>-0.91879999999999995</v>
      </c>
      <c r="M4">
        <v>1430</v>
      </c>
      <c r="N4" t="s">
        <v>43</v>
      </c>
    </row>
    <row r="5" spans="1:14" x14ac:dyDescent="0.25">
      <c r="A5" t="s">
        <v>40</v>
      </c>
      <c r="B5" t="s">
        <v>41</v>
      </c>
      <c r="C5">
        <v>22050</v>
      </c>
      <c r="D5" s="28">
        <v>45316</v>
      </c>
      <c r="E5" t="s">
        <v>42</v>
      </c>
      <c r="F5">
        <v>1</v>
      </c>
      <c r="G5" s="29">
        <v>45292.635416666657</v>
      </c>
      <c r="H5" s="29">
        <v>45315.635416666657</v>
      </c>
      <c r="I5">
        <v>231.1</v>
      </c>
      <c r="J5">
        <v>-0.40089999999999998</v>
      </c>
      <c r="K5">
        <v>0.95</v>
      </c>
      <c r="L5">
        <v>-1.11E-2</v>
      </c>
      <c r="M5">
        <v>14959.8</v>
      </c>
      <c r="N5" t="s">
        <v>43</v>
      </c>
    </row>
    <row r="6" spans="1:14" x14ac:dyDescent="0.25">
      <c r="A6" t="s">
        <v>40</v>
      </c>
      <c r="B6" t="s">
        <v>44</v>
      </c>
      <c r="C6">
        <v>22100</v>
      </c>
      <c r="D6" s="28">
        <v>45351</v>
      </c>
      <c r="E6" t="s">
        <v>42</v>
      </c>
      <c r="F6">
        <v>1</v>
      </c>
      <c r="G6" s="29">
        <v>45315.635416666657</v>
      </c>
      <c r="H6" s="29">
        <v>45341.635416666657</v>
      </c>
      <c r="I6">
        <v>651</v>
      </c>
      <c r="J6">
        <v>0.69359999999999999</v>
      </c>
      <c r="K6">
        <v>185.1</v>
      </c>
      <c r="L6">
        <v>0.45219999999999999</v>
      </c>
      <c r="M6">
        <v>30283.5</v>
      </c>
      <c r="N6" t="s">
        <v>46</v>
      </c>
    </row>
    <row r="7" spans="1:14" x14ac:dyDescent="0.25">
      <c r="A7" t="s">
        <v>40</v>
      </c>
      <c r="B7" t="s">
        <v>44</v>
      </c>
      <c r="C7">
        <v>21450</v>
      </c>
      <c r="D7" s="28">
        <v>45351</v>
      </c>
      <c r="E7" t="s">
        <v>45</v>
      </c>
      <c r="F7">
        <v>1</v>
      </c>
      <c r="G7" s="29">
        <v>45315.635416666657</v>
      </c>
      <c r="H7" s="29">
        <v>45341.635416666657</v>
      </c>
      <c r="I7">
        <v>299</v>
      </c>
      <c r="J7">
        <v>-0.42599999999999999</v>
      </c>
      <c r="K7">
        <v>37.75</v>
      </c>
      <c r="L7">
        <v>-0.12139999999999999</v>
      </c>
      <c r="M7">
        <v>-16981.2</v>
      </c>
      <c r="N7" t="s">
        <v>46</v>
      </c>
    </row>
    <row r="8" spans="1:14" x14ac:dyDescent="0.25">
      <c r="A8" t="s">
        <v>40</v>
      </c>
      <c r="B8" t="s">
        <v>44</v>
      </c>
      <c r="C8">
        <v>22600</v>
      </c>
      <c r="D8" s="28">
        <v>45351</v>
      </c>
      <c r="E8" t="s">
        <v>42</v>
      </c>
      <c r="F8">
        <v>1</v>
      </c>
      <c r="G8" s="29">
        <v>45341.635416666657</v>
      </c>
      <c r="H8" s="29">
        <v>45350.635416666657</v>
      </c>
      <c r="I8">
        <v>485.35</v>
      </c>
      <c r="J8">
        <v>0.80200000000000005</v>
      </c>
      <c r="K8">
        <v>698.8</v>
      </c>
      <c r="L8">
        <v>0.98019999999999996</v>
      </c>
      <c r="M8">
        <v>-13874.2</v>
      </c>
      <c r="N8" t="s">
        <v>43</v>
      </c>
    </row>
    <row r="9" spans="1:14" x14ac:dyDescent="0.25">
      <c r="A9" t="s">
        <v>40</v>
      </c>
      <c r="B9" t="s">
        <v>44</v>
      </c>
      <c r="C9">
        <v>22100</v>
      </c>
      <c r="D9" s="28">
        <v>45351</v>
      </c>
      <c r="E9" t="s">
        <v>45</v>
      </c>
      <c r="F9">
        <v>1</v>
      </c>
      <c r="G9" s="29">
        <v>45341.635416666657</v>
      </c>
      <c r="H9" s="29">
        <v>45350.635416666657</v>
      </c>
      <c r="I9">
        <v>185.1</v>
      </c>
      <c r="J9">
        <v>-0.45219999999999999</v>
      </c>
      <c r="K9">
        <v>225.7</v>
      </c>
      <c r="L9">
        <v>-0.76690000000000003</v>
      </c>
      <c r="M9">
        <v>2639</v>
      </c>
      <c r="N9" t="s">
        <v>43</v>
      </c>
    </row>
    <row r="10" spans="1:14" x14ac:dyDescent="0.25">
      <c r="A10" t="s">
        <v>40</v>
      </c>
      <c r="B10" t="s">
        <v>41</v>
      </c>
      <c r="C10">
        <v>21800</v>
      </c>
      <c r="D10" s="28">
        <v>45351</v>
      </c>
      <c r="E10" t="s">
        <v>42</v>
      </c>
      <c r="F10">
        <v>1</v>
      </c>
      <c r="G10" s="29">
        <v>45315.635416666657</v>
      </c>
      <c r="H10" s="29">
        <v>45350.635416666657</v>
      </c>
      <c r="I10">
        <v>293.7</v>
      </c>
      <c r="J10">
        <v>-0.42849999999999999</v>
      </c>
      <c r="K10">
        <v>147.69999999999999</v>
      </c>
      <c r="L10">
        <v>-0.71750000000000003</v>
      </c>
      <c r="M10">
        <v>9490</v>
      </c>
      <c r="N10" t="s">
        <v>43</v>
      </c>
    </row>
    <row r="11" spans="1:14" x14ac:dyDescent="0.25">
      <c r="A11" t="s">
        <v>40</v>
      </c>
      <c r="B11" t="s">
        <v>44</v>
      </c>
      <c r="C11">
        <v>22700</v>
      </c>
      <c r="D11" s="28">
        <v>45379</v>
      </c>
      <c r="E11" t="s">
        <v>42</v>
      </c>
      <c r="F11">
        <v>1</v>
      </c>
      <c r="G11" s="29">
        <v>45350.635416666657</v>
      </c>
      <c r="H11" s="29">
        <v>45378.635416666657</v>
      </c>
      <c r="I11">
        <v>753.6</v>
      </c>
      <c r="J11">
        <v>0.75360000000000005</v>
      </c>
      <c r="K11">
        <v>539.9</v>
      </c>
      <c r="L11">
        <v>0.99390000000000001</v>
      </c>
      <c r="M11">
        <v>13890.5</v>
      </c>
      <c r="N11" t="s">
        <v>43</v>
      </c>
    </row>
    <row r="12" spans="1:14" x14ac:dyDescent="0.25">
      <c r="A12" t="s">
        <v>40</v>
      </c>
      <c r="B12" t="s">
        <v>44</v>
      </c>
      <c r="C12">
        <v>21950</v>
      </c>
      <c r="D12" s="28">
        <v>45379</v>
      </c>
      <c r="E12" t="s">
        <v>45</v>
      </c>
      <c r="F12">
        <v>1</v>
      </c>
      <c r="G12" s="29">
        <v>45350.635416666657</v>
      </c>
      <c r="H12" s="29">
        <v>45378.635416666657</v>
      </c>
      <c r="I12">
        <v>321.95</v>
      </c>
      <c r="J12">
        <v>-0.4461</v>
      </c>
      <c r="K12">
        <v>8.9</v>
      </c>
      <c r="L12">
        <v>-0.1217</v>
      </c>
      <c r="M12">
        <v>-20348.2</v>
      </c>
      <c r="N12" t="s">
        <v>43</v>
      </c>
    </row>
    <row r="13" spans="1:14" x14ac:dyDescent="0.25">
      <c r="A13" t="s">
        <v>40</v>
      </c>
      <c r="B13" t="s">
        <v>41</v>
      </c>
      <c r="C13">
        <v>22150</v>
      </c>
      <c r="D13" s="28">
        <v>45379</v>
      </c>
      <c r="E13" t="s">
        <v>42</v>
      </c>
      <c r="F13">
        <v>1</v>
      </c>
      <c r="G13" s="29">
        <v>45350.635416666657</v>
      </c>
      <c r="H13" s="29">
        <v>45378.635416666657</v>
      </c>
      <c r="I13">
        <v>332</v>
      </c>
      <c r="J13">
        <v>-0.46939999999999998</v>
      </c>
      <c r="K13">
        <v>62.55</v>
      </c>
      <c r="L13">
        <v>-0.42659999999999998</v>
      </c>
      <c r="M13">
        <v>17514.2</v>
      </c>
      <c r="N13" t="s">
        <v>43</v>
      </c>
    </row>
    <row r="14" spans="1:14" x14ac:dyDescent="0.25">
      <c r="A14" t="s">
        <v>40</v>
      </c>
      <c r="B14" t="s">
        <v>44</v>
      </c>
      <c r="C14">
        <v>22500</v>
      </c>
      <c r="D14" s="28">
        <v>45407</v>
      </c>
      <c r="E14" t="s">
        <v>42</v>
      </c>
      <c r="F14">
        <v>1</v>
      </c>
      <c r="G14" s="29">
        <v>45378.635416666657</v>
      </c>
      <c r="H14" s="29">
        <v>45386.635416666657</v>
      </c>
      <c r="I14">
        <v>386.5</v>
      </c>
      <c r="J14">
        <v>0.61599999999999999</v>
      </c>
      <c r="K14">
        <v>181.9</v>
      </c>
      <c r="L14">
        <v>0.42709999999999998</v>
      </c>
      <c r="M14">
        <v>13299</v>
      </c>
      <c r="N14" t="s">
        <v>46</v>
      </c>
    </row>
    <row r="15" spans="1:14" x14ac:dyDescent="0.25">
      <c r="A15" t="s">
        <v>40</v>
      </c>
      <c r="B15" t="s">
        <v>44</v>
      </c>
      <c r="C15">
        <v>22100</v>
      </c>
      <c r="D15" s="28">
        <v>45407</v>
      </c>
      <c r="E15" t="s">
        <v>45</v>
      </c>
      <c r="F15">
        <v>1</v>
      </c>
      <c r="G15" s="29">
        <v>45378.635416666657</v>
      </c>
      <c r="H15" s="29">
        <v>45386.635416666657</v>
      </c>
      <c r="I15">
        <v>209.2</v>
      </c>
      <c r="J15">
        <v>-0.41710000000000003</v>
      </c>
      <c r="K15">
        <v>72.900000000000006</v>
      </c>
      <c r="L15">
        <v>-0.20569999999999999</v>
      </c>
      <c r="M15">
        <v>-8859.5</v>
      </c>
      <c r="N15" t="s">
        <v>46</v>
      </c>
    </row>
    <row r="16" spans="1:14" x14ac:dyDescent="0.25">
      <c r="A16" t="s">
        <v>40</v>
      </c>
      <c r="B16" t="s">
        <v>44</v>
      </c>
      <c r="C16">
        <v>22900</v>
      </c>
      <c r="D16" s="28">
        <v>45407</v>
      </c>
      <c r="E16" t="s">
        <v>42</v>
      </c>
      <c r="F16">
        <v>1</v>
      </c>
      <c r="G16" s="29">
        <v>45386.635416666657</v>
      </c>
      <c r="H16" s="29">
        <v>45406.635416666657</v>
      </c>
      <c r="I16">
        <v>392.2</v>
      </c>
      <c r="J16">
        <v>0.6966</v>
      </c>
      <c r="K16">
        <v>490.2</v>
      </c>
      <c r="L16">
        <v>0.98899999999999999</v>
      </c>
      <c r="M16">
        <v>-6370</v>
      </c>
      <c r="N16" t="s">
        <v>43</v>
      </c>
    </row>
    <row r="17" spans="1:14" x14ac:dyDescent="0.25">
      <c r="A17" t="s">
        <v>40</v>
      </c>
      <c r="B17" t="s">
        <v>44</v>
      </c>
      <c r="C17">
        <v>22500</v>
      </c>
      <c r="D17" s="28">
        <v>45407</v>
      </c>
      <c r="E17" t="s">
        <v>45</v>
      </c>
      <c r="F17">
        <v>1</v>
      </c>
      <c r="G17" s="29">
        <v>45386.635416666657</v>
      </c>
      <c r="H17" s="29">
        <v>45406.635416666657</v>
      </c>
      <c r="I17">
        <v>181.9</v>
      </c>
      <c r="J17">
        <v>-0.42709999999999998</v>
      </c>
      <c r="K17">
        <v>114.2</v>
      </c>
      <c r="L17">
        <v>-0.73760000000000003</v>
      </c>
      <c r="M17">
        <v>-4400.5</v>
      </c>
      <c r="N17" t="s">
        <v>43</v>
      </c>
    </row>
    <row r="18" spans="1:14" x14ac:dyDescent="0.25">
      <c r="A18" t="s">
        <v>40</v>
      </c>
      <c r="B18" t="s">
        <v>41</v>
      </c>
      <c r="C18">
        <v>22550</v>
      </c>
      <c r="D18" s="28">
        <v>45407</v>
      </c>
      <c r="E18" t="s">
        <v>42</v>
      </c>
      <c r="F18">
        <v>1</v>
      </c>
      <c r="G18" s="29">
        <v>45378.635416666657</v>
      </c>
      <c r="H18" s="29">
        <v>45406.635416666657</v>
      </c>
      <c r="I18">
        <v>197</v>
      </c>
      <c r="J18">
        <v>-0.35859999999999997</v>
      </c>
      <c r="K18">
        <v>13.35</v>
      </c>
      <c r="L18">
        <v>-0.1676</v>
      </c>
      <c r="M18">
        <v>11937.2</v>
      </c>
      <c r="N18" t="s">
        <v>43</v>
      </c>
    </row>
    <row r="19" spans="1:14" x14ac:dyDescent="0.25">
      <c r="A19" t="s">
        <v>40</v>
      </c>
      <c r="B19" t="s">
        <v>44</v>
      </c>
      <c r="C19">
        <v>23000</v>
      </c>
      <c r="D19" s="28">
        <v>45442</v>
      </c>
      <c r="E19" t="s">
        <v>42</v>
      </c>
      <c r="F19">
        <v>1</v>
      </c>
      <c r="G19" s="29">
        <v>45406.635416666657</v>
      </c>
      <c r="H19" s="29">
        <v>45441.635416666657</v>
      </c>
      <c r="I19">
        <v>600.15</v>
      </c>
      <c r="J19">
        <v>0.72470000000000001</v>
      </c>
      <c r="K19">
        <v>261.8</v>
      </c>
      <c r="L19">
        <v>0.89039999999999997</v>
      </c>
      <c r="M19">
        <v>21992.7</v>
      </c>
      <c r="N19" t="s">
        <v>43</v>
      </c>
    </row>
    <row r="20" spans="1:14" x14ac:dyDescent="0.25">
      <c r="A20" t="s">
        <v>40</v>
      </c>
      <c r="B20" t="s">
        <v>44</v>
      </c>
      <c r="C20">
        <v>22400</v>
      </c>
      <c r="D20" s="28">
        <v>45442</v>
      </c>
      <c r="E20" t="s">
        <v>45</v>
      </c>
      <c r="F20">
        <v>1</v>
      </c>
      <c r="G20" s="29">
        <v>45406.635416666657</v>
      </c>
      <c r="H20" s="29">
        <v>45441.635416666657</v>
      </c>
      <c r="I20">
        <v>273</v>
      </c>
      <c r="J20">
        <v>-0.42559999999999998</v>
      </c>
      <c r="K20">
        <v>7.1</v>
      </c>
      <c r="L20">
        <v>-7.2499999999999995E-2</v>
      </c>
      <c r="M20">
        <v>-17283.5</v>
      </c>
      <c r="N20" t="s">
        <v>43</v>
      </c>
    </row>
    <row r="21" spans="1:14" x14ac:dyDescent="0.25">
      <c r="A21" t="s">
        <v>40</v>
      </c>
      <c r="B21" t="s">
        <v>41</v>
      </c>
      <c r="C21">
        <v>22600</v>
      </c>
      <c r="D21" s="28">
        <v>45442</v>
      </c>
      <c r="E21" t="s">
        <v>42</v>
      </c>
      <c r="F21">
        <v>1</v>
      </c>
      <c r="G21" s="29">
        <v>45406.635416666657</v>
      </c>
      <c r="H21" s="29">
        <v>45441.635416666657</v>
      </c>
      <c r="I21">
        <v>279.14999999999998</v>
      </c>
      <c r="J21">
        <v>-0.47899999999999998</v>
      </c>
      <c r="K21">
        <v>184.2</v>
      </c>
      <c r="L21">
        <v>-0.72389999999999999</v>
      </c>
      <c r="M21">
        <v>6171.7</v>
      </c>
      <c r="N21" t="s">
        <v>43</v>
      </c>
    </row>
    <row r="22" spans="1:14" x14ac:dyDescent="0.25">
      <c r="A22" t="s">
        <v>40</v>
      </c>
      <c r="B22" t="s">
        <v>44</v>
      </c>
      <c r="C22">
        <v>24000</v>
      </c>
      <c r="D22" s="28">
        <v>45470</v>
      </c>
      <c r="E22" t="s">
        <v>42</v>
      </c>
      <c r="F22">
        <v>1</v>
      </c>
      <c r="G22" s="29">
        <v>45441.635416666657</v>
      </c>
      <c r="H22" s="29">
        <v>45469.635416666657</v>
      </c>
      <c r="I22">
        <v>1271.95</v>
      </c>
      <c r="J22">
        <v>0.7923</v>
      </c>
      <c r="K22">
        <v>152.55000000000001</v>
      </c>
      <c r="L22">
        <v>0.74360000000000004</v>
      </c>
      <c r="M22">
        <v>72761</v>
      </c>
      <c r="N22" t="s">
        <v>43</v>
      </c>
    </row>
    <row r="23" spans="1:14" x14ac:dyDescent="0.25">
      <c r="A23" t="s">
        <v>40</v>
      </c>
      <c r="B23" t="s">
        <v>44</v>
      </c>
      <c r="C23">
        <v>22700</v>
      </c>
      <c r="D23" s="28">
        <v>45470</v>
      </c>
      <c r="E23" t="s">
        <v>45</v>
      </c>
      <c r="F23">
        <v>1</v>
      </c>
      <c r="G23" s="29">
        <v>45441.635416666657</v>
      </c>
      <c r="H23" s="29">
        <v>45469.635416666657</v>
      </c>
      <c r="I23">
        <v>490.75</v>
      </c>
      <c r="J23">
        <v>-0.45079999999999998</v>
      </c>
      <c r="K23">
        <v>0.7</v>
      </c>
      <c r="L23">
        <v>-4.7000000000000002E-3</v>
      </c>
      <c r="M23">
        <v>-31853.200000000001</v>
      </c>
      <c r="N23" t="s">
        <v>43</v>
      </c>
    </row>
    <row r="24" spans="1:14" x14ac:dyDescent="0.25">
      <c r="A24" t="s">
        <v>40</v>
      </c>
      <c r="B24" t="s">
        <v>41</v>
      </c>
      <c r="C24">
        <v>23000</v>
      </c>
      <c r="D24" s="28">
        <v>45470</v>
      </c>
      <c r="E24" t="s">
        <v>42</v>
      </c>
      <c r="F24">
        <v>1</v>
      </c>
      <c r="G24" s="29">
        <v>45441.635416666657</v>
      </c>
      <c r="H24" s="29">
        <v>45469.635416666657</v>
      </c>
      <c r="I24">
        <v>501.7</v>
      </c>
      <c r="J24">
        <v>-0.46650000000000003</v>
      </c>
      <c r="K24">
        <v>879.95</v>
      </c>
      <c r="L24">
        <v>-0.99099999999999999</v>
      </c>
      <c r="M24">
        <v>-24586.3</v>
      </c>
      <c r="N24" t="s">
        <v>43</v>
      </c>
    </row>
    <row r="25" spans="1:14" x14ac:dyDescent="0.25">
      <c r="A25" t="s">
        <v>40</v>
      </c>
      <c r="B25" t="s">
        <v>44</v>
      </c>
      <c r="C25">
        <v>24500</v>
      </c>
      <c r="D25" s="28">
        <v>45498</v>
      </c>
      <c r="E25" t="s">
        <v>42</v>
      </c>
      <c r="F25">
        <v>1</v>
      </c>
      <c r="G25" s="29">
        <v>45469.635416666657</v>
      </c>
      <c r="H25" s="29">
        <v>45488.635416666657</v>
      </c>
      <c r="I25">
        <v>648.35</v>
      </c>
      <c r="J25">
        <v>0.72270000000000001</v>
      </c>
      <c r="K25">
        <v>187.7</v>
      </c>
      <c r="L25">
        <v>0.41199999999999998</v>
      </c>
      <c r="M25">
        <v>29942.3</v>
      </c>
      <c r="N25" t="s">
        <v>46</v>
      </c>
    </row>
    <row r="26" spans="1:14" x14ac:dyDescent="0.25">
      <c r="A26" t="s">
        <v>40</v>
      </c>
      <c r="B26" t="s">
        <v>44</v>
      </c>
      <c r="C26">
        <v>23850</v>
      </c>
      <c r="D26" s="28">
        <v>45498</v>
      </c>
      <c r="E26" t="s">
        <v>45</v>
      </c>
      <c r="F26">
        <v>1</v>
      </c>
      <c r="G26" s="29">
        <v>45469.635416666657</v>
      </c>
      <c r="H26" s="29">
        <v>45488.635416666657</v>
      </c>
      <c r="I26">
        <v>296</v>
      </c>
      <c r="J26">
        <v>-0.42930000000000001</v>
      </c>
      <c r="K26">
        <v>43</v>
      </c>
      <c r="L26">
        <v>-0.12379999999999999</v>
      </c>
      <c r="M26">
        <v>-16445</v>
      </c>
      <c r="N26" t="s">
        <v>46</v>
      </c>
    </row>
    <row r="27" spans="1:14" x14ac:dyDescent="0.25">
      <c r="A27" t="s">
        <v>40</v>
      </c>
      <c r="B27" t="s">
        <v>44</v>
      </c>
      <c r="C27">
        <v>25500</v>
      </c>
      <c r="D27" s="28">
        <v>45498</v>
      </c>
      <c r="E27" t="s">
        <v>42</v>
      </c>
      <c r="F27">
        <v>1</v>
      </c>
      <c r="G27" s="29">
        <v>45488.635416666657</v>
      </c>
      <c r="H27" s="29">
        <v>45497.635416666657</v>
      </c>
      <c r="I27">
        <v>892.75</v>
      </c>
      <c r="J27">
        <v>0.94389999999999996</v>
      </c>
      <c r="K27">
        <v>1126.5</v>
      </c>
      <c r="L27">
        <v>0.99439999999999995</v>
      </c>
      <c r="M27">
        <v>-15193.8</v>
      </c>
      <c r="N27" t="s">
        <v>43</v>
      </c>
    </row>
    <row r="28" spans="1:14" x14ac:dyDescent="0.25">
      <c r="A28" t="s">
        <v>40</v>
      </c>
      <c r="B28" t="s">
        <v>44</v>
      </c>
      <c r="C28">
        <v>24600</v>
      </c>
      <c r="D28" s="28">
        <v>45498</v>
      </c>
      <c r="E28" t="s">
        <v>45</v>
      </c>
      <c r="F28">
        <v>1</v>
      </c>
      <c r="G28" s="29">
        <v>45488.635416666657</v>
      </c>
      <c r="H28" s="29">
        <v>45497.635416666657</v>
      </c>
      <c r="I28">
        <v>230.05</v>
      </c>
      <c r="J28">
        <v>-0.47520000000000001</v>
      </c>
      <c r="K28">
        <v>235.8</v>
      </c>
      <c r="L28">
        <v>-0.85499999999999998</v>
      </c>
      <c r="M28">
        <v>373.8</v>
      </c>
      <c r="N28" t="s">
        <v>43</v>
      </c>
    </row>
    <row r="29" spans="1:14" x14ac:dyDescent="0.25">
      <c r="A29" t="s">
        <v>40</v>
      </c>
      <c r="B29" t="s">
        <v>41</v>
      </c>
      <c r="C29">
        <v>24100</v>
      </c>
      <c r="D29" s="28">
        <v>45498</v>
      </c>
      <c r="E29" t="s">
        <v>42</v>
      </c>
      <c r="F29">
        <v>1</v>
      </c>
      <c r="G29" s="29">
        <v>45469.635416666657</v>
      </c>
      <c r="H29" s="29">
        <v>45497.635416666657</v>
      </c>
      <c r="I29">
        <v>293.75</v>
      </c>
      <c r="J29">
        <v>-0.4592</v>
      </c>
      <c r="K29">
        <v>288.85000000000002</v>
      </c>
      <c r="L29">
        <v>-0.90510000000000002</v>
      </c>
      <c r="M29">
        <v>318.5</v>
      </c>
      <c r="N29" t="s">
        <v>43</v>
      </c>
    </row>
    <row r="30" spans="1:14" x14ac:dyDescent="0.25">
      <c r="A30" t="s">
        <v>40</v>
      </c>
      <c r="B30" t="s">
        <v>44</v>
      </c>
      <c r="C30">
        <v>25500</v>
      </c>
      <c r="D30" s="28">
        <v>45533</v>
      </c>
      <c r="E30" t="s">
        <v>42</v>
      </c>
      <c r="F30">
        <v>1</v>
      </c>
      <c r="G30" s="29">
        <v>45497.635416666657</v>
      </c>
      <c r="H30" s="29">
        <v>45532.635416666657</v>
      </c>
      <c r="I30">
        <v>1050</v>
      </c>
      <c r="J30">
        <v>0.87549999999999994</v>
      </c>
      <c r="K30">
        <v>456</v>
      </c>
      <c r="L30">
        <v>0.9899</v>
      </c>
      <c r="M30">
        <v>38610</v>
      </c>
      <c r="N30" t="s">
        <v>43</v>
      </c>
    </row>
    <row r="31" spans="1:14" x14ac:dyDescent="0.25">
      <c r="A31" t="s">
        <v>40</v>
      </c>
      <c r="B31" t="s">
        <v>44</v>
      </c>
      <c r="C31">
        <v>24400</v>
      </c>
      <c r="D31" s="28">
        <v>45533</v>
      </c>
      <c r="E31" t="s">
        <v>45</v>
      </c>
      <c r="F31">
        <v>1</v>
      </c>
      <c r="G31" s="29">
        <v>45497.635416666657</v>
      </c>
      <c r="H31" s="29">
        <v>45532.635416666657</v>
      </c>
      <c r="I31">
        <v>319.10000000000002</v>
      </c>
      <c r="J31">
        <v>-0.42770000000000002</v>
      </c>
      <c r="K31">
        <v>0.85</v>
      </c>
      <c r="L31">
        <v>-8.9999999999999993E-3</v>
      </c>
      <c r="M31">
        <v>-20686.2</v>
      </c>
      <c r="N31" t="s">
        <v>43</v>
      </c>
    </row>
    <row r="32" spans="1:14" x14ac:dyDescent="0.25">
      <c r="A32" t="s">
        <v>40</v>
      </c>
      <c r="B32" t="s">
        <v>41</v>
      </c>
      <c r="C32">
        <v>24550</v>
      </c>
      <c r="D32" s="28">
        <v>45533</v>
      </c>
      <c r="E32" t="s">
        <v>42</v>
      </c>
      <c r="F32">
        <v>1</v>
      </c>
      <c r="G32" s="29">
        <v>45497.635416666657</v>
      </c>
      <c r="H32" s="29">
        <v>45532.635416666657</v>
      </c>
      <c r="I32">
        <v>328.25</v>
      </c>
      <c r="J32">
        <v>-0.5121</v>
      </c>
      <c r="K32">
        <v>490.85</v>
      </c>
      <c r="L32">
        <v>-0.98740000000000006</v>
      </c>
      <c r="M32">
        <v>-10569</v>
      </c>
      <c r="N32" t="s">
        <v>43</v>
      </c>
    </row>
    <row r="33" spans="1:14" x14ac:dyDescent="0.25">
      <c r="A33" t="s">
        <v>40</v>
      </c>
      <c r="B33" t="s">
        <v>44</v>
      </c>
      <c r="C33">
        <v>26000</v>
      </c>
      <c r="D33" s="28">
        <v>45561</v>
      </c>
      <c r="E33" t="s">
        <v>42</v>
      </c>
      <c r="F33">
        <v>1</v>
      </c>
      <c r="G33" s="29">
        <v>45532.635416666657</v>
      </c>
      <c r="H33" s="29">
        <v>45560.635416666657</v>
      </c>
      <c r="I33">
        <v>884.25</v>
      </c>
      <c r="J33">
        <v>0.86219999999999997</v>
      </c>
      <c r="K33">
        <v>66.099999999999994</v>
      </c>
      <c r="L33">
        <v>0.43640000000000001</v>
      </c>
      <c r="M33">
        <v>53179.8</v>
      </c>
      <c r="N33" t="s">
        <v>47</v>
      </c>
    </row>
    <row r="34" spans="1:14" x14ac:dyDescent="0.25">
      <c r="A34" t="s">
        <v>40</v>
      </c>
      <c r="B34" t="s">
        <v>44</v>
      </c>
      <c r="C34">
        <v>25050</v>
      </c>
      <c r="D34" s="28">
        <v>45561</v>
      </c>
      <c r="E34" t="s">
        <v>45</v>
      </c>
      <c r="F34">
        <v>1</v>
      </c>
      <c r="G34" s="29">
        <v>45532.635416666657</v>
      </c>
      <c r="H34" s="29">
        <v>45560.635416666657</v>
      </c>
      <c r="I34">
        <v>288.89999999999998</v>
      </c>
      <c r="J34">
        <v>-0.43430000000000002</v>
      </c>
      <c r="K34">
        <v>1.95</v>
      </c>
      <c r="L34">
        <v>-1.2500000000000001E-2</v>
      </c>
      <c r="M34">
        <v>-18651.8</v>
      </c>
      <c r="N34" t="s">
        <v>47</v>
      </c>
    </row>
    <row r="35" spans="1:14" x14ac:dyDescent="0.25">
      <c r="A35" t="s">
        <v>40</v>
      </c>
      <c r="B35" t="s">
        <v>41</v>
      </c>
      <c r="C35">
        <v>25250</v>
      </c>
      <c r="D35" s="28">
        <v>45561</v>
      </c>
      <c r="E35" t="s">
        <v>42</v>
      </c>
      <c r="F35">
        <v>1</v>
      </c>
      <c r="G35" s="29">
        <v>45532.635416666657</v>
      </c>
      <c r="H35" s="29">
        <v>45560.635416666657</v>
      </c>
      <c r="I35">
        <v>285.8</v>
      </c>
      <c r="J35">
        <v>-0.47249999999999998</v>
      </c>
      <c r="K35">
        <v>764.1</v>
      </c>
      <c r="L35">
        <v>-0.9819</v>
      </c>
      <c r="M35">
        <v>-31089.5</v>
      </c>
      <c r="N35" t="s">
        <v>43</v>
      </c>
    </row>
    <row r="36" spans="1:14" x14ac:dyDescent="0.25">
      <c r="A36" t="s">
        <v>40</v>
      </c>
      <c r="B36" t="s">
        <v>44</v>
      </c>
      <c r="C36">
        <v>26700</v>
      </c>
      <c r="D36" s="28">
        <v>45596</v>
      </c>
      <c r="E36" t="s">
        <v>42</v>
      </c>
      <c r="F36">
        <v>1</v>
      </c>
      <c r="G36" s="29">
        <v>45560.635416666657</v>
      </c>
      <c r="H36" s="29">
        <v>45595.635416666657</v>
      </c>
      <c r="I36">
        <v>700.35</v>
      </c>
      <c r="J36">
        <v>0.72170000000000001</v>
      </c>
      <c r="K36">
        <v>2338.75</v>
      </c>
      <c r="L36">
        <v>0.99780000000000002</v>
      </c>
      <c r="M36">
        <v>-106496</v>
      </c>
      <c r="N36" t="s">
        <v>43</v>
      </c>
    </row>
    <row r="37" spans="1:14" x14ac:dyDescent="0.25">
      <c r="A37" t="s">
        <v>40</v>
      </c>
      <c r="B37" t="s">
        <v>44</v>
      </c>
      <c r="C37">
        <v>26000</v>
      </c>
      <c r="D37" s="28">
        <v>45596</v>
      </c>
      <c r="E37" t="s">
        <v>45</v>
      </c>
      <c r="F37">
        <v>1</v>
      </c>
      <c r="G37" s="29">
        <v>45560.635416666657</v>
      </c>
      <c r="H37" s="29">
        <v>45595.635416666657</v>
      </c>
      <c r="I37">
        <v>328.95</v>
      </c>
      <c r="J37">
        <v>-0.42009999999999997</v>
      </c>
      <c r="K37">
        <v>1633.95</v>
      </c>
      <c r="L37">
        <v>-0.99709999999999999</v>
      </c>
      <c r="M37">
        <v>84825</v>
      </c>
      <c r="N37" t="s">
        <v>43</v>
      </c>
    </row>
    <row r="38" spans="1:14" x14ac:dyDescent="0.25">
      <c r="A38" t="s">
        <v>40</v>
      </c>
      <c r="B38" t="s">
        <v>41</v>
      </c>
      <c r="C38">
        <v>26250</v>
      </c>
      <c r="D38" s="28">
        <v>45596</v>
      </c>
      <c r="E38" t="s">
        <v>42</v>
      </c>
      <c r="F38">
        <v>1</v>
      </c>
      <c r="G38" s="29">
        <v>45560.635416666657</v>
      </c>
      <c r="H38" s="29">
        <v>45595.635416666657</v>
      </c>
      <c r="I38">
        <v>328.65</v>
      </c>
      <c r="J38">
        <v>-0.4819</v>
      </c>
      <c r="K38">
        <v>0.5</v>
      </c>
      <c r="L38">
        <v>-2.5999999999999999E-3</v>
      </c>
      <c r="M38">
        <v>21329.8</v>
      </c>
      <c r="N38" t="s">
        <v>43</v>
      </c>
    </row>
    <row r="39" spans="1:14" x14ac:dyDescent="0.25">
      <c r="A39" t="s">
        <v>40</v>
      </c>
      <c r="B39" t="s">
        <v>44</v>
      </c>
      <c r="C39">
        <v>25000</v>
      </c>
      <c r="D39" s="28">
        <v>45624</v>
      </c>
      <c r="E39" t="s">
        <v>42</v>
      </c>
      <c r="F39">
        <v>1</v>
      </c>
      <c r="G39" s="29">
        <v>45595.635416666657</v>
      </c>
      <c r="H39" s="29">
        <v>45623.635416666657</v>
      </c>
      <c r="I39">
        <v>682.15</v>
      </c>
      <c r="J39">
        <v>0.69840000000000002</v>
      </c>
      <c r="K39">
        <v>700</v>
      </c>
      <c r="L39">
        <v>0.99309999999999998</v>
      </c>
      <c r="M39">
        <v>-1160.3</v>
      </c>
      <c r="N39" t="s">
        <v>43</v>
      </c>
    </row>
    <row r="40" spans="1:14" x14ac:dyDescent="0.25">
      <c r="A40" t="s">
        <v>40</v>
      </c>
      <c r="B40" t="s">
        <v>44</v>
      </c>
      <c r="C40">
        <v>24350</v>
      </c>
      <c r="D40" s="28">
        <v>45624</v>
      </c>
      <c r="E40" t="s">
        <v>45</v>
      </c>
      <c r="F40">
        <v>1</v>
      </c>
      <c r="G40" s="29">
        <v>45595.635416666657</v>
      </c>
      <c r="H40" s="29">
        <v>45623.635416666657</v>
      </c>
      <c r="I40">
        <v>345.55</v>
      </c>
      <c r="J40">
        <v>-0.44790000000000002</v>
      </c>
      <c r="K40">
        <v>98.35</v>
      </c>
      <c r="L40">
        <v>-0.64539999999999997</v>
      </c>
      <c r="M40">
        <v>-16068</v>
      </c>
      <c r="N40" t="s">
        <v>43</v>
      </c>
    </row>
    <row r="41" spans="1:14" x14ac:dyDescent="0.25">
      <c r="A41" t="s">
        <v>40</v>
      </c>
      <c r="B41" t="s">
        <v>41</v>
      </c>
      <c r="C41">
        <v>24600</v>
      </c>
      <c r="D41" s="28">
        <v>45624</v>
      </c>
      <c r="E41" t="s">
        <v>42</v>
      </c>
      <c r="F41">
        <v>1</v>
      </c>
      <c r="G41" s="29">
        <v>45595.635416666657</v>
      </c>
      <c r="H41" s="29">
        <v>45623.635416666657</v>
      </c>
      <c r="I41">
        <v>352.2</v>
      </c>
      <c r="J41">
        <v>-0.45600000000000002</v>
      </c>
      <c r="K41">
        <v>4.95</v>
      </c>
      <c r="L41">
        <v>-5.7299999999999997E-2</v>
      </c>
      <c r="M41">
        <v>22571.200000000001</v>
      </c>
      <c r="N41" t="s">
        <v>43</v>
      </c>
    </row>
    <row r="42" spans="1:14" x14ac:dyDescent="0.25">
      <c r="A42" t="s">
        <v>40</v>
      </c>
      <c r="B42" t="s">
        <v>44</v>
      </c>
      <c r="C42">
        <v>24700</v>
      </c>
      <c r="D42" s="28">
        <v>45652</v>
      </c>
      <c r="E42" t="s">
        <v>42</v>
      </c>
      <c r="F42">
        <v>1</v>
      </c>
      <c r="G42" s="29">
        <v>45623.635416666657</v>
      </c>
      <c r="H42" s="29">
        <v>45631.635416666657</v>
      </c>
      <c r="I42">
        <v>471.85</v>
      </c>
      <c r="J42">
        <v>0.62749999999999995</v>
      </c>
      <c r="K42">
        <v>275.2</v>
      </c>
      <c r="L42">
        <v>0.42970000000000003</v>
      </c>
      <c r="M42">
        <v>12782.3</v>
      </c>
      <c r="N42" t="s">
        <v>46</v>
      </c>
    </row>
    <row r="43" spans="1:14" x14ac:dyDescent="0.25">
      <c r="A43" t="s">
        <v>40</v>
      </c>
      <c r="B43" t="s">
        <v>44</v>
      </c>
      <c r="C43">
        <v>24250</v>
      </c>
      <c r="D43" s="28">
        <v>45652</v>
      </c>
      <c r="E43" t="s">
        <v>45</v>
      </c>
      <c r="F43">
        <v>1</v>
      </c>
      <c r="G43" s="29">
        <v>45623.635416666657</v>
      </c>
      <c r="H43" s="29">
        <v>45631.635416666657</v>
      </c>
      <c r="I43">
        <v>263.39999999999998</v>
      </c>
      <c r="J43">
        <v>-0.4229</v>
      </c>
      <c r="K43">
        <v>144.6</v>
      </c>
      <c r="L43">
        <v>-0.25540000000000002</v>
      </c>
      <c r="M43">
        <v>-7722</v>
      </c>
      <c r="N43" t="s">
        <v>46</v>
      </c>
    </row>
    <row r="44" spans="1:14" x14ac:dyDescent="0.25">
      <c r="A44" t="s">
        <v>40</v>
      </c>
      <c r="B44" t="s">
        <v>44</v>
      </c>
      <c r="C44">
        <v>25500</v>
      </c>
      <c r="D44" s="28">
        <v>45652</v>
      </c>
      <c r="E44" t="s">
        <v>42</v>
      </c>
      <c r="F44">
        <v>1</v>
      </c>
      <c r="G44" s="29">
        <v>45631.635416666657</v>
      </c>
      <c r="H44" s="29">
        <v>45650.635416666657</v>
      </c>
      <c r="I44">
        <v>760</v>
      </c>
      <c r="J44">
        <v>0.83079999999999998</v>
      </c>
      <c r="K44">
        <v>1731.05</v>
      </c>
      <c r="L44">
        <v>0.99609999999999999</v>
      </c>
      <c r="M44">
        <v>-63118.2</v>
      </c>
      <c r="N44" t="s">
        <v>43</v>
      </c>
    </row>
    <row r="45" spans="1:14" x14ac:dyDescent="0.25">
      <c r="A45" t="s">
        <v>40</v>
      </c>
      <c r="B45" t="s">
        <v>44</v>
      </c>
      <c r="C45">
        <v>24750</v>
      </c>
      <c r="D45" s="28">
        <v>45652</v>
      </c>
      <c r="E45" t="s">
        <v>45</v>
      </c>
      <c r="F45">
        <v>1</v>
      </c>
      <c r="G45" s="29">
        <v>45631.635416666657</v>
      </c>
      <c r="H45" s="29">
        <v>45650.635416666657</v>
      </c>
      <c r="I45">
        <v>294.35000000000002</v>
      </c>
      <c r="J45">
        <v>-0.45190000000000002</v>
      </c>
      <c r="K45">
        <v>978.05</v>
      </c>
      <c r="L45">
        <v>-0.99339999999999995</v>
      </c>
      <c r="M45">
        <v>44440.5</v>
      </c>
      <c r="N45" t="s">
        <v>43</v>
      </c>
    </row>
    <row r="46" spans="1:14" x14ac:dyDescent="0.25">
      <c r="A46" t="s">
        <v>40</v>
      </c>
      <c r="B46" t="s">
        <v>41</v>
      </c>
      <c r="C46">
        <v>24600</v>
      </c>
      <c r="D46" s="28">
        <v>45652</v>
      </c>
      <c r="E46" t="s">
        <v>42</v>
      </c>
      <c r="F46">
        <v>1</v>
      </c>
      <c r="G46" s="29">
        <v>45623.635416666657</v>
      </c>
      <c r="H46" s="29">
        <v>45650.635416666657</v>
      </c>
      <c r="I46">
        <v>263</v>
      </c>
      <c r="J46">
        <v>-0.41770000000000002</v>
      </c>
      <c r="K46">
        <v>1.05</v>
      </c>
      <c r="L46">
        <v>-8.8000000000000005E-3</v>
      </c>
      <c r="M46">
        <v>17026.8</v>
      </c>
      <c r="N46" t="s">
        <v>43</v>
      </c>
    </row>
    <row r="47" spans="1:14" x14ac:dyDescent="0.25">
      <c r="A47" t="s">
        <v>40</v>
      </c>
      <c r="B47" t="s">
        <v>44</v>
      </c>
      <c r="C47">
        <v>24300</v>
      </c>
      <c r="D47" s="28">
        <v>45687</v>
      </c>
      <c r="E47" t="s">
        <v>42</v>
      </c>
      <c r="F47">
        <v>1</v>
      </c>
      <c r="G47" s="29">
        <v>45650.635416666657</v>
      </c>
      <c r="H47" s="29">
        <v>45686.635416666657</v>
      </c>
      <c r="I47">
        <v>574.25</v>
      </c>
      <c r="J47">
        <v>0.65790000000000004</v>
      </c>
      <c r="K47">
        <v>1159</v>
      </c>
      <c r="L47">
        <v>0.99609999999999999</v>
      </c>
      <c r="M47">
        <v>-38008.800000000003</v>
      </c>
      <c r="N47" t="s">
        <v>43</v>
      </c>
    </row>
    <row r="48" spans="1:14" x14ac:dyDescent="0.25">
      <c r="A48" t="s">
        <v>40</v>
      </c>
      <c r="B48" t="s">
        <v>44</v>
      </c>
      <c r="C48">
        <v>23750</v>
      </c>
      <c r="D48" s="28">
        <v>45687</v>
      </c>
      <c r="E48" t="s">
        <v>45</v>
      </c>
      <c r="F48">
        <v>1</v>
      </c>
      <c r="G48" s="29">
        <v>45650.635416666657</v>
      </c>
      <c r="H48" s="29">
        <v>45686.635416666657</v>
      </c>
      <c r="I48">
        <v>303.10000000000002</v>
      </c>
      <c r="J48">
        <v>-0.43490000000000001</v>
      </c>
      <c r="K48">
        <v>605</v>
      </c>
      <c r="L48">
        <v>-0.97260000000000002</v>
      </c>
      <c r="M48">
        <v>19623.5</v>
      </c>
      <c r="N48" t="s">
        <v>43</v>
      </c>
    </row>
    <row r="49" spans="1:14" x14ac:dyDescent="0.25">
      <c r="A49" t="s">
        <v>40</v>
      </c>
      <c r="B49" t="s">
        <v>41</v>
      </c>
      <c r="C49">
        <v>24100</v>
      </c>
      <c r="D49" s="28">
        <v>45687</v>
      </c>
      <c r="E49" t="s">
        <v>42</v>
      </c>
      <c r="F49">
        <v>1</v>
      </c>
      <c r="G49" s="29">
        <v>45650.635416666657</v>
      </c>
      <c r="H49" s="29">
        <v>45686.635416666657</v>
      </c>
      <c r="I49">
        <v>297.45</v>
      </c>
      <c r="J49">
        <v>-0.42230000000000001</v>
      </c>
      <c r="K49">
        <v>0.7</v>
      </c>
      <c r="L49">
        <v>-6.0000000000000001E-3</v>
      </c>
      <c r="M49">
        <v>19288.8</v>
      </c>
      <c r="N49" t="s">
        <v>43</v>
      </c>
    </row>
    <row r="50" spans="1:14" x14ac:dyDescent="0.25">
      <c r="A50" t="s">
        <v>40</v>
      </c>
      <c r="B50" t="s">
        <v>44</v>
      </c>
      <c r="C50">
        <v>24300</v>
      </c>
      <c r="D50" s="28">
        <v>45715</v>
      </c>
      <c r="E50" t="s">
        <v>42</v>
      </c>
      <c r="F50">
        <v>1</v>
      </c>
      <c r="G50" s="29">
        <v>45686.635416666657</v>
      </c>
      <c r="H50" s="29">
        <v>45713.635416666657</v>
      </c>
      <c r="I50">
        <v>1125.6500000000001</v>
      </c>
      <c r="J50">
        <v>0.80889999999999995</v>
      </c>
      <c r="K50">
        <v>1711.75</v>
      </c>
      <c r="L50">
        <v>0.99650000000000005</v>
      </c>
      <c r="M50">
        <v>-38096.5</v>
      </c>
      <c r="N50" t="s">
        <v>43</v>
      </c>
    </row>
    <row r="51" spans="1:14" x14ac:dyDescent="0.25">
      <c r="A51" t="s">
        <v>40</v>
      </c>
      <c r="B51" t="s">
        <v>44</v>
      </c>
      <c r="C51">
        <v>23150</v>
      </c>
      <c r="D51" s="28">
        <v>45715</v>
      </c>
      <c r="E51" t="s">
        <v>45</v>
      </c>
      <c r="F51">
        <v>1</v>
      </c>
      <c r="G51" s="29">
        <v>45686.635416666657</v>
      </c>
      <c r="H51" s="29">
        <v>45713.635416666657</v>
      </c>
      <c r="I51">
        <v>429</v>
      </c>
      <c r="J51">
        <v>-0.44869999999999999</v>
      </c>
      <c r="K51">
        <v>563</v>
      </c>
      <c r="L51">
        <v>-0.9798</v>
      </c>
      <c r="M51">
        <v>8710</v>
      </c>
      <c r="N51" t="s">
        <v>43</v>
      </c>
    </row>
    <row r="52" spans="1:14" x14ac:dyDescent="0.25">
      <c r="A52" t="s">
        <v>40</v>
      </c>
      <c r="B52" t="s">
        <v>41</v>
      </c>
      <c r="C52">
        <v>23400</v>
      </c>
      <c r="D52" s="28">
        <v>45715</v>
      </c>
      <c r="E52" t="s">
        <v>42</v>
      </c>
      <c r="F52">
        <v>1</v>
      </c>
      <c r="G52" s="29">
        <v>45686.635416666657</v>
      </c>
      <c r="H52" s="29">
        <v>45713.635416666657</v>
      </c>
      <c r="I52">
        <v>422.45</v>
      </c>
      <c r="J52">
        <v>-0.46970000000000001</v>
      </c>
      <c r="K52">
        <v>1.55</v>
      </c>
      <c r="L52">
        <v>-1.23E-2</v>
      </c>
      <c r="M52">
        <v>27358.5</v>
      </c>
      <c r="N52" t="s">
        <v>43</v>
      </c>
    </row>
    <row r="53" spans="1:14" x14ac:dyDescent="0.25">
      <c r="A53" t="s">
        <v>40</v>
      </c>
      <c r="B53" t="s">
        <v>44</v>
      </c>
      <c r="C53">
        <v>23100</v>
      </c>
      <c r="D53" s="28">
        <v>45743</v>
      </c>
      <c r="E53" t="s">
        <v>42</v>
      </c>
      <c r="F53">
        <v>1</v>
      </c>
      <c r="G53" s="29">
        <v>45713.635416666657</v>
      </c>
      <c r="H53" s="29">
        <v>45736.635416666657</v>
      </c>
      <c r="I53">
        <v>532</v>
      </c>
      <c r="J53">
        <v>0.69010000000000005</v>
      </c>
      <c r="K53">
        <v>94.45</v>
      </c>
      <c r="L53">
        <v>0.373</v>
      </c>
      <c r="M53">
        <v>28440.799999999999</v>
      </c>
      <c r="N53" t="s">
        <v>46</v>
      </c>
    </row>
    <row r="54" spans="1:14" x14ac:dyDescent="0.25">
      <c r="A54" t="s">
        <v>40</v>
      </c>
      <c r="B54" t="s">
        <v>44</v>
      </c>
      <c r="C54">
        <v>22550</v>
      </c>
      <c r="D54" s="28">
        <v>45743</v>
      </c>
      <c r="E54" t="s">
        <v>45</v>
      </c>
      <c r="F54">
        <v>1</v>
      </c>
      <c r="G54" s="29">
        <v>45713.635416666657</v>
      </c>
      <c r="H54" s="29">
        <v>45736.635416666657</v>
      </c>
      <c r="I54">
        <v>255.55</v>
      </c>
      <c r="J54">
        <v>-0.43240000000000001</v>
      </c>
      <c r="K54">
        <v>12.85</v>
      </c>
      <c r="L54">
        <v>-6.5199999999999994E-2</v>
      </c>
      <c r="M54">
        <v>-15775.5</v>
      </c>
      <c r="N54" t="s">
        <v>46</v>
      </c>
    </row>
    <row r="55" spans="1:14" x14ac:dyDescent="0.25">
      <c r="A55" t="s">
        <v>40</v>
      </c>
      <c r="B55" t="s">
        <v>44</v>
      </c>
      <c r="C55">
        <v>23700</v>
      </c>
      <c r="D55" s="28">
        <v>45743</v>
      </c>
      <c r="E55" t="s">
        <v>42</v>
      </c>
      <c r="F55">
        <v>1</v>
      </c>
      <c r="G55" s="29">
        <v>45736.635416666657</v>
      </c>
      <c r="H55" s="29">
        <v>45742.635416666657</v>
      </c>
      <c r="I55">
        <v>516.1</v>
      </c>
      <c r="J55">
        <v>0.92920000000000003</v>
      </c>
      <c r="K55">
        <v>202</v>
      </c>
      <c r="L55">
        <v>0.81130000000000002</v>
      </c>
      <c r="M55">
        <v>20416.5</v>
      </c>
      <c r="N55" t="s">
        <v>43</v>
      </c>
    </row>
    <row r="56" spans="1:14" x14ac:dyDescent="0.25">
      <c r="A56" t="s">
        <v>40</v>
      </c>
      <c r="B56" t="s">
        <v>44</v>
      </c>
      <c r="C56">
        <v>23200</v>
      </c>
      <c r="D56" s="28">
        <v>45743</v>
      </c>
      <c r="E56" t="s">
        <v>45</v>
      </c>
      <c r="F56">
        <v>1</v>
      </c>
      <c r="G56" s="29">
        <v>45736.635416666657</v>
      </c>
      <c r="H56" s="29">
        <v>45742.635416666657</v>
      </c>
      <c r="I56">
        <v>137</v>
      </c>
      <c r="J56">
        <v>-0.48010000000000003</v>
      </c>
      <c r="K56">
        <v>10.6</v>
      </c>
      <c r="L56">
        <v>-9.7699999999999995E-2</v>
      </c>
      <c r="M56">
        <v>-8216</v>
      </c>
      <c r="N56" t="s">
        <v>43</v>
      </c>
    </row>
    <row r="57" spans="1:14" x14ac:dyDescent="0.25">
      <c r="A57" t="s">
        <v>40</v>
      </c>
      <c r="B57" t="s">
        <v>41</v>
      </c>
      <c r="C57">
        <v>22850</v>
      </c>
      <c r="D57" s="28">
        <v>45743</v>
      </c>
      <c r="E57" t="s">
        <v>42</v>
      </c>
      <c r="F57">
        <v>1</v>
      </c>
      <c r="G57" s="29">
        <v>45713.635416666657</v>
      </c>
      <c r="H57" s="29">
        <v>45742.635416666657</v>
      </c>
      <c r="I57">
        <v>265.35000000000002</v>
      </c>
      <c r="J57">
        <v>-0.42620000000000002</v>
      </c>
      <c r="K57">
        <v>688</v>
      </c>
      <c r="L57">
        <v>-0.9778</v>
      </c>
      <c r="M57">
        <v>-27472.2</v>
      </c>
      <c r="N57" t="s">
        <v>43</v>
      </c>
    </row>
    <row r="58" spans="1:14" x14ac:dyDescent="0.25">
      <c r="A58" t="s">
        <v>40</v>
      </c>
      <c r="B58" t="s">
        <v>44</v>
      </c>
      <c r="C58">
        <v>24000</v>
      </c>
      <c r="D58" s="28">
        <v>45771</v>
      </c>
      <c r="E58" t="s">
        <v>42</v>
      </c>
      <c r="F58">
        <v>1</v>
      </c>
      <c r="G58" s="29">
        <v>45742.635416666657</v>
      </c>
      <c r="H58" s="29">
        <v>45768.635416666657</v>
      </c>
      <c r="I58">
        <v>499</v>
      </c>
      <c r="J58">
        <v>0.66810000000000003</v>
      </c>
      <c r="K58">
        <v>70.5</v>
      </c>
      <c r="L58">
        <v>0.3286</v>
      </c>
      <c r="M58">
        <v>27852.5</v>
      </c>
      <c r="N58" t="s">
        <v>46</v>
      </c>
    </row>
    <row r="59" spans="1:14" x14ac:dyDescent="0.25">
      <c r="A59" t="s">
        <v>40</v>
      </c>
      <c r="B59" t="s">
        <v>44</v>
      </c>
      <c r="C59">
        <v>23500</v>
      </c>
      <c r="D59" s="28">
        <v>45771</v>
      </c>
      <c r="E59" t="s">
        <v>45</v>
      </c>
      <c r="F59">
        <v>1</v>
      </c>
      <c r="G59" s="29">
        <v>45742.635416666657</v>
      </c>
      <c r="H59" s="29">
        <v>45768.635416666657</v>
      </c>
      <c r="I59">
        <v>253.75</v>
      </c>
      <c r="J59">
        <v>-0.43640000000000001</v>
      </c>
      <c r="K59">
        <v>18.399999999999999</v>
      </c>
      <c r="L59">
        <v>-8.4000000000000005E-2</v>
      </c>
      <c r="M59">
        <v>-15297.8</v>
      </c>
      <c r="N59" t="s">
        <v>46</v>
      </c>
    </row>
    <row r="60" spans="1:14" x14ac:dyDescent="0.25">
      <c r="A60" t="s">
        <v>40</v>
      </c>
      <c r="B60" t="s">
        <v>44</v>
      </c>
      <c r="C60">
        <v>24600</v>
      </c>
      <c r="D60" s="28">
        <v>45771</v>
      </c>
      <c r="E60" t="s">
        <v>42</v>
      </c>
      <c r="F60">
        <v>1</v>
      </c>
      <c r="G60" s="29">
        <v>45768.635416666657</v>
      </c>
      <c r="H60" s="29">
        <v>45770.635416666657</v>
      </c>
      <c r="I60">
        <v>466.75</v>
      </c>
      <c r="J60">
        <v>0.89580000000000004</v>
      </c>
      <c r="K60">
        <v>314.8</v>
      </c>
      <c r="L60">
        <v>0.87960000000000005</v>
      </c>
      <c r="M60">
        <v>9876.7999999999993</v>
      </c>
      <c r="N60" t="s">
        <v>43</v>
      </c>
    </row>
    <row r="61" spans="1:14" x14ac:dyDescent="0.25">
      <c r="A61" t="s">
        <v>40</v>
      </c>
      <c r="B61" t="s">
        <v>44</v>
      </c>
      <c r="C61">
        <v>24150</v>
      </c>
      <c r="D61" s="28">
        <v>45771</v>
      </c>
      <c r="E61" t="s">
        <v>45</v>
      </c>
      <c r="F61">
        <v>1</v>
      </c>
      <c r="G61" s="29">
        <v>45768.635416666657</v>
      </c>
      <c r="H61" s="29">
        <v>45770.635416666657</v>
      </c>
      <c r="I61">
        <v>126.45</v>
      </c>
      <c r="J61">
        <v>-0.50829999999999997</v>
      </c>
      <c r="K61">
        <v>18.95</v>
      </c>
      <c r="L61">
        <v>-0.1797</v>
      </c>
      <c r="M61">
        <v>-6987.5</v>
      </c>
      <c r="N61" t="s">
        <v>43</v>
      </c>
    </row>
    <row r="62" spans="1:14" x14ac:dyDescent="0.25">
      <c r="A62" t="s">
        <v>40</v>
      </c>
      <c r="B62" t="s">
        <v>41</v>
      </c>
      <c r="C62">
        <v>23850</v>
      </c>
      <c r="D62" s="28">
        <v>45771</v>
      </c>
      <c r="E62" t="s">
        <v>42</v>
      </c>
      <c r="F62">
        <v>1</v>
      </c>
      <c r="G62" s="29">
        <v>45742.635416666657</v>
      </c>
      <c r="H62" s="29">
        <v>45770.635416666657</v>
      </c>
      <c r="I62">
        <v>244</v>
      </c>
      <c r="J62">
        <v>-0.40050000000000002</v>
      </c>
      <c r="K62">
        <v>461.5</v>
      </c>
      <c r="L62">
        <v>-0.92989999999999995</v>
      </c>
      <c r="M62">
        <v>-14137.5</v>
      </c>
      <c r="N62" t="s">
        <v>43</v>
      </c>
    </row>
    <row r="63" spans="1:14" x14ac:dyDescent="0.25">
      <c r="A63" t="s">
        <v>40</v>
      </c>
      <c r="B63" t="s">
        <v>44</v>
      </c>
      <c r="C63">
        <v>25500</v>
      </c>
      <c r="D63" s="28">
        <v>45806</v>
      </c>
      <c r="E63" t="s">
        <v>42</v>
      </c>
      <c r="F63">
        <v>1</v>
      </c>
      <c r="G63" s="29">
        <v>45770.635416666657</v>
      </c>
      <c r="H63" s="29">
        <v>45776.635416666657</v>
      </c>
      <c r="I63">
        <v>1135</v>
      </c>
      <c r="J63">
        <v>0.8337</v>
      </c>
      <c r="K63">
        <v>1130</v>
      </c>
      <c r="L63">
        <v>0.86060000000000003</v>
      </c>
      <c r="M63">
        <v>325</v>
      </c>
      <c r="N63" t="s">
        <v>43</v>
      </c>
    </row>
    <row r="64" spans="1:14" x14ac:dyDescent="0.25">
      <c r="A64" t="s">
        <v>40</v>
      </c>
      <c r="B64" t="s">
        <v>44</v>
      </c>
      <c r="C64">
        <v>24300</v>
      </c>
      <c r="D64" s="28">
        <v>45806</v>
      </c>
      <c r="E64" t="s">
        <v>45</v>
      </c>
      <c r="F64">
        <v>1</v>
      </c>
      <c r="G64" s="29">
        <v>45770.635416666657</v>
      </c>
      <c r="H64" s="29">
        <v>45776.635416666657</v>
      </c>
      <c r="I64">
        <v>390.7</v>
      </c>
      <c r="J64">
        <v>-0.43109999999999998</v>
      </c>
      <c r="K64">
        <v>384</v>
      </c>
      <c r="L64">
        <v>-0.4385</v>
      </c>
      <c r="M64">
        <v>-435.5</v>
      </c>
      <c r="N64" t="s">
        <v>43</v>
      </c>
    </row>
    <row r="65" spans="1:14" x14ac:dyDescent="0.25">
      <c r="A65" t="s">
        <v>40</v>
      </c>
      <c r="B65" t="s">
        <v>41</v>
      </c>
      <c r="C65">
        <v>24550</v>
      </c>
      <c r="D65" s="28">
        <v>45806</v>
      </c>
      <c r="E65" t="s">
        <v>42</v>
      </c>
      <c r="F65">
        <v>1</v>
      </c>
      <c r="G65" s="29">
        <v>45770.635416666657</v>
      </c>
      <c r="H65" s="29">
        <v>45776.635416666657</v>
      </c>
      <c r="I65">
        <v>396</v>
      </c>
      <c r="J65">
        <v>-0.4829</v>
      </c>
      <c r="K65">
        <v>365.1</v>
      </c>
      <c r="L65">
        <v>-0.47060000000000002</v>
      </c>
      <c r="M65">
        <v>2008.5</v>
      </c>
      <c r="N65" t="s">
        <v>43</v>
      </c>
    </row>
    <row r="66" spans="1:14" x14ac:dyDescent="0.25">
      <c r="A66" t="s">
        <v>40</v>
      </c>
      <c r="B66" t="s">
        <v>44</v>
      </c>
      <c r="C66">
        <v>25000</v>
      </c>
      <c r="D66" s="28">
        <v>45834</v>
      </c>
      <c r="E66" t="s">
        <v>42</v>
      </c>
      <c r="F66">
        <v>1</v>
      </c>
      <c r="G66" s="29">
        <v>45776.635416666657</v>
      </c>
      <c r="H66" s="29">
        <v>45792.635416666657</v>
      </c>
      <c r="I66">
        <v>818.7</v>
      </c>
      <c r="J66">
        <v>0.61150000000000004</v>
      </c>
      <c r="K66">
        <v>408.75</v>
      </c>
      <c r="L66">
        <v>0.41830000000000001</v>
      </c>
      <c r="M66">
        <v>26646.799999999999</v>
      </c>
      <c r="N66" t="s">
        <v>46</v>
      </c>
    </row>
    <row r="67" spans="1:14" x14ac:dyDescent="0.25">
      <c r="A67" t="s">
        <v>40</v>
      </c>
      <c r="B67" t="s">
        <v>44</v>
      </c>
      <c r="C67">
        <v>24300</v>
      </c>
      <c r="D67" s="28">
        <v>45834</v>
      </c>
      <c r="E67" t="s">
        <v>45</v>
      </c>
      <c r="F67">
        <v>1</v>
      </c>
      <c r="G67" s="29">
        <v>45776.635416666657</v>
      </c>
      <c r="H67" s="29">
        <v>45792.635416666657</v>
      </c>
      <c r="I67">
        <v>495</v>
      </c>
      <c r="J67">
        <v>-0.41849999999999998</v>
      </c>
      <c r="K67">
        <v>211.05</v>
      </c>
      <c r="L67">
        <v>-0.24379999999999999</v>
      </c>
      <c r="M67">
        <v>-18456.8</v>
      </c>
      <c r="N67" t="s">
        <v>46</v>
      </c>
    </row>
    <row r="68" spans="1:14" x14ac:dyDescent="0.25">
      <c r="A68" t="s">
        <v>40</v>
      </c>
      <c r="B68" t="s">
        <v>44</v>
      </c>
      <c r="C68">
        <v>26000</v>
      </c>
      <c r="D68" s="28">
        <v>45834</v>
      </c>
      <c r="E68" t="s">
        <v>42</v>
      </c>
      <c r="F68">
        <v>1</v>
      </c>
      <c r="G68" s="29">
        <v>45792.635416666657</v>
      </c>
      <c r="H68" s="29">
        <v>45805.635416666657</v>
      </c>
      <c r="I68">
        <v>966</v>
      </c>
      <c r="J68">
        <v>0.75119999999999998</v>
      </c>
      <c r="K68">
        <v>1215.05</v>
      </c>
      <c r="L68">
        <v>0.84340000000000004</v>
      </c>
      <c r="M68">
        <v>-16188.2</v>
      </c>
      <c r="N68" t="s">
        <v>43</v>
      </c>
    </row>
    <row r="69" spans="1:14" x14ac:dyDescent="0.25">
      <c r="A69" t="s">
        <v>40</v>
      </c>
      <c r="B69" t="s">
        <v>44</v>
      </c>
      <c r="C69">
        <v>25050</v>
      </c>
      <c r="D69" s="28">
        <v>45834</v>
      </c>
      <c r="E69" t="s">
        <v>45</v>
      </c>
      <c r="F69">
        <v>1</v>
      </c>
      <c r="G69" s="29">
        <v>45792.635416666657</v>
      </c>
      <c r="H69" s="29">
        <v>45805.635416666657</v>
      </c>
      <c r="I69">
        <v>428.25</v>
      </c>
      <c r="J69">
        <v>-0.43309999999999998</v>
      </c>
      <c r="K69">
        <v>552</v>
      </c>
      <c r="L69">
        <v>-0.55320000000000003</v>
      </c>
      <c r="M69">
        <v>8043.8</v>
      </c>
      <c r="N69" t="s">
        <v>43</v>
      </c>
    </row>
    <row r="70" spans="1:14" x14ac:dyDescent="0.25">
      <c r="A70" t="s">
        <v>40</v>
      </c>
      <c r="B70" t="s">
        <v>41</v>
      </c>
      <c r="C70">
        <v>24700</v>
      </c>
      <c r="D70" s="28">
        <v>45834</v>
      </c>
      <c r="E70" t="s">
        <v>42</v>
      </c>
      <c r="F70">
        <v>1</v>
      </c>
      <c r="G70" s="29">
        <v>45776.635416666657</v>
      </c>
      <c r="H70" s="29">
        <v>45805.635416666657</v>
      </c>
      <c r="I70">
        <v>492.9</v>
      </c>
      <c r="J70">
        <v>-0.47520000000000001</v>
      </c>
      <c r="K70">
        <v>545.79999999999995</v>
      </c>
      <c r="L70">
        <v>-0.56799999999999995</v>
      </c>
      <c r="M70">
        <v>-3438.5</v>
      </c>
      <c r="N70" t="s">
        <v>43</v>
      </c>
    </row>
    <row r="71" spans="1:14" x14ac:dyDescent="0.25">
      <c r="A71" t="s">
        <v>40</v>
      </c>
      <c r="B71" t="s">
        <v>44</v>
      </c>
      <c r="C71">
        <v>25500</v>
      </c>
      <c r="D71" s="28">
        <v>45869</v>
      </c>
      <c r="E71" t="s">
        <v>42</v>
      </c>
      <c r="F71">
        <v>1</v>
      </c>
      <c r="G71" s="29">
        <v>45805.635416666657</v>
      </c>
      <c r="H71" s="29">
        <v>45833.635416666657</v>
      </c>
      <c r="I71">
        <v>900.55</v>
      </c>
      <c r="J71">
        <v>0.60580000000000001</v>
      </c>
      <c r="K71">
        <v>458.9</v>
      </c>
      <c r="L71">
        <v>0.5323</v>
      </c>
      <c r="M71">
        <v>28707.200000000001</v>
      </c>
      <c r="N71" t="s">
        <v>43</v>
      </c>
    </row>
    <row r="72" spans="1:14" x14ac:dyDescent="0.25">
      <c r="A72" t="s">
        <v>40</v>
      </c>
      <c r="B72" t="s">
        <v>44</v>
      </c>
      <c r="C72">
        <v>24750</v>
      </c>
      <c r="D72" s="28">
        <v>45869</v>
      </c>
      <c r="E72" t="s">
        <v>45</v>
      </c>
      <c r="F72">
        <v>1</v>
      </c>
      <c r="G72" s="29">
        <v>45805.635416666657</v>
      </c>
      <c r="H72" s="29">
        <v>45833.635416666657</v>
      </c>
      <c r="I72">
        <v>536.85</v>
      </c>
      <c r="J72">
        <v>-0.4209</v>
      </c>
      <c r="K72">
        <v>182.6</v>
      </c>
      <c r="L72">
        <v>-0.26640000000000003</v>
      </c>
      <c r="M72">
        <v>-23026.2</v>
      </c>
      <c r="N72" t="s">
        <v>43</v>
      </c>
    </row>
    <row r="73" spans="1:14" x14ac:dyDescent="0.25">
      <c r="A73" t="s">
        <v>40</v>
      </c>
      <c r="B73" t="s">
        <v>41</v>
      </c>
      <c r="C73">
        <v>25200</v>
      </c>
      <c r="D73" s="28">
        <v>45869</v>
      </c>
      <c r="E73" t="s">
        <v>42</v>
      </c>
      <c r="F73">
        <v>1</v>
      </c>
      <c r="G73" s="29">
        <v>45805.635416666657</v>
      </c>
      <c r="H73" s="29">
        <v>45833.635416666657</v>
      </c>
      <c r="I73">
        <v>542.29999999999995</v>
      </c>
      <c r="J73">
        <v>-0.46960000000000002</v>
      </c>
      <c r="K73">
        <v>478.15</v>
      </c>
      <c r="L73">
        <v>-0.58630000000000004</v>
      </c>
      <c r="M73">
        <v>4169.7</v>
      </c>
      <c r="N73" t="s">
        <v>43</v>
      </c>
    </row>
    <row r="74" spans="1:14" x14ac:dyDescent="0.25">
      <c r="A74" t="s">
        <v>40</v>
      </c>
      <c r="B74" t="s">
        <v>44</v>
      </c>
      <c r="C74">
        <v>25250</v>
      </c>
      <c r="D74" s="28">
        <v>45897</v>
      </c>
      <c r="E74" t="s">
        <v>45</v>
      </c>
      <c r="F74">
        <v>1</v>
      </c>
      <c r="G74" s="29">
        <v>45833.635416666657</v>
      </c>
      <c r="H74" s="29">
        <v>45868.635416666657</v>
      </c>
      <c r="I74">
        <v>436</v>
      </c>
      <c r="J74">
        <v>-0.41020000000000001</v>
      </c>
      <c r="K74">
        <v>444</v>
      </c>
      <c r="L74">
        <v>-0.64259999999999995</v>
      </c>
      <c r="M74">
        <v>520</v>
      </c>
      <c r="N74" t="s">
        <v>43</v>
      </c>
    </row>
    <row r="75" spans="1:14" x14ac:dyDescent="0.25">
      <c r="A75" t="s">
        <v>40</v>
      </c>
      <c r="B75" t="s">
        <v>41</v>
      </c>
      <c r="C75">
        <v>25650</v>
      </c>
      <c r="D75" s="28">
        <v>45897</v>
      </c>
      <c r="E75" t="s">
        <v>42</v>
      </c>
      <c r="F75">
        <v>1</v>
      </c>
      <c r="G75" s="29">
        <v>45833.635416666657</v>
      </c>
      <c r="H75" s="29">
        <v>45868.635416666657</v>
      </c>
      <c r="I75">
        <v>436.35</v>
      </c>
      <c r="J75">
        <v>-0.4733</v>
      </c>
      <c r="K75">
        <v>64.25</v>
      </c>
      <c r="L75">
        <v>-0.17530000000000001</v>
      </c>
      <c r="M75">
        <v>24186.5</v>
      </c>
      <c r="N75" t="s">
        <v>43</v>
      </c>
    </row>
    <row r="76" spans="1:14" x14ac:dyDescent="0.25">
      <c r="A76" t="s">
        <v>40</v>
      </c>
      <c r="B76" t="s">
        <v>44</v>
      </c>
      <c r="C76">
        <v>24850</v>
      </c>
      <c r="D76" s="28">
        <v>45930</v>
      </c>
      <c r="E76" t="s">
        <v>45</v>
      </c>
      <c r="F76">
        <v>1</v>
      </c>
      <c r="G76" s="29">
        <v>45868.635416666657</v>
      </c>
      <c r="H76" s="29">
        <v>45895.635416666657</v>
      </c>
      <c r="I76">
        <v>338.55</v>
      </c>
      <c r="J76">
        <v>-0.39610000000000001</v>
      </c>
      <c r="K76">
        <v>324.5</v>
      </c>
      <c r="L76">
        <v>-0.48870000000000002</v>
      </c>
      <c r="M76">
        <v>-913.3</v>
      </c>
      <c r="N76" t="s">
        <v>43</v>
      </c>
    </row>
    <row r="77" spans="1:14" x14ac:dyDescent="0.25">
      <c r="A77" t="s">
        <v>40</v>
      </c>
      <c r="B77" t="s">
        <v>41</v>
      </c>
      <c r="C77">
        <v>25350</v>
      </c>
      <c r="D77" s="28">
        <v>45930</v>
      </c>
      <c r="E77" t="s">
        <v>42</v>
      </c>
      <c r="F77">
        <v>1</v>
      </c>
      <c r="G77" s="29">
        <v>45868.635416666657</v>
      </c>
      <c r="H77" s="29">
        <v>45895.635416666657</v>
      </c>
      <c r="I77">
        <v>334.25</v>
      </c>
      <c r="J77">
        <v>-0.43009999999999998</v>
      </c>
      <c r="K77">
        <v>133.85</v>
      </c>
      <c r="L77">
        <v>-0.27729999999999999</v>
      </c>
      <c r="M77">
        <v>13026</v>
      </c>
      <c r="N77" t="s">
        <v>43</v>
      </c>
    </row>
    <row r="78" spans="1:14" x14ac:dyDescent="0.25">
      <c r="A78" t="s">
        <v>40</v>
      </c>
      <c r="B78" t="s">
        <v>44</v>
      </c>
      <c r="C78">
        <v>24700</v>
      </c>
      <c r="D78" s="28">
        <v>45958</v>
      </c>
      <c r="E78" t="s">
        <v>45</v>
      </c>
      <c r="F78">
        <v>1</v>
      </c>
      <c r="G78" s="29">
        <v>45895.635416666657</v>
      </c>
      <c r="H78" s="29">
        <v>45929.635416666657</v>
      </c>
      <c r="I78">
        <v>338.25</v>
      </c>
      <c r="J78">
        <v>-0.3957</v>
      </c>
      <c r="K78">
        <v>246.25</v>
      </c>
      <c r="L78">
        <v>-0.46039999999999998</v>
      </c>
      <c r="M78">
        <v>-5980</v>
      </c>
      <c r="N78" t="s">
        <v>43</v>
      </c>
    </row>
    <row r="79" spans="1:14" x14ac:dyDescent="0.25">
      <c r="A79" t="s">
        <v>40</v>
      </c>
      <c r="B79" t="s">
        <v>41</v>
      </c>
      <c r="C79">
        <v>25250</v>
      </c>
      <c r="D79" s="28">
        <v>45958</v>
      </c>
      <c r="E79" t="s">
        <v>42</v>
      </c>
      <c r="F79">
        <v>1</v>
      </c>
      <c r="G79" s="29">
        <v>45895.635416666657</v>
      </c>
      <c r="H79" s="29">
        <v>45929.635416666657</v>
      </c>
      <c r="I79">
        <v>331.4</v>
      </c>
      <c r="J79">
        <v>-0.4168</v>
      </c>
      <c r="K79">
        <v>119</v>
      </c>
      <c r="L79">
        <v>-0.26519999999999999</v>
      </c>
      <c r="M79">
        <v>13806</v>
      </c>
      <c r="N79" t="s">
        <v>43</v>
      </c>
    </row>
    <row r="80" spans="1:14" x14ac:dyDescent="0.25">
      <c r="A80" t="s">
        <v>40</v>
      </c>
      <c r="B80" t="s">
        <v>44</v>
      </c>
      <c r="C80">
        <v>24650</v>
      </c>
      <c r="D80" s="28">
        <v>45986</v>
      </c>
      <c r="E80" t="s">
        <v>45</v>
      </c>
      <c r="F80">
        <v>1</v>
      </c>
      <c r="G80" s="29">
        <v>45929.635416666657</v>
      </c>
      <c r="H80" s="29">
        <v>45957.635416666657</v>
      </c>
      <c r="I80">
        <v>310</v>
      </c>
      <c r="J80">
        <v>-0.40339999999999998</v>
      </c>
      <c r="K80">
        <v>31.15</v>
      </c>
      <c r="L80">
        <v>-6.8900000000000003E-2</v>
      </c>
      <c r="M80">
        <v>-18125.2</v>
      </c>
      <c r="N80" t="s">
        <v>43</v>
      </c>
    </row>
    <row r="81" spans="1:14" x14ac:dyDescent="0.25">
      <c r="A81" t="s">
        <v>40</v>
      </c>
      <c r="B81" t="s">
        <v>41</v>
      </c>
      <c r="C81">
        <v>25200</v>
      </c>
      <c r="D81" s="28">
        <v>45986</v>
      </c>
      <c r="E81" t="s">
        <v>42</v>
      </c>
      <c r="F81">
        <v>1</v>
      </c>
      <c r="G81" s="29">
        <v>45929.635416666657</v>
      </c>
      <c r="H81" s="29">
        <v>45957.635416666657</v>
      </c>
      <c r="I81">
        <v>302.25</v>
      </c>
      <c r="J81">
        <v>-0.39750000000000002</v>
      </c>
      <c r="K81">
        <v>1023</v>
      </c>
      <c r="L81">
        <v>-0.85489999999999999</v>
      </c>
      <c r="M81">
        <v>-46848.800000000003</v>
      </c>
      <c r="N81" t="s">
        <v>43</v>
      </c>
    </row>
    <row r="82" spans="1:14" x14ac:dyDescent="0.25">
      <c r="A82" t="s">
        <v>40</v>
      </c>
      <c r="B82" t="s">
        <v>44</v>
      </c>
      <c r="C82">
        <v>25950</v>
      </c>
      <c r="D82" s="28">
        <v>46021</v>
      </c>
      <c r="E82" t="s">
        <v>45</v>
      </c>
      <c r="F82">
        <v>1</v>
      </c>
      <c r="G82" s="29">
        <v>45957.635416666657</v>
      </c>
      <c r="H82" s="29">
        <v>45985.635416666657</v>
      </c>
      <c r="I82">
        <v>314.85000000000002</v>
      </c>
      <c r="J82">
        <v>-0.38569999999999999</v>
      </c>
      <c r="K82">
        <v>261</v>
      </c>
      <c r="L82">
        <v>-0.41199999999999998</v>
      </c>
      <c r="M82">
        <v>-3500.3</v>
      </c>
      <c r="N82" t="s">
        <v>43</v>
      </c>
    </row>
    <row r="83" spans="1:14" x14ac:dyDescent="0.25">
      <c r="A83" t="s">
        <v>40</v>
      </c>
      <c r="B83" t="s">
        <v>41</v>
      </c>
      <c r="C83">
        <v>26700</v>
      </c>
      <c r="D83" s="28">
        <v>46021</v>
      </c>
      <c r="E83" t="s">
        <v>42</v>
      </c>
      <c r="F83">
        <v>1</v>
      </c>
      <c r="G83" s="29">
        <v>45957.635416666657</v>
      </c>
      <c r="H83" s="29">
        <v>45985.635416666657</v>
      </c>
      <c r="I83">
        <v>307.8</v>
      </c>
      <c r="J83">
        <v>-0.37130000000000002</v>
      </c>
      <c r="K83">
        <v>141.25</v>
      </c>
      <c r="L83">
        <v>-0.26729999999999998</v>
      </c>
      <c r="M83">
        <v>10825.8</v>
      </c>
      <c r="N83" t="s">
        <v>43</v>
      </c>
    </row>
    <row r="84" spans="1:14" x14ac:dyDescent="0.25">
      <c r="A84" t="s">
        <v>40</v>
      </c>
      <c r="B84" t="s">
        <v>44</v>
      </c>
      <c r="C84">
        <v>25950</v>
      </c>
      <c r="D84" s="28">
        <v>46049</v>
      </c>
      <c r="E84" t="s">
        <v>45</v>
      </c>
      <c r="F84">
        <v>1</v>
      </c>
      <c r="G84" s="29">
        <v>45985.635416666657</v>
      </c>
      <c r="H84" s="29">
        <v>46020.635416666657</v>
      </c>
      <c r="I84">
        <v>323.2</v>
      </c>
      <c r="J84">
        <v>-0.3871</v>
      </c>
      <c r="K84">
        <v>194.1</v>
      </c>
      <c r="L84">
        <v>-0.41749999999999998</v>
      </c>
      <c r="M84">
        <v>-8391.5</v>
      </c>
      <c r="N84" t="s">
        <v>43</v>
      </c>
    </row>
    <row r="85" spans="1:14" x14ac:dyDescent="0.25">
      <c r="A85" t="s">
        <v>40</v>
      </c>
      <c r="B85" t="s">
        <v>41</v>
      </c>
      <c r="C85">
        <v>26750</v>
      </c>
      <c r="D85" s="28">
        <v>46049</v>
      </c>
      <c r="E85" t="s">
        <v>42</v>
      </c>
      <c r="F85">
        <v>1</v>
      </c>
      <c r="G85" s="29">
        <v>45985.635416666657</v>
      </c>
      <c r="H85" s="29">
        <v>46020.635416666657</v>
      </c>
      <c r="I85">
        <v>323.3</v>
      </c>
      <c r="J85">
        <v>-0.36709999999999998</v>
      </c>
      <c r="K85">
        <v>56.1</v>
      </c>
      <c r="L85">
        <v>-0.16200000000000001</v>
      </c>
      <c r="M85">
        <v>17368</v>
      </c>
      <c r="N85" t="s">
        <v>43</v>
      </c>
    </row>
    <row r="86" spans="1:14" x14ac:dyDescent="0.25">
      <c r="A86" t="s">
        <v>40</v>
      </c>
      <c r="B86" t="s">
        <v>44</v>
      </c>
      <c r="C86">
        <v>25950</v>
      </c>
      <c r="D86" s="28">
        <v>46077</v>
      </c>
      <c r="E86" t="s">
        <v>45</v>
      </c>
      <c r="F86">
        <v>1</v>
      </c>
      <c r="G86" s="29">
        <v>46020.635416666657</v>
      </c>
      <c r="H86" s="29">
        <v>46045.635416666657</v>
      </c>
      <c r="I86">
        <v>285.14999999999998</v>
      </c>
      <c r="J86">
        <v>-0.39279999999999998</v>
      </c>
      <c r="K86">
        <v>856.6</v>
      </c>
      <c r="L86">
        <v>-0.76880000000000004</v>
      </c>
      <c r="M86">
        <v>37144.199999999997</v>
      </c>
      <c r="N86" t="s">
        <v>43</v>
      </c>
    </row>
    <row r="87" spans="1:14" x14ac:dyDescent="0.25">
      <c r="A87" t="s">
        <v>40</v>
      </c>
      <c r="B87" t="s">
        <v>41</v>
      </c>
      <c r="C87">
        <v>26550</v>
      </c>
      <c r="D87" s="28">
        <v>46077</v>
      </c>
      <c r="E87" t="s">
        <v>42</v>
      </c>
      <c r="F87">
        <v>1</v>
      </c>
      <c r="G87" s="29">
        <v>46020.635416666657</v>
      </c>
      <c r="H87" s="29">
        <v>46045.635416666657</v>
      </c>
      <c r="I87">
        <v>277.75</v>
      </c>
      <c r="J87">
        <v>-0.3826</v>
      </c>
      <c r="K87">
        <v>48</v>
      </c>
      <c r="L87">
        <v>-0.1018</v>
      </c>
      <c r="M87">
        <v>14933.8</v>
      </c>
      <c r="N87" t="s">
        <v>43</v>
      </c>
    </row>
    <row r="88" spans="1:14" x14ac:dyDescent="0.25">
      <c r="A88" t="s">
        <v>40</v>
      </c>
      <c r="B88" t="s">
        <v>44</v>
      </c>
      <c r="C88">
        <v>25050</v>
      </c>
      <c r="D88" s="28">
        <v>46111</v>
      </c>
      <c r="E88" t="s">
        <v>45</v>
      </c>
      <c r="F88">
        <v>1</v>
      </c>
      <c r="G88" s="29">
        <v>46045.635416666657</v>
      </c>
      <c r="H88" s="29">
        <v>46076.635416666657</v>
      </c>
      <c r="I88">
        <v>365</v>
      </c>
      <c r="J88">
        <v>-0.39489999999999997</v>
      </c>
      <c r="K88">
        <v>141.80000000000001</v>
      </c>
      <c r="L88">
        <v>-0.21840000000000001</v>
      </c>
      <c r="M88">
        <v>-14508</v>
      </c>
      <c r="N88" t="s">
        <v>43</v>
      </c>
    </row>
    <row r="89" spans="1:14" x14ac:dyDescent="0.25">
      <c r="A89" t="s">
        <v>40</v>
      </c>
      <c r="B89" t="s">
        <v>41</v>
      </c>
      <c r="C89">
        <v>25750</v>
      </c>
      <c r="D89" s="28">
        <v>46111</v>
      </c>
      <c r="E89" t="s">
        <v>42</v>
      </c>
      <c r="F89">
        <v>1</v>
      </c>
      <c r="G89" s="29">
        <v>46045.635416666657</v>
      </c>
      <c r="H89" s="29">
        <v>46076.635416666657</v>
      </c>
      <c r="I89">
        <v>353.05</v>
      </c>
      <c r="J89">
        <v>-0.39389999999999997</v>
      </c>
      <c r="K89">
        <v>440</v>
      </c>
      <c r="L89">
        <v>-0.56140000000000001</v>
      </c>
      <c r="M89">
        <v>-5651.7</v>
      </c>
      <c r="N89" t="s">
        <v>43</v>
      </c>
    </row>
    <row r="90" spans="1:14" x14ac:dyDescent="0.25">
      <c r="A90" t="s">
        <v>40</v>
      </c>
      <c r="B90" t="s">
        <v>44</v>
      </c>
      <c r="C90">
        <v>25700</v>
      </c>
      <c r="D90" s="28">
        <v>46140</v>
      </c>
      <c r="E90" t="s">
        <v>45</v>
      </c>
      <c r="F90">
        <v>1</v>
      </c>
      <c r="G90" s="29">
        <v>46076.635416666657</v>
      </c>
      <c r="H90" s="29">
        <v>46108.635416666657</v>
      </c>
      <c r="I90">
        <v>370</v>
      </c>
      <c r="J90">
        <v>-0.39410000000000001</v>
      </c>
      <c r="K90">
        <v>2746.85</v>
      </c>
      <c r="L90">
        <v>-0.95169999999999999</v>
      </c>
      <c r="M90">
        <v>154495.20000000001</v>
      </c>
      <c r="N90" t="s">
        <v>43</v>
      </c>
    </row>
    <row r="91" spans="1:14" x14ac:dyDescent="0.25">
      <c r="A91" t="s">
        <v>40</v>
      </c>
      <c r="B91" t="s">
        <v>41</v>
      </c>
      <c r="C91">
        <v>26200</v>
      </c>
      <c r="D91" s="28">
        <v>46140</v>
      </c>
      <c r="E91" t="s">
        <v>42</v>
      </c>
      <c r="F91">
        <v>1</v>
      </c>
      <c r="G91" s="29">
        <v>46076.635416666657</v>
      </c>
      <c r="H91" s="29">
        <v>46108.635416666657</v>
      </c>
      <c r="I91">
        <v>388</v>
      </c>
      <c r="J91">
        <v>-0.44800000000000001</v>
      </c>
      <c r="K91">
        <v>16.5</v>
      </c>
      <c r="L91">
        <v>-2.8199999999999999E-2</v>
      </c>
      <c r="M91">
        <v>24147.5</v>
      </c>
      <c r="N91" t="s">
        <v>43</v>
      </c>
    </row>
    <row r="92" spans="1:14" x14ac:dyDescent="0.25">
      <c r="A92" t="s">
        <v>40</v>
      </c>
      <c r="B92" t="s">
        <v>44</v>
      </c>
      <c r="C92">
        <v>22800</v>
      </c>
      <c r="D92" s="28">
        <v>46168</v>
      </c>
      <c r="E92" t="s">
        <v>45</v>
      </c>
      <c r="F92">
        <v>1</v>
      </c>
      <c r="G92" s="29">
        <v>46108.635416666657</v>
      </c>
      <c r="H92" s="29">
        <v>46139.635416666657</v>
      </c>
      <c r="I92">
        <v>790.35</v>
      </c>
      <c r="J92">
        <v>-0.43569999999999998</v>
      </c>
      <c r="K92">
        <v>103.3</v>
      </c>
      <c r="L92">
        <v>-0.1416</v>
      </c>
      <c r="M92">
        <v>-44658.3</v>
      </c>
      <c r="N92" t="s">
        <v>43</v>
      </c>
    </row>
    <row r="93" spans="1:14" x14ac:dyDescent="0.25">
      <c r="A93" t="s">
        <v>40</v>
      </c>
      <c r="B93" t="s">
        <v>41</v>
      </c>
      <c r="C93">
        <v>23200</v>
      </c>
      <c r="D93" s="28">
        <v>46168</v>
      </c>
      <c r="E93" t="s">
        <v>42</v>
      </c>
      <c r="F93">
        <v>1</v>
      </c>
      <c r="G93" s="29">
        <v>46108.635416666657</v>
      </c>
      <c r="H93" s="29">
        <v>46139.635416666657</v>
      </c>
      <c r="I93">
        <v>800.8</v>
      </c>
      <c r="J93">
        <v>-0.49320000000000003</v>
      </c>
      <c r="K93">
        <v>1187.6500000000001</v>
      </c>
      <c r="L93">
        <v>-0.7893</v>
      </c>
      <c r="M93">
        <v>-25145.3</v>
      </c>
      <c r="N93" t="s">
        <v>43</v>
      </c>
    </row>
    <row r="94" spans="1:14" x14ac:dyDescent="0.25">
      <c r="A94" t="s">
        <v>40</v>
      </c>
      <c r="B94" t="s">
        <v>44</v>
      </c>
      <c r="C94">
        <v>24100</v>
      </c>
      <c r="D94" s="28">
        <v>46203</v>
      </c>
      <c r="E94" t="s">
        <v>45</v>
      </c>
      <c r="F94">
        <v>1</v>
      </c>
      <c r="G94" s="29">
        <v>46139.635416666657</v>
      </c>
      <c r="H94" s="29">
        <v>46167.635416666657</v>
      </c>
      <c r="I94">
        <v>547.45000000000005</v>
      </c>
      <c r="J94">
        <v>-0.42349999999999999</v>
      </c>
      <c r="K94">
        <v>425.05</v>
      </c>
      <c r="L94">
        <v>-0.4612</v>
      </c>
      <c r="M94">
        <v>-7956</v>
      </c>
      <c r="N94" t="s">
        <v>43</v>
      </c>
    </row>
    <row r="95" spans="1:14" x14ac:dyDescent="0.25">
      <c r="A95" t="s">
        <v>40</v>
      </c>
      <c r="B95" t="s">
        <v>41</v>
      </c>
      <c r="C95">
        <v>24600</v>
      </c>
      <c r="D95" s="28">
        <v>46203</v>
      </c>
      <c r="E95" t="s">
        <v>42</v>
      </c>
      <c r="F95">
        <v>1</v>
      </c>
      <c r="G95" s="29">
        <v>46139.635416666657</v>
      </c>
      <c r="H95" s="29">
        <v>46167.635416666657</v>
      </c>
      <c r="I95">
        <v>547.6</v>
      </c>
      <c r="J95">
        <v>-0.45810000000000001</v>
      </c>
      <c r="K95">
        <v>215.5</v>
      </c>
      <c r="L95">
        <v>-0.3427</v>
      </c>
      <c r="M95">
        <v>21586.5</v>
      </c>
      <c r="N95" t="s">
        <v>43</v>
      </c>
    </row>
    <row r="96" spans="1:14" x14ac:dyDescent="0.25">
      <c r="A96" t="s">
        <v>40</v>
      </c>
      <c r="B96" t="s">
        <v>44</v>
      </c>
      <c r="C96">
        <v>24050</v>
      </c>
      <c r="D96" s="28">
        <v>46231</v>
      </c>
      <c r="E96" t="s">
        <v>45</v>
      </c>
      <c r="F96">
        <v>1</v>
      </c>
      <c r="G96" s="29">
        <v>46167.635416666657</v>
      </c>
      <c r="H96" s="29">
        <v>46202.635416666657</v>
      </c>
      <c r="I96">
        <v>550</v>
      </c>
      <c r="J96">
        <v>-0.4264</v>
      </c>
      <c r="K96">
        <v>354</v>
      </c>
      <c r="L96">
        <v>-0.4879</v>
      </c>
      <c r="M96">
        <v>-12740</v>
      </c>
      <c r="N96" t="s">
        <v>48</v>
      </c>
    </row>
    <row r="97" spans="1:14" x14ac:dyDescent="0.25">
      <c r="A97" t="s">
        <v>40</v>
      </c>
      <c r="B97" t="s">
        <v>41</v>
      </c>
      <c r="C97">
        <v>24250</v>
      </c>
      <c r="D97" s="28">
        <v>46231</v>
      </c>
      <c r="E97" t="s">
        <v>42</v>
      </c>
      <c r="F97">
        <v>1</v>
      </c>
      <c r="G97" s="29">
        <v>46167.635416666657</v>
      </c>
      <c r="H97" s="29">
        <v>46202.635416666657</v>
      </c>
      <c r="I97">
        <v>560</v>
      </c>
      <c r="J97">
        <v>-0.52690000000000003</v>
      </c>
      <c r="K97">
        <v>250.15</v>
      </c>
      <c r="L97">
        <v>-0.41830000000000001</v>
      </c>
      <c r="M97">
        <v>20140.2</v>
      </c>
      <c r="N9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Rules</vt:lpstr>
      <vt:lpstr>Future</vt:lpstr>
      <vt:lpstr>Summary</vt:lpstr>
      <vt:lpstr>1 Lot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AFF14</dc:creator>
  <cp:lastModifiedBy>AFF06</cp:lastModifiedBy>
  <dcterms:created xsi:type="dcterms:W3CDTF">2026-08-03T11:02:34Z</dcterms:created>
  <dcterms:modified xsi:type="dcterms:W3CDTF">2026-08-14T06:08:37Z</dcterms:modified>
</cp:coreProperties>
</file>
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#Pre Final Folder\OPTIONS\#StockMock\"/>
    </mc:Choice>
  </mc:AlternateContent>
  <xr:revisionPtr revIDLastSave="0" documentId="13_ncr:1_{7C71A02C-13BD-4A47-B590-8F83F3902B0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ules" sheetId="10" r:id="rId1"/>
    <sheet name="Future" sheetId="11" r:id="rId2"/>
    <sheet name="Summary" sheetId="1" r:id="rId3"/>
    <sheet name="3 CE ATM" sheetId="3" r:id="rId4"/>
    <sheet name="5 CE ATM" sheetId="5" r:id="rId5"/>
  </sheets>
  <definedNames>
    <definedName name="_xlnm._FilterDatabase" localSheetId="4" hidden="1">'5 CE ATM'!$A$2:$AS$201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1" l="1"/>
  <c r="H1" i="1"/>
  <c r="H92" i="1" s="1"/>
  <c r="I1" i="1"/>
  <c r="I91" i="1" s="1"/>
  <c r="B1" i="1"/>
  <c r="F1" i="1"/>
  <c r="C102" i="1"/>
  <c r="C101" i="1"/>
  <c r="J98" i="1"/>
  <c r="J64" i="1"/>
  <c r="I97" i="1"/>
  <c r="I64" i="1"/>
  <c r="K98" i="1"/>
  <c r="K64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68" i="1"/>
  <c r="D64" i="1"/>
  <c r="H97" i="1"/>
  <c r="H96" i="1"/>
  <c r="H95" i="1"/>
  <c r="H94" i="1"/>
  <c r="H93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69" i="1"/>
  <c r="H68" i="1"/>
  <c r="H64" i="1"/>
  <c r="I95" i="1" l="1"/>
  <c r="I94" i="1"/>
  <c r="I90" i="1"/>
  <c r="I89" i="1"/>
  <c r="I87" i="1"/>
  <c r="I86" i="1"/>
  <c r="I85" i="1"/>
  <c r="I83" i="1"/>
  <c r="I82" i="1"/>
  <c r="I81" i="1"/>
  <c r="I79" i="1"/>
  <c r="I78" i="1"/>
  <c r="I77" i="1"/>
  <c r="I75" i="1"/>
  <c r="I68" i="1"/>
  <c r="I93" i="1"/>
  <c r="H70" i="1"/>
  <c r="I74" i="1"/>
  <c r="I72" i="1"/>
  <c r="I96" i="1"/>
  <c r="I92" i="1"/>
  <c r="I88" i="1"/>
  <c r="I84" i="1"/>
  <c r="I80" i="1"/>
  <c r="I76" i="1"/>
  <c r="I71" i="1"/>
  <c r="I73" i="1"/>
  <c r="I70" i="1"/>
  <c r="I69" i="1"/>
  <c r="D98" i="1"/>
  <c r="H98" i="1"/>
  <c r="C64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4" i="1"/>
  <c r="I98" i="1" l="1"/>
  <c r="C98" i="1"/>
  <c r="G98" i="1"/>
  <c r="B68" i="1"/>
  <c r="F68" i="1"/>
  <c r="B69" i="1"/>
  <c r="F69" i="1"/>
  <c r="B70" i="1"/>
  <c r="F70" i="1"/>
  <c r="B71" i="1"/>
  <c r="F71" i="1"/>
  <c r="B72" i="1"/>
  <c r="F72" i="1"/>
  <c r="B73" i="1"/>
  <c r="F73" i="1"/>
  <c r="B74" i="1"/>
  <c r="F74" i="1"/>
  <c r="B75" i="1"/>
  <c r="F75" i="1"/>
  <c r="B76" i="1"/>
  <c r="F76" i="1"/>
  <c r="B77" i="1"/>
  <c r="F77" i="1"/>
  <c r="B78" i="1"/>
  <c r="F78" i="1"/>
  <c r="B79" i="1"/>
  <c r="F79" i="1"/>
  <c r="B80" i="1"/>
  <c r="F80" i="1"/>
  <c r="B81" i="1"/>
  <c r="F81" i="1"/>
  <c r="B82" i="1"/>
  <c r="F82" i="1"/>
  <c r="B83" i="1"/>
  <c r="F83" i="1"/>
  <c r="B84" i="1"/>
  <c r="F84" i="1"/>
  <c r="B85" i="1"/>
  <c r="F85" i="1"/>
  <c r="B86" i="1"/>
  <c r="F86" i="1"/>
  <c r="B87" i="1"/>
  <c r="F87" i="1"/>
  <c r="B88" i="1"/>
  <c r="F88" i="1"/>
  <c r="B89" i="1"/>
  <c r="F89" i="1"/>
  <c r="B90" i="1"/>
  <c r="F90" i="1"/>
  <c r="B91" i="1"/>
  <c r="F91" i="1"/>
  <c r="B92" i="1"/>
  <c r="F92" i="1"/>
  <c r="B93" i="1"/>
  <c r="F93" i="1"/>
  <c r="B94" i="1"/>
  <c r="F94" i="1"/>
  <c r="B95" i="1"/>
  <c r="F95" i="1"/>
  <c r="B96" i="1"/>
  <c r="F96" i="1"/>
  <c r="B97" i="1"/>
  <c r="F97" i="1"/>
  <c r="F98" i="1" l="1"/>
  <c r="B98" i="1"/>
  <c r="B64" i="1"/>
  <c r="F64" i="1"/>
</calcChain>
</file>

<file path=xl/sharedStrings.xml><?xml version="1.0" encoding="utf-8"?>
<sst xmlns="http://schemas.openxmlformats.org/spreadsheetml/2006/main" count="5988" uniqueCount="441">
  <si>
    <t>Performance</t>
  </si>
  <si>
    <t>Total P&amp;L</t>
  </si>
  <si>
    <t>Return %</t>
  </si>
  <si>
    <t>CAGR %</t>
  </si>
  <si>
    <t>Max Drawdown</t>
  </si>
  <si>
    <t>Max DD %</t>
  </si>
  <si>
    <t>CAR/MDD</t>
  </si>
  <si>
    <t>Trades</t>
  </si>
  <si>
    <t>Adjustments</t>
  </si>
  <si>
    <t>Rollovers</t>
  </si>
  <si>
    <t>Trading Days</t>
  </si>
  <si>
    <t>Trade Quality</t>
  </si>
  <si>
    <t>Win Rate %</t>
  </si>
  <si>
    <t>Profit Factor</t>
  </si>
  <si>
    <t>Avg Win</t>
  </si>
  <si>
    <t>Avg Loss</t>
  </si>
  <si>
    <t>Largest Win</t>
  </si>
  <si>
    <t>Largest Loss</t>
  </si>
  <si>
    <t>Avg Trade P&amp;L</t>
  </si>
  <si>
    <t>Monthly Consistency</t>
  </si>
  <si>
    <t>Monthly Win %</t>
  </si>
  <si>
    <t>Winning Months</t>
  </si>
  <si>
    <t>Losing Months</t>
  </si>
  <si>
    <t>Total Months</t>
  </si>
  <si>
    <t>Best Month</t>
  </si>
  <si>
    <t>Worst Month</t>
  </si>
  <si>
    <t>Index</t>
  </si>
  <si>
    <t>Type</t>
  </si>
  <si>
    <t>Strike</t>
  </si>
  <si>
    <t>Expiry</t>
  </si>
  <si>
    <t>Direction</t>
  </si>
  <si>
    <t>Lots</t>
  </si>
  <si>
    <t>Entry</t>
  </si>
  <si>
    <t>Exit</t>
  </si>
  <si>
    <t>Entry Price</t>
  </si>
  <si>
    <t>Entry Delta</t>
  </si>
  <si>
    <t>Exit Price</t>
  </si>
  <si>
    <t>Exit Delta</t>
  </si>
  <si>
    <t>P&amp;L</t>
  </si>
  <si>
    <t>Reason</t>
  </si>
  <si>
    <t>NIFTY</t>
  </si>
  <si>
    <t>CE</t>
  </si>
  <si>
    <t>04/01/2024</t>
  </si>
  <si>
    <t>Sell</t>
  </si>
  <si>
    <t>01/01/24 15:15</t>
  </si>
  <si>
    <t>03/01/24 15:15</t>
  </si>
  <si>
    <t>rollover</t>
  </si>
  <si>
    <t>11/01/2024</t>
  </si>
  <si>
    <t>10/01/24 15:15</t>
  </si>
  <si>
    <t>18/01/2024</t>
  </si>
  <si>
    <t>17/01/24 15:15</t>
  </si>
  <si>
    <t>PE</t>
  </si>
  <si>
    <t>25/01/2024</t>
  </si>
  <si>
    <t>24/01/24 15:15</t>
  </si>
  <si>
    <t>Buy</t>
  </si>
  <si>
    <t>01/02/2024</t>
  </si>
  <si>
    <t>31/01/24 15:15</t>
  </si>
  <si>
    <t>08/02/2024</t>
  </si>
  <si>
    <t>07/02/24 15:15</t>
  </si>
  <si>
    <t>15/02/2024</t>
  </si>
  <si>
    <t>14/02/24 15:15</t>
  </si>
  <si>
    <t>29/02/2024</t>
  </si>
  <si>
    <t>16/02/24 15:15</t>
  </si>
  <si>
    <t>adjustment</t>
  </si>
  <si>
    <t>22/02/2024</t>
  </si>
  <si>
    <t>21/02/24 15:15</t>
  </si>
  <si>
    <t>28/02/24 15:15</t>
  </si>
  <si>
    <t>07/03/2024</t>
  </si>
  <si>
    <t>06/03/24 15:15</t>
  </si>
  <si>
    <t>14/03/2024</t>
  </si>
  <si>
    <t>13/03/24 15:15</t>
  </si>
  <si>
    <t>21/03/2024</t>
  </si>
  <si>
    <t>20/03/24 15:15</t>
  </si>
  <si>
    <t>28/03/2024</t>
  </si>
  <si>
    <t>27/03/24 15:15</t>
  </si>
  <si>
    <t>04/04/2024</t>
  </si>
  <si>
    <t>03/04/24 15:15</t>
  </si>
  <si>
    <t>25/04/2024</t>
  </si>
  <si>
    <t>04/04/24 15:15</t>
  </si>
  <si>
    <t>10/04/2024</t>
  </si>
  <si>
    <t>09/04/24 15:15</t>
  </si>
  <si>
    <t>18/04/2024</t>
  </si>
  <si>
    <t>16/04/24 15:15</t>
  </si>
  <si>
    <t>24/04/24 15:15</t>
  </si>
  <si>
    <t>02/05/2024</t>
  </si>
  <si>
    <t>30/04/24 15:15</t>
  </si>
  <si>
    <t>09/05/2024</t>
  </si>
  <si>
    <t>08/05/24 15:15</t>
  </si>
  <si>
    <t>16/05/2024</t>
  </si>
  <si>
    <t>15/05/24 15:15</t>
  </si>
  <si>
    <t>23/05/2024</t>
  </si>
  <si>
    <t>22/05/24 15:15</t>
  </si>
  <si>
    <t>30/05/2024</t>
  </si>
  <si>
    <t>29/05/24 15:15</t>
  </si>
  <si>
    <t>06/06/2024</t>
  </si>
  <si>
    <t>05/06/24 15:15</t>
  </si>
  <si>
    <t>13/06/2024</t>
  </si>
  <si>
    <t>12/06/24 15:15</t>
  </si>
  <si>
    <t>20/06/2024</t>
  </si>
  <si>
    <t>19/06/24 15:15</t>
  </si>
  <si>
    <t>27/06/2024</t>
  </si>
  <si>
    <t>26/06/24 15:15</t>
  </si>
  <si>
    <t>04/07/2024</t>
  </si>
  <si>
    <t>03/07/24 15:15</t>
  </si>
  <si>
    <t>11/07/2024</t>
  </si>
  <si>
    <t>10/07/24 15:15</t>
  </si>
  <si>
    <t>25/07/2024</t>
  </si>
  <si>
    <t>15/07/24 15:15</t>
  </si>
  <si>
    <t>18/07/2024</t>
  </si>
  <si>
    <t>16/07/24 15:15</t>
  </si>
  <si>
    <t>24/07/24 15:15</t>
  </si>
  <si>
    <t>01/08/2024</t>
  </si>
  <si>
    <t>31/07/24 15:15</t>
  </si>
  <si>
    <t>08/08/2024</t>
  </si>
  <si>
    <t>07/08/24 15:15</t>
  </si>
  <si>
    <t>14/08/2024</t>
  </si>
  <si>
    <t>13/08/24 15:15</t>
  </si>
  <si>
    <t>22/08/2024</t>
  </si>
  <si>
    <t>21/08/24 15:15</t>
  </si>
  <si>
    <t>29/08/2024</t>
  </si>
  <si>
    <t>28/08/24 15:15</t>
  </si>
  <si>
    <t>05/09/2024</t>
  </si>
  <si>
    <t>04/09/24 15:15</t>
  </si>
  <si>
    <t>12/09/2024</t>
  </si>
  <si>
    <t>11/09/24 15:15</t>
  </si>
  <si>
    <t>19/09/2024</t>
  </si>
  <si>
    <t>18/09/24 15:15</t>
  </si>
  <si>
    <t>26/09/2024</t>
  </si>
  <si>
    <t>25/09/24 15:15</t>
  </si>
  <si>
    <t>adjustment + rollover</t>
  </si>
  <si>
    <t>03/10/2024</t>
  </si>
  <si>
    <t>01/10/24 15:15</t>
  </si>
  <si>
    <t>10/10/2024</t>
  </si>
  <si>
    <t>09/10/24 15:15</t>
  </si>
  <si>
    <t>17/10/2024</t>
  </si>
  <si>
    <t>16/10/24 15:15</t>
  </si>
  <si>
    <t>24/10/2024</t>
  </si>
  <si>
    <t>23/10/24 15:15</t>
  </si>
  <si>
    <t>31/10/2024</t>
  </si>
  <si>
    <t>30/10/24 15:15</t>
  </si>
  <si>
    <t>07/11/2024</t>
  </si>
  <si>
    <t>06/11/24 15:15</t>
  </si>
  <si>
    <t>14/11/2024</t>
  </si>
  <si>
    <t>13/11/24 15:15</t>
  </si>
  <si>
    <t>21/11/2024</t>
  </si>
  <si>
    <t>19/11/24 15:15</t>
  </si>
  <si>
    <t>28/11/2024</t>
  </si>
  <si>
    <t>27/11/24 15:15</t>
  </si>
  <si>
    <t>05/12/2024</t>
  </si>
  <si>
    <t>04/12/24 15:15</t>
  </si>
  <si>
    <t>12/12/2024</t>
  </si>
  <si>
    <t>11/12/24 15:15</t>
  </si>
  <si>
    <t>19/12/2024</t>
  </si>
  <si>
    <t>18/12/24 15:15</t>
  </si>
  <si>
    <t>26/12/2024</t>
  </si>
  <si>
    <t>24/12/24 15:15</t>
  </si>
  <si>
    <t>02/01/2025</t>
  </si>
  <si>
    <t>01/01/25 15:15</t>
  </si>
  <si>
    <t>09/01/2025</t>
  </si>
  <si>
    <t>08/01/25 15:15</t>
  </si>
  <si>
    <t>16/01/2025</t>
  </si>
  <si>
    <t>15/01/25 15:15</t>
  </si>
  <si>
    <t>23/01/2025</t>
  </si>
  <si>
    <t>22/01/25 15:15</t>
  </si>
  <si>
    <t>30/01/2025</t>
  </si>
  <si>
    <t>29/01/25 15:15</t>
  </si>
  <si>
    <t>06/02/2025</t>
  </si>
  <si>
    <t>05/02/25 15:15</t>
  </si>
  <si>
    <t>13/02/2025</t>
  </si>
  <si>
    <t>12/02/25 15:15</t>
  </si>
  <si>
    <t>20/02/2025</t>
  </si>
  <si>
    <t>19/02/25 15:15</t>
  </si>
  <si>
    <t>27/02/2025</t>
  </si>
  <si>
    <t>25/02/25 15:15</t>
  </si>
  <si>
    <t>06/03/2025</t>
  </si>
  <si>
    <t>05/03/25 15:15</t>
  </si>
  <si>
    <t>13/03/2025</t>
  </si>
  <si>
    <t>12/03/25 15:15</t>
  </si>
  <si>
    <t>20/03/2025</t>
  </si>
  <si>
    <t>19/03/25 15:15</t>
  </si>
  <si>
    <t>27/03/2025</t>
  </si>
  <si>
    <t>20/03/25 15:15</t>
  </si>
  <si>
    <t>26/03/25 15:15</t>
  </si>
  <si>
    <t>03/04/2025</t>
  </si>
  <si>
    <t>02/04/25 15:15</t>
  </si>
  <si>
    <t>09/04/2025</t>
  </si>
  <si>
    <t>08/04/25 15:15</t>
  </si>
  <si>
    <t>17/04/2025</t>
  </si>
  <si>
    <t>16/04/25 15:15</t>
  </si>
  <si>
    <t>24/04/2025</t>
  </si>
  <si>
    <t>21/04/25 15:15</t>
  </si>
  <si>
    <t>23/04/25 15:15</t>
  </si>
  <si>
    <t>30/04/2025</t>
  </si>
  <si>
    <t>29/04/25 15:15</t>
  </si>
  <si>
    <t>08/05/2025</t>
  </si>
  <si>
    <t>07/05/25 15:15</t>
  </si>
  <si>
    <t>15/05/2025</t>
  </si>
  <si>
    <t>14/05/25 15:15</t>
  </si>
  <si>
    <t>22/05/2025</t>
  </si>
  <si>
    <t>21/05/25 15:15</t>
  </si>
  <si>
    <t>29/05/2025</t>
  </si>
  <si>
    <t>28/05/25 15:15</t>
  </si>
  <si>
    <t>05/06/2025</t>
  </si>
  <si>
    <t>04/06/25 15:15</t>
  </si>
  <si>
    <t>12/06/2025</t>
  </si>
  <si>
    <t>11/06/25 15:15</t>
  </si>
  <si>
    <t>19/06/2025</t>
  </si>
  <si>
    <t>18/06/25 15:15</t>
  </si>
  <si>
    <t>26/06/2025</t>
  </si>
  <si>
    <t>25/06/25 15:15</t>
  </si>
  <si>
    <t>03/07/2025</t>
  </si>
  <si>
    <t>02/07/25 15:15</t>
  </si>
  <si>
    <t>10/07/2025</t>
  </si>
  <si>
    <t>09/07/25 15:15</t>
  </si>
  <si>
    <t>17/07/2025</t>
  </si>
  <si>
    <t>16/07/25 15:15</t>
  </si>
  <si>
    <t>24/07/2025</t>
  </si>
  <si>
    <t>23/07/25 15:15</t>
  </si>
  <si>
    <t>31/07/2025</t>
  </si>
  <si>
    <t>30/07/25 15:15</t>
  </si>
  <si>
    <t>07/08/2025</t>
  </si>
  <si>
    <t>06/08/25 15:15</t>
  </si>
  <si>
    <t>14/08/2025</t>
  </si>
  <si>
    <t>13/08/25 15:15</t>
  </si>
  <si>
    <t>21/08/2025</t>
  </si>
  <si>
    <t>20/08/25 15:15</t>
  </si>
  <si>
    <t>28/08/2025</t>
  </si>
  <si>
    <t>26/08/25 15:15</t>
  </si>
  <si>
    <t>02/09/2025</t>
  </si>
  <si>
    <t>01/09/25 15:15</t>
  </si>
  <si>
    <t>09/09/2025</t>
  </si>
  <si>
    <t>08/09/25 15:15</t>
  </si>
  <si>
    <t>16/09/2025</t>
  </si>
  <si>
    <t>15/09/25 15:15</t>
  </si>
  <si>
    <t>23/09/2025</t>
  </si>
  <si>
    <t>22/09/25 15:15</t>
  </si>
  <si>
    <t>30/09/2025</t>
  </si>
  <si>
    <t>29/09/25 15:15</t>
  </si>
  <si>
    <t>28/10/2025</t>
  </si>
  <si>
    <t>06/10/25 15:15</t>
  </si>
  <si>
    <t>07/10/2025</t>
  </si>
  <si>
    <t>14/10/2025</t>
  </si>
  <si>
    <t>13/10/25 15:15</t>
  </si>
  <si>
    <t>16/10/25 15:15</t>
  </si>
  <si>
    <t>20/10/2025</t>
  </si>
  <si>
    <t>17/10/25 15:15</t>
  </si>
  <si>
    <t>27/10/25 15:15</t>
  </si>
  <si>
    <t>04/11/2025</t>
  </si>
  <si>
    <t>03/11/25 15:15</t>
  </si>
  <si>
    <t>11/11/2025</t>
  </si>
  <si>
    <t>10/11/25 15:15</t>
  </si>
  <si>
    <t>18/11/2025</t>
  </si>
  <si>
    <t>17/11/25 15:15</t>
  </si>
  <si>
    <t>25/11/2025</t>
  </si>
  <si>
    <t>24/11/25 15:15</t>
  </si>
  <si>
    <t>02/12/2025</t>
  </si>
  <si>
    <t>01/12/25 15:15</t>
  </si>
  <si>
    <t>09/12/2025</t>
  </si>
  <si>
    <t>08/12/25 15:15</t>
  </si>
  <si>
    <t>16/12/2025</t>
  </si>
  <si>
    <t>15/12/25 15:15</t>
  </si>
  <si>
    <t>23/12/2025</t>
  </si>
  <si>
    <t>22/12/25 15:15</t>
  </si>
  <si>
    <t>30/12/2025</t>
  </si>
  <si>
    <t>29/12/25 15:15</t>
  </si>
  <si>
    <t>06/01/2026</t>
  </si>
  <si>
    <t>05/01/26 15:15</t>
  </si>
  <si>
    <t>13/01/2026</t>
  </si>
  <si>
    <t>12/01/26 15:15</t>
  </si>
  <si>
    <t>20/01/2026</t>
  </si>
  <si>
    <t>19/01/26 15:15</t>
  </si>
  <si>
    <t>27/01/2026</t>
  </si>
  <si>
    <t>23/01/26 15:15</t>
  </si>
  <si>
    <t>03/02/2026</t>
  </si>
  <si>
    <t>02/02/26 15:15</t>
  </si>
  <si>
    <t>10/02/2026</t>
  </si>
  <si>
    <t>09/02/26 15:15</t>
  </si>
  <si>
    <t>17/02/2026</t>
  </si>
  <si>
    <t>16/02/26 15:15</t>
  </si>
  <si>
    <t>24/02/2026</t>
  </si>
  <si>
    <t>23/02/26 15:15</t>
  </si>
  <si>
    <t>02/03/2026</t>
  </si>
  <si>
    <t>27/02/26 15:15</t>
  </si>
  <si>
    <t>10/03/2026</t>
  </si>
  <si>
    <t>09/03/26 15:15</t>
  </si>
  <si>
    <t>17/03/2026</t>
  </si>
  <si>
    <t>16/03/26 15:15</t>
  </si>
  <si>
    <t>24/03/2026</t>
  </si>
  <si>
    <t>23/03/26 15:15</t>
  </si>
  <si>
    <t>30/03/2026</t>
  </si>
  <si>
    <t>27/03/26 15:15</t>
  </si>
  <si>
    <t>07/04/2026</t>
  </si>
  <si>
    <t>06/04/26 15:15</t>
  </si>
  <si>
    <t>13/04/2026</t>
  </si>
  <si>
    <t>10/04/26 15:15</t>
  </si>
  <si>
    <t>21/04/2026</t>
  </si>
  <si>
    <t>20/04/26 15:15</t>
  </si>
  <si>
    <t>28/04/2026</t>
  </si>
  <si>
    <t>21/04/26 15:15</t>
  </si>
  <si>
    <t>27/04/26 15:15</t>
  </si>
  <si>
    <t>05/05/2026</t>
  </si>
  <si>
    <t>04/05/26 15:15</t>
  </si>
  <si>
    <t>12/05/2026</t>
  </si>
  <si>
    <t>11/05/26 15:15</t>
  </si>
  <si>
    <t>19/05/2026</t>
  </si>
  <si>
    <t>18/05/26 15:15</t>
  </si>
  <si>
    <t>26/05/2026</t>
  </si>
  <si>
    <t>25/05/26 15:15</t>
  </si>
  <si>
    <t>02/06/2026</t>
  </si>
  <si>
    <t>01/06/26 15:15</t>
  </si>
  <si>
    <t>09/06/2026</t>
  </si>
  <si>
    <t>08/06/26 15:15</t>
  </si>
  <si>
    <t>16/06/2026</t>
  </si>
  <si>
    <t>15/06/26 15:15</t>
  </si>
  <si>
    <t>23/06/2026</t>
  </si>
  <si>
    <t>22/06/26 15:15</t>
  </si>
  <si>
    <t>30/06/2026</t>
  </si>
  <si>
    <t>29/06/26 15:15</t>
  </si>
  <si>
    <t>exit</t>
  </si>
  <si>
    <t>Month-on-Month P&amp;L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</si>
  <si>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</si>
  <si>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</si>
  <si>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</si>
  <si>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</si>
  <si>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</si>
  <si>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</si>
  <si>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</si>
  <si>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</si>
  <si>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</si>
  <si>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</si>
  <si>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</si>
  <si>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</si>
  <si>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</si>
  <si>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</si>
  <si>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</si>
  <si>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</si>
  <si>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</si>
  <si>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</si>
  <si>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</si>
  <si>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</si>
  <si>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</si>
  <si>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</si>
  <si>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</si>
  <si>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</si>
  <si>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</si>
  <si>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</si>
  <si>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</si>
  <si>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</si>
  <si>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</si>
  <si>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</si>
  <si>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</si>
  <si>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2024-06  (53251.2)</t>
  </si>
  <si>
    <t>2024-11  (-46439.4)</t>
  </si>
  <si>
    <t>2024-06  (58669.1)</t>
  </si>
  <si>
    <t>2024-11  (-41392.0)</t>
  </si>
  <si>
    <t>Timeframe</t>
  </si>
  <si>
    <t>01-01-2024 to 29-06-2026</t>
  </si>
  <si>
    <t>Leg1</t>
  </si>
  <si>
    <t>Leg2</t>
  </si>
  <si>
    <t>Leg3</t>
  </si>
  <si>
    <t>Entry:</t>
  </si>
  <si>
    <t>Symbol</t>
  </si>
  <si>
    <t>Nifty 50</t>
  </si>
  <si>
    <t>PE Premium - (Strike-Spot) :--</t>
  </si>
  <si>
    <t>Strike which are closet to zero will be selected</t>
  </si>
  <si>
    <t>=PE Buy Leg Premium / Expiry till Monthly Expiry / Lot</t>
  </si>
  <si>
    <t>Interval Time</t>
  </si>
  <si>
    <t>Moneynedd Ref.</t>
  </si>
  <si>
    <t>Spot</t>
  </si>
  <si>
    <t>Calculation</t>
  </si>
  <si>
    <t>Lot</t>
  </si>
  <si>
    <t>Roll</t>
  </si>
  <si>
    <t>Volume</t>
  </si>
  <si>
    <t>Monthly</t>
  </si>
  <si>
    <t>Weekly</t>
  </si>
  <si>
    <t>Optim</t>
  </si>
  <si>
    <t>T-1</t>
  </si>
  <si>
    <t>-</t>
  </si>
  <si>
    <t>Round off</t>
  </si>
  <si>
    <t>x50</t>
  </si>
  <si>
    <t>ATM &amp; ITM PE Buy</t>
  </si>
  <si>
    <t>CE Sell (Relative to Premium Leg2)</t>
  </si>
  <si>
    <t>ITM PE Sell (Theta zero)</t>
  </si>
  <si>
    <t>Margin Block</t>
  </si>
  <si>
    <t>Total</t>
  </si>
  <si>
    <t>Month-on-Month P&amp;L %</t>
  </si>
  <si>
    <t>Entry Date</t>
  </si>
  <si>
    <t>Exit Date</t>
  </si>
  <si>
    <t>Entry Spot</t>
  </si>
  <si>
    <t>Exit Spot</t>
  </si>
  <si>
    <t>Spot P&amp;L</t>
  </si>
  <si>
    <t>Spot P&amp;L %</t>
  </si>
  <si>
    <t>B/S</t>
  </si>
  <si>
    <t>Qty</t>
  </si>
  <si>
    <t>Raw Entry Price</t>
  </si>
  <si>
    <t>Raw Exit Price</t>
  </si>
  <si>
    <t>MAE</t>
  </si>
  <si>
    <t>MFE</t>
  </si>
  <si>
    <t>Net MAE 1</t>
  </si>
  <si>
    <t>Net MAE 2</t>
  </si>
  <si>
    <t>Final MAE</t>
  </si>
  <si>
    <t>FUT P&amp;L</t>
  </si>
  <si>
    <t>FUT P&amp;L %</t>
  </si>
  <si>
    <t>Net P&amp;L</t>
  </si>
  <si>
    <t>% P&amp;L</t>
  </si>
  <si>
    <t>Cumulative</t>
  </si>
  <si>
    <t>Peak</t>
  </si>
  <si>
    <t>DD</t>
  </si>
  <si>
    <t>%DD</t>
  </si>
  <si>
    <t>Lowest NAV</t>
  </si>
  <si>
    <t>Actual Live DD</t>
  </si>
  <si>
    <t>Exit Reason</t>
  </si>
  <si>
    <t>FUT</t>
  </si>
  <si>
    <t>BUY</t>
  </si>
  <si>
    <t>SCHEDULED_EXIT</t>
  </si>
  <si>
    <t>Any</t>
  </si>
  <si>
    <t>500 Gap</t>
  </si>
  <si>
    <t>100 Gap</t>
  </si>
  <si>
    <t>x100</t>
  </si>
  <si>
    <t>5 CE Sell (100Gap)</t>
  </si>
  <si>
    <t>3 CE Sell (100Gap)</t>
  </si>
  <si>
    <t>3 CE Sell (500 Gap)</t>
  </si>
  <si>
    <t>(500 Gap) :-</t>
  </si>
  <si>
    <t>ITM PE Sell in Monthly Expiry is in 500 step</t>
  </si>
  <si>
    <t>(100 Gap) :-</t>
  </si>
  <si>
    <t>ITM PE Sell in Monthly Expiry is in 100 step</t>
  </si>
  <si>
    <t>100 Gap Both Adj</t>
  </si>
  <si>
    <t>x500</t>
  </si>
  <si>
    <t>Adj</t>
  </si>
  <si>
    <t>Yes</t>
  </si>
  <si>
    <t>Future</t>
  </si>
  <si>
    <t>5 CE Sell (500 Gap)</t>
  </si>
  <si>
    <t>Final_Setting</t>
  </si>
  <si>
    <t>3 CE Sell (100Gap) Both PE Leg Adj</t>
  </si>
  <si>
    <t>Final Setting :</t>
  </si>
  <si>
    <t>1. Sell Zero Theta value ITM PE in Monthly Expiry</t>
  </si>
  <si>
    <t>Adjustment if Spot&gt;Strike</t>
  </si>
  <si>
    <t>2. Buy Monthly ATM Put</t>
  </si>
  <si>
    <t>Adjustment whenever we change PE Sell Leg.</t>
  </si>
  <si>
    <t xml:space="preserve">3. 5 lot CE Sell in Weekly Expiry </t>
  </si>
  <si>
    <t>if PUT Buy Leg trigger adjustment then recalculate the cost of this put buy and based on this sell CE in weekly from next entry in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</si>
</sst>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#,##0.0000"/>
    <numFmt numFmtId="166" formatCode="dd\-mm\-yyyy"/>
    <numFmt numFmtId="167" formatCode="dd\-mm\-yyyy\ hh:mm"/>
    <numFmt numFmtId="168" formatCode="0.0%"/>
  </numFmts>
  <fonts count="20" x14ac:knownFonts="1">
    <font>
      <sz val="11"/>
      <color theme="1"/>
      <name val="Calibri"/>
      <family val="2"/>
      <scheme val="minor"/>
    </font>
    <font>
      <b/>
      <sz val="12"/>
      <color rgb="FF1F2933"/>
      <name val="Calibri"/>
      <family val="2"/>
    </font>
    <font>
      <sz val="11"/>
      <color rgb="FF374151"/>
      <name val="Calibri"/>
      <family val="2"/>
    </font>
    <font>
      <b/>
      <sz val="11"/>
      <color rgb="FF15803D"/>
      <name val="Calibri"/>
      <family val="2"/>
    </font>
    <font>
      <b/>
      <sz val="11"/>
      <color rgb="FFB91C1C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6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392B"/>
      <name val="Calibri"/>
      <family val="2"/>
      <scheme val="minor"/>
    </font>
    <font>
      <b/>
      <sz val="10"/>
      <color rgb="FF1E7E34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2933"/>
      </patternFill>
    </fill>
    <fill>
      <patternFill patternType="solid">
        <fgColor rgb="FF34495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D4EFD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5" fillId="2" borderId="0" xfId="0" applyFont="1" applyFill="1"/>
    <xf numFmtId="0" fontId="1" fillId="0" borderId="1" xfId="0" applyFont="1" applyBorder="1"/>
    <xf numFmtId="0" fontId="2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7" fillId="0" borderId="0" xfId="0" applyFont="1"/>
    <xf numFmtId="0" fontId="5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11" fillId="0" borderId="0" xfId="0" applyFont="1"/>
    <xf numFmtId="0" fontId="11" fillId="0" borderId="0" xfId="0" quotePrefix="1" applyFont="1"/>
    <xf numFmtId="20" fontId="6" fillId="0" borderId="0" xfId="0" applyNumberFormat="1" applyFont="1" applyAlignment="1">
      <alignment horizontal="left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  <xf numFmtId="0" fontId="6" fillId="0" borderId="1" xfId="0" applyFont="1" applyBorder="1"/>
    <xf numFmtId="3" fontId="0" fillId="0" borderId="1" xfId="0" applyNumberFormat="1" applyBorder="1" applyAlignment="1">
      <alignment horizontal="center"/>
    </xf>
    <xf numFmtId="3" fontId="10" fillId="0" borderId="3" xfId="0" applyNumberFormat="1" applyFont="1" applyBorder="1" applyAlignment="1">
      <alignment horizontal="center"/>
    </xf>
    <xf numFmtId="0" fontId="10" fillId="0" borderId="1" xfId="0" applyFont="1" applyBorder="1"/>
    <xf numFmtId="10" fontId="0" fillId="0" borderId="0" xfId="1" applyNumberFormat="1" applyFont="1" applyAlignment="1">
      <alignment horizontal="center"/>
    </xf>
    <xf numFmtId="0" fontId="12" fillId="3" borderId="4" xfId="0" applyFont="1" applyFill="1" applyBorder="1" applyAlignment="1">
      <alignment horizontal="center" vertical="center"/>
    </xf>
    <xf numFmtId="0" fontId="10" fillId="0" borderId="2" xfId="0" applyFont="1" applyBorder="1"/>
    <xf numFmtId="0" fontId="2" fillId="0" borderId="2" xfId="0" applyFont="1" applyBorder="1" applyAlignment="1">
      <alignment horizontal="left"/>
    </xf>
    <xf numFmtId="10" fontId="0" fillId="0" borderId="3" xfId="1" applyNumberFormat="1" applyFont="1" applyBorder="1" applyAlignment="1">
      <alignment horizontal="center"/>
    </xf>
    <xf numFmtId="0" fontId="0" fillId="4" borderId="0" xfId="0" applyFill="1"/>
    <xf numFmtId="0" fontId="13" fillId="2" borderId="0" xfId="0" applyFont="1" applyFill="1"/>
    <xf numFmtId="166" fontId="0" fillId="0" borderId="0" xfId="0" applyNumberFormat="1"/>
    <xf numFmtId="167" fontId="0" fillId="0" borderId="0" xfId="0" applyNumberFormat="1"/>
    <xf numFmtId="0" fontId="14" fillId="0" borderId="0" xfId="0" applyFont="1"/>
    <xf numFmtId="3" fontId="0" fillId="5" borderId="1" xfId="0" applyNumberForma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0" fontId="0" fillId="5" borderId="0" xfId="0" applyFill="1"/>
    <xf numFmtId="0" fontId="0" fillId="5" borderId="1" xfId="0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3" fontId="0" fillId="5" borderId="0" xfId="0" applyNumberFormat="1" applyFill="1" applyAlignment="1">
      <alignment horizontal="center"/>
    </xf>
    <xf numFmtId="3" fontId="10" fillId="5" borderId="3" xfId="0" applyNumberFormat="1" applyFont="1" applyFill="1" applyBorder="1" applyAlignment="1">
      <alignment horizontal="center"/>
    </xf>
    <xf numFmtId="10" fontId="0" fillId="5" borderId="0" xfId="1" applyNumberFormat="1" applyFont="1" applyFill="1" applyAlignment="1">
      <alignment horizontal="center"/>
    </xf>
    <xf numFmtId="10" fontId="0" fillId="5" borderId="3" xfId="1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64" fontId="15" fillId="6" borderId="4" xfId="0" applyNumberFormat="1" applyFont="1" applyFill="1" applyBorder="1" applyAlignment="1">
      <alignment horizontal="left" vertical="center"/>
    </xf>
    <xf numFmtId="4" fontId="15" fillId="6" borderId="4" xfId="0" applyNumberFormat="1" applyFont="1" applyFill="1" applyBorder="1" applyAlignment="1">
      <alignment horizontal="left" vertical="center"/>
    </xf>
    <xf numFmtId="10" fontId="15" fillId="6" borderId="4" xfId="0" applyNumberFormat="1" applyFont="1" applyFill="1" applyBorder="1" applyAlignment="1">
      <alignment horizontal="left" vertical="center"/>
    </xf>
    <xf numFmtId="0" fontId="15" fillId="6" borderId="4" xfId="0" applyFont="1" applyFill="1" applyBorder="1" applyAlignment="1">
      <alignment horizontal="left" vertical="center"/>
    </xf>
    <xf numFmtId="1" fontId="15" fillId="6" borderId="4" xfId="0" applyNumberFormat="1" applyFont="1" applyFill="1" applyBorder="1" applyAlignment="1">
      <alignment horizontal="left" vertical="center"/>
    </xf>
    <xf numFmtId="165" fontId="15" fillId="6" borderId="4" xfId="0" applyNumberFormat="1" applyFont="1" applyFill="1" applyBorder="1" applyAlignment="1">
      <alignment horizontal="left" vertical="center"/>
    </xf>
    <xf numFmtId="4" fontId="16" fillId="7" borderId="4" xfId="0" applyNumberFormat="1" applyFont="1" applyFill="1" applyBorder="1" applyAlignment="1">
      <alignment horizontal="left" vertical="center"/>
    </xf>
    <xf numFmtId="164" fontId="15" fillId="8" borderId="4" xfId="0" applyNumberFormat="1" applyFont="1" applyFill="1" applyBorder="1" applyAlignment="1">
      <alignment horizontal="left" vertical="center"/>
    </xf>
    <xf numFmtId="4" fontId="15" fillId="8" borderId="4" xfId="0" applyNumberFormat="1" applyFont="1" applyFill="1" applyBorder="1" applyAlignment="1">
      <alignment horizontal="left" vertical="center"/>
    </xf>
    <xf numFmtId="10" fontId="15" fillId="8" borderId="4" xfId="0" applyNumberFormat="1" applyFont="1" applyFill="1" applyBorder="1" applyAlignment="1">
      <alignment horizontal="left" vertical="center"/>
    </xf>
    <xf numFmtId="0" fontId="15" fillId="8" borderId="4" xfId="0" applyFont="1" applyFill="1" applyBorder="1" applyAlignment="1">
      <alignment horizontal="left" vertical="center"/>
    </xf>
    <xf numFmtId="1" fontId="15" fillId="8" borderId="4" xfId="0" applyNumberFormat="1" applyFont="1" applyFill="1" applyBorder="1" applyAlignment="1">
      <alignment horizontal="left" vertical="center"/>
    </xf>
    <xf numFmtId="165" fontId="15" fillId="8" borderId="4" xfId="0" applyNumberFormat="1" applyFont="1" applyFill="1" applyBorder="1" applyAlignment="1">
      <alignment horizontal="left" vertical="center"/>
    </xf>
    <xf numFmtId="1" fontId="17" fillId="9" borderId="4" xfId="0" applyNumberFormat="1" applyFont="1" applyFill="1" applyBorder="1" applyAlignment="1">
      <alignment horizontal="left" vertical="center"/>
    </xf>
    <xf numFmtId="4" fontId="17" fillId="9" borderId="4" xfId="0" applyNumberFormat="1" applyFont="1" applyFill="1" applyBorder="1" applyAlignment="1">
      <alignment horizontal="left" vertical="center"/>
    </xf>
    <xf numFmtId="1" fontId="16" fillId="7" borderId="4" xfId="0" applyNumberFormat="1" applyFont="1" applyFill="1" applyBorder="1" applyAlignment="1">
      <alignment horizontal="left" vertical="center"/>
    </xf>
    <xf numFmtId="3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0" fillId="0" borderId="6" xfId="1" applyNumberFormat="1" applyFont="1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8" fillId="0" borderId="0" xfId="0" applyFont="1" applyAlignment="1">
      <alignment horizontal="left" indent="2"/>
    </xf>
    <xf numFmtId="0" fontId="19" fillId="0" borderId="0" xfId="0" applyFont="1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 indent="1"/>
    </xf>
    <xf numFmtId="168" fontId="0" fillId="0" borderId="0" xfId="1" applyNumberFormat="1" applyFont="1"/>
  </cellXfs>
  <cellStyles count="2">
    <cellStyle name="Normal" xfId="0" builtinId="0"/>
    <cellStyle name="Per 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topLeftCell="A4" workbookViewId="0">
      <selection activeCell="A7" sqref="A7:XFD9"/>
    </sheetView>
  </sheetViews>
  <sheetFormatPr defaultRowHeight="14.4" x14ac:dyDescent="0.3"/>
  <cols>
    <col min="1" max="1" width="16" style="11" bestFit="1" customWidth="1"/>
    <col min="2" max="2" width="39.5546875" bestFit="1" customWidth="1"/>
    <col min="3" max="3" width="8.5546875" bestFit="1" customWidth="1"/>
    <col min="4" max="4" width="6.5546875" bestFit="1" customWidth="1"/>
    <col min="5" max="5" width="4.44140625" bestFit="1" customWidth="1"/>
    <col min="6" max="6" width="8" bestFit="1" customWidth="1"/>
    <col min="7" max="7" width="9.6640625" bestFit="1" customWidth="1"/>
    <col min="8" max="8" width="9.6640625" customWidth="1"/>
    <col min="9" max="9" width="27.5546875" bestFit="1" customWidth="1"/>
  </cols>
  <sheetData>
    <row r="1" spans="1:10" x14ac:dyDescent="0.3">
      <c r="A1" s="10" t="s">
        <v>361</v>
      </c>
      <c r="B1" s="9" t="s">
        <v>362</v>
      </c>
      <c r="C1" s="9"/>
      <c r="D1" s="9"/>
      <c r="E1" s="9"/>
      <c r="F1" s="9"/>
      <c r="G1" s="9"/>
      <c r="H1" s="9"/>
    </row>
    <row r="2" spans="1:10" x14ac:dyDescent="0.3">
      <c r="A2" s="10" t="s">
        <v>355</v>
      </c>
      <c r="B2" s="9" t="s">
        <v>356</v>
      </c>
      <c r="C2" s="9"/>
      <c r="D2" s="9"/>
      <c r="E2" s="9"/>
      <c r="F2" s="9"/>
      <c r="G2" s="9"/>
      <c r="H2" s="9"/>
    </row>
    <row r="3" spans="1:10" x14ac:dyDescent="0.3">
      <c r="A3" s="10" t="s">
        <v>366</v>
      </c>
      <c r="B3" s="16">
        <v>0.63541666666666663</v>
      </c>
      <c r="C3" s="16"/>
      <c r="D3" s="16"/>
      <c r="E3" s="16"/>
      <c r="F3" s="16"/>
      <c r="G3" s="45"/>
      <c r="H3" s="16"/>
    </row>
    <row r="4" spans="1:10" x14ac:dyDescent="0.3">
      <c r="A4" s="10" t="s">
        <v>367</v>
      </c>
      <c r="B4" s="16" t="s">
        <v>368</v>
      </c>
      <c r="C4" s="16"/>
      <c r="D4" s="16"/>
      <c r="E4" s="16"/>
      <c r="F4" s="16"/>
      <c r="G4" s="16"/>
      <c r="H4" s="16"/>
    </row>
    <row r="5" spans="1:10" x14ac:dyDescent="0.3">
      <c r="A5" s="10"/>
      <c r="B5" s="9"/>
      <c r="C5" s="9"/>
      <c r="D5" s="9"/>
      <c r="E5" s="9"/>
      <c r="F5" s="9"/>
      <c r="G5" s="9"/>
      <c r="H5" s="9"/>
    </row>
    <row r="6" spans="1:10" x14ac:dyDescent="0.3">
      <c r="A6" s="18" t="s">
        <v>360</v>
      </c>
      <c r="B6" s="8" t="s">
        <v>28</v>
      </c>
      <c r="C6" s="8" t="s">
        <v>29</v>
      </c>
      <c r="D6" s="8" t="s">
        <v>370</v>
      </c>
      <c r="E6" s="8" t="s">
        <v>371</v>
      </c>
      <c r="F6" s="8" t="s">
        <v>372</v>
      </c>
      <c r="G6" s="8" t="s">
        <v>378</v>
      </c>
      <c r="H6" s="8" t="s">
        <v>428</v>
      </c>
      <c r="I6" s="9" t="s">
        <v>369</v>
      </c>
    </row>
    <row r="7" spans="1:10" x14ac:dyDescent="0.3">
      <c r="A7" s="18" t="s">
        <v>357</v>
      </c>
      <c r="B7" s="17" t="s">
        <v>382</v>
      </c>
      <c r="C7" s="17" t="s">
        <v>373</v>
      </c>
      <c r="D7" s="17">
        <v>1</v>
      </c>
      <c r="E7" s="17" t="s">
        <v>376</v>
      </c>
      <c r="F7" s="17" t="s">
        <v>377</v>
      </c>
      <c r="G7" s="17" t="s">
        <v>427</v>
      </c>
      <c r="H7" s="17" t="s">
        <v>429</v>
      </c>
      <c r="I7" s="14" t="s">
        <v>363</v>
      </c>
      <c r="J7" t="s">
        <v>364</v>
      </c>
    </row>
    <row r="8" spans="1:10" x14ac:dyDescent="0.3">
      <c r="A8" s="18" t="s">
        <v>358</v>
      </c>
      <c r="B8" s="17" t="s">
        <v>380</v>
      </c>
      <c r="C8" s="17" t="s">
        <v>373</v>
      </c>
      <c r="D8" s="17">
        <v>1</v>
      </c>
      <c r="E8" s="17" t="s">
        <v>376</v>
      </c>
      <c r="F8" s="17" t="s">
        <v>377</v>
      </c>
      <c r="G8" s="17" t="s">
        <v>379</v>
      </c>
      <c r="H8" s="17"/>
    </row>
    <row r="9" spans="1:10" x14ac:dyDescent="0.3">
      <c r="A9" s="18" t="s">
        <v>359</v>
      </c>
      <c r="B9" s="17" t="s">
        <v>381</v>
      </c>
      <c r="C9" s="17" t="s">
        <v>374</v>
      </c>
      <c r="D9" s="17" t="s">
        <v>375</v>
      </c>
      <c r="E9" s="17" t="s">
        <v>376</v>
      </c>
      <c r="F9" s="17" t="s">
        <v>377</v>
      </c>
      <c r="G9" s="17" t="s">
        <v>415</v>
      </c>
      <c r="H9" s="17"/>
      <c r="I9" s="15" t="s">
        <v>365</v>
      </c>
    </row>
    <row r="11" spans="1:10" x14ac:dyDescent="0.3">
      <c r="A11" s="18" t="s">
        <v>360</v>
      </c>
      <c r="B11" s="8" t="s">
        <v>28</v>
      </c>
      <c r="C11" s="8" t="s">
        <v>29</v>
      </c>
      <c r="D11" s="8" t="s">
        <v>370</v>
      </c>
      <c r="E11" s="8" t="s">
        <v>371</v>
      </c>
      <c r="F11" s="8" t="s">
        <v>372</v>
      </c>
      <c r="G11" s="8" t="s">
        <v>378</v>
      </c>
      <c r="H11" s="8" t="s">
        <v>428</v>
      </c>
      <c r="I11" s="9" t="s">
        <v>369</v>
      </c>
    </row>
    <row r="12" spans="1:10" x14ac:dyDescent="0.3">
      <c r="A12" s="18" t="s">
        <v>357</v>
      </c>
      <c r="B12" s="17" t="s">
        <v>382</v>
      </c>
      <c r="C12" s="17" t="s">
        <v>373</v>
      </c>
      <c r="D12" s="17">
        <v>1</v>
      </c>
      <c r="E12" s="17" t="s">
        <v>376</v>
      </c>
      <c r="F12" s="17">
        <v>100</v>
      </c>
      <c r="G12" s="17" t="s">
        <v>418</v>
      </c>
      <c r="H12" s="17" t="s">
        <v>429</v>
      </c>
      <c r="I12" s="14" t="s">
        <v>363</v>
      </c>
      <c r="J12" t="s">
        <v>364</v>
      </c>
    </row>
    <row r="13" spans="1:10" x14ac:dyDescent="0.3">
      <c r="A13" s="18" t="s">
        <v>358</v>
      </c>
      <c r="B13" s="17" t="s">
        <v>380</v>
      </c>
      <c r="C13" s="17" t="s">
        <v>373</v>
      </c>
      <c r="D13" s="17">
        <v>1</v>
      </c>
      <c r="E13" s="17" t="s">
        <v>376</v>
      </c>
      <c r="F13" s="17" t="s">
        <v>377</v>
      </c>
      <c r="G13" s="17" t="s">
        <v>379</v>
      </c>
      <c r="H13" s="17"/>
    </row>
    <row r="14" spans="1:10" x14ac:dyDescent="0.3">
      <c r="A14" s="18" t="s">
        <v>359</v>
      </c>
      <c r="B14" s="17" t="s">
        <v>381</v>
      </c>
      <c r="C14" s="17" t="s">
        <v>374</v>
      </c>
      <c r="D14" s="17" t="s">
        <v>375</v>
      </c>
      <c r="E14" s="17" t="s">
        <v>376</v>
      </c>
      <c r="F14" s="17" t="s">
        <v>377</v>
      </c>
      <c r="G14" s="17" t="s">
        <v>415</v>
      </c>
      <c r="H14" s="17"/>
      <c r="I14" s="15" t="s">
        <v>365</v>
      </c>
    </row>
    <row r="16" spans="1:10" x14ac:dyDescent="0.3">
      <c r="A16" s="18" t="s">
        <v>360</v>
      </c>
      <c r="B16" s="8" t="s">
        <v>28</v>
      </c>
      <c r="C16" s="8" t="s">
        <v>29</v>
      </c>
      <c r="D16" s="8" t="s">
        <v>370</v>
      </c>
      <c r="E16" s="8" t="s">
        <v>371</v>
      </c>
      <c r="F16" s="8" t="s">
        <v>372</v>
      </c>
      <c r="G16" s="8" t="s">
        <v>378</v>
      </c>
      <c r="H16" s="8" t="s">
        <v>428</v>
      </c>
      <c r="I16" s="9" t="s">
        <v>369</v>
      </c>
    </row>
    <row r="17" spans="1:10" x14ac:dyDescent="0.3">
      <c r="A17" s="18" t="s">
        <v>357</v>
      </c>
      <c r="B17" s="17" t="s">
        <v>382</v>
      </c>
      <c r="C17" s="17" t="s">
        <v>373</v>
      </c>
      <c r="D17" s="17">
        <v>1</v>
      </c>
      <c r="E17" s="17" t="s">
        <v>376</v>
      </c>
      <c r="F17" s="17">
        <v>100</v>
      </c>
      <c r="G17" s="17" t="s">
        <v>418</v>
      </c>
      <c r="H17" s="17" t="s">
        <v>429</v>
      </c>
      <c r="I17" s="14" t="s">
        <v>363</v>
      </c>
      <c r="J17" t="s">
        <v>364</v>
      </c>
    </row>
    <row r="18" spans="1:10" x14ac:dyDescent="0.3">
      <c r="A18" s="18" t="s">
        <v>358</v>
      </c>
      <c r="B18" s="17" t="s">
        <v>380</v>
      </c>
      <c r="C18" s="17" t="s">
        <v>373</v>
      </c>
      <c r="D18" s="17">
        <v>1</v>
      </c>
      <c r="E18" s="17" t="s">
        <v>376</v>
      </c>
      <c r="F18" s="17" t="s">
        <v>377</v>
      </c>
      <c r="G18" s="17" t="s">
        <v>379</v>
      </c>
      <c r="H18" s="17" t="s">
        <v>429</v>
      </c>
    </row>
    <row r="19" spans="1:10" x14ac:dyDescent="0.3">
      <c r="A19" s="18" t="s">
        <v>359</v>
      </c>
      <c r="B19" s="17" t="s">
        <v>381</v>
      </c>
      <c r="C19" s="17" t="s">
        <v>374</v>
      </c>
      <c r="D19" s="17" t="s">
        <v>375</v>
      </c>
      <c r="E19" s="17" t="s">
        <v>376</v>
      </c>
      <c r="F19" s="17" t="s">
        <v>377</v>
      </c>
      <c r="G19" s="17" t="s">
        <v>415</v>
      </c>
      <c r="H19" s="17"/>
      <c r="I19" s="15" t="s">
        <v>365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1"/>
  <sheetViews>
    <sheetView topLeftCell="F11" workbookViewId="0">
      <selection activeCell="G2" sqref="G2:G31"/>
    </sheetView>
  </sheetViews>
  <sheetFormatPr defaultRowHeight="14.4" x14ac:dyDescent="0.3"/>
  <cols>
    <col min="1" max="3" width="11.5546875" bestFit="1" customWidth="1"/>
    <col min="5" max="5" width="8.88671875" bestFit="1" customWidth="1"/>
    <col min="6" max="6" width="8.44140625" bestFit="1" customWidth="1"/>
    <col min="7" max="7" width="9.88671875" bestFit="1" customWidth="1"/>
    <col min="8" max="8" width="4.6640625" bestFit="1" customWidth="1"/>
    <col min="9" max="9" width="4" bestFit="1" customWidth="1"/>
    <col min="10" max="10" width="3.88671875" bestFit="1" customWidth="1"/>
    <col min="11" max="11" width="13.33203125" bestFit="1" customWidth="1"/>
    <col min="12" max="12" width="9.44140625" bestFit="1" customWidth="1"/>
    <col min="13" max="13" width="11.88671875" bestFit="1" customWidth="1"/>
    <col min="14" max="14" width="8.88671875" bestFit="1" customWidth="1"/>
    <col min="15" max="15" width="8" bestFit="1" customWidth="1"/>
    <col min="16" max="16" width="7" bestFit="1" customWidth="1"/>
    <col min="17" max="18" width="9.44140625" bestFit="1" customWidth="1"/>
    <col min="19" max="19" width="8.5546875" bestFit="1" customWidth="1"/>
    <col min="20" max="20" width="8.44140625" bestFit="1" customWidth="1"/>
    <col min="22" max="22" width="8.44140625" bestFit="1" customWidth="1"/>
    <col min="23" max="23" width="6" bestFit="1" customWidth="1"/>
    <col min="24" max="24" width="9.88671875" bestFit="1" customWidth="1"/>
    <col min="25" max="25" width="6.44140625" bestFit="1" customWidth="1"/>
    <col min="26" max="26" width="6" bestFit="1" customWidth="1"/>
    <col min="27" max="27" width="7.33203125" bestFit="1" customWidth="1"/>
    <col min="28" max="28" width="10.6640625" bestFit="1" customWidth="1"/>
    <col min="29" max="29" width="12.109375" bestFit="1" customWidth="1"/>
    <col min="30" max="30" width="14.109375" bestFit="1" customWidth="1"/>
    <col min="32" max="32" width="17.33203125" bestFit="1" customWidth="1"/>
    <col min="33" max="33" width="16.33203125" bestFit="1" customWidth="1"/>
    <col min="34" max="34" width="6.88671875" bestFit="1" customWidth="1"/>
    <col min="35" max="35" width="7.88671875" bestFit="1" customWidth="1"/>
    <col min="36" max="36" width="6.109375" bestFit="1" customWidth="1"/>
    <col min="37" max="44" width="6.88671875" bestFit="1" customWidth="1"/>
    <col min="45" max="45" width="11.33203125" bestFit="1" customWidth="1"/>
  </cols>
  <sheetData>
    <row r="1" spans="1:30" x14ac:dyDescent="0.3">
      <c r="A1" s="24" t="s">
        <v>386</v>
      </c>
      <c r="B1" s="24" t="s">
        <v>387</v>
      </c>
      <c r="C1" s="24" t="s">
        <v>29</v>
      </c>
      <c r="D1" s="24" t="s">
        <v>388</v>
      </c>
      <c r="E1" s="24" t="s">
        <v>389</v>
      </c>
      <c r="F1" s="24" t="s">
        <v>390</v>
      </c>
      <c r="G1" s="24" t="s">
        <v>391</v>
      </c>
      <c r="H1" s="24" t="s">
        <v>27</v>
      </c>
      <c r="I1" s="24" t="s">
        <v>392</v>
      </c>
      <c r="J1" s="24" t="s">
        <v>393</v>
      </c>
      <c r="K1" s="24" t="s">
        <v>394</v>
      </c>
      <c r="L1" s="24" t="s">
        <v>34</v>
      </c>
      <c r="M1" s="24" t="s">
        <v>395</v>
      </c>
      <c r="N1" s="24" t="s">
        <v>36</v>
      </c>
      <c r="O1" s="24" t="s">
        <v>396</v>
      </c>
      <c r="P1" s="24" t="s">
        <v>397</v>
      </c>
      <c r="Q1" s="24" t="s">
        <v>398</v>
      </c>
      <c r="R1" s="24" t="s">
        <v>399</v>
      </c>
      <c r="S1" s="24" t="s">
        <v>400</v>
      </c>
      <c r="T1" s="24" t="s">
        <v>401</v>
      </c>
      <c r="U1" s="24" t="s">
        <v>402</v>
      </c>
      <c r="V1" s="24" t="s">
        <v>403</v>
      </c>
      <c r="W1" s="24" t="s">
        <v>404</v>
      </c>
      <c r="X1" s="24" t="s">
        <v>405</v>
      </c>
      <c r="Y1" s="24" t="s">
        <v>406</v>
      </c>
      <c r="Z1" s="24" t="s">
        <v>407</v>
      </c>
      <c r="AA1" s="24" t="s">
        <v>408</v>
      </c>
      <c r="AB1" s="24" t="s">
        <v>409</v>
      </c>
      <c r="AC1" s="24" t="s">
        <v>410</v>
      </c>
      <c r="AD1" s="24" t="s">
        <v>411</v>
      </c>
    </row>
    <row r="2" spans="1:30" x14ac:dyDescent="0.3">
      <c r="A2" s="47">
        <v>45287</v>
      </c>
      <c r="B2" s="47">
        <v>45315</v>
      </c>
      <c r="C2" s="47">
        <v>45316</v>
      </c>
      <c r="D2" s="48">
        <v>21654.75</v>
      </c>
      <c r="E2" s="48">
        <v>21453.95</v>
      </c>
      <c r="F2" s="48">
        <v>-200.8</v>
      </c>
      <c r="G2" s="49">
        <v>-9.2727923434812228E-3</v>
      </c>
      <c r="H2" s="50" t="s">
        <v>412</v>
      </c>
      <c r="I2" s="50" t="s">
        <v>413</v>
      </c>
      <c r="J2" s="51">
        <v>65</v>
      </c>
      <c r="K2" s="48">
        <v>21854.099600000001</v>
      </c>
      <c r="L2" s="48">
        <v>21854.1</v>
      </c>
      <c r="M2" s="48">
        <v>21477.599600000001</v>
      </c>
      <c r="N2" s="48">
        <v>21477.599999999999</v>
      </c>
      <c r="O2" s="52">
        <v>-3.2629999999999999</v>
      </c>
      <c r="P2" s="52">
        <v>1.3534999999999999</v>
      </c>
      <c r="Q2" s="52">
        <v>-3.2629999999999999</v>
      </c>
      <c r="R2" s="52">
        <v>1.3534999999999999</v>
      </c>
      <c r="S2" s="52">
        <v>-3.2629999999999999</v>
      </c>
      <c r="T2" s="48">
        <v>-376.5</v>
      </c>
      <c r="U2" s="49">
        <v>-1.7386485644027293E-2</v>
      </c>
      <c r="V2" s="53">
        <v>-376.5</v>
      </c>
      <c r="W2" s="53">
        <v>-1.7386485644027294</v>
      </c>
      <c r="X2" s="48">
        <v>98.261351435597263</v>
      </c>
      <c r="Y2" s="51">
        <v>100</v>
      </c>
      <c r="Z2" s="48">
        <v>-1.7386485644027374</v>
      </c>
      <c r="AA2" s="49">
        <v>-1.7386485644027373E-2</v>
      </c>
      <c r="AB2" s="48">
        <v>96.74</v>
      </c>
      <c r="AC2" s="48">
        <v>-3.26</v>
      </c>
      <c r="AD2" s="50" t="s">
        <v>414</v>
      </c>
    </row>
    <row r="3" spans="1:30" x14ac:dyDescent="0.3">
      <c r="A3" s="54">
        <v>45315</v>
      </c>
      <c r="B3" s="54">
        <v>45350</v>
      </c>
      <c r="C3" s="54">
        <v>45351</v>
      </c>
      <c r="D3" s="55">
        <v>21453.95</v>
      </c>
      <c r="E3" s="55">
        <v>21951.15</v>
      </c>
      <c r="F3" s="55">
        <v>497.2</v>
      </c>
      <c r="G3" s="56">
        <v>2.3175219481727141E-2</v>
      </c>
      <c r="H3" s="57" t="s">
        <v>412</v>
      </c>
      <c r="I3" s="57" t="s">
        <v>413</v>
      </c>
      <c r="J3" s="58">
        <v>65</v>
      </c>
      <c r="K3" s="55">
        <v>21612.349600000001</v>
      </c>
      <c r="L3" s="55">
        <v>21612.35</v>
      </c>
      <c r="M3" s="55">
        <v>21921.349600000001</v>
      </c>
      <c r="N3" s="55">
        <v>21921.35</v>
      </c>
      <c r="O3" s="59">
        <v>-1.0101</v>
      </c>
      <c r="P3" s="59">
        <v>3.3874</v>
      </c>
      <c r="Q3" s="59">
        <v>-1.0101</v>
      </c>
      <c r="R3" s="59">
        <v>3.3874</v>
      </c>
      <c r="S3" s="59">
        <v>-1.0101</v>
      </c>
      <c r="T3" s="58">
        <v>309</v>
      </c>
      <c r="U3" s="56">
        <v>1.4402942115554478E-2</v>
      </c>
      <c r="V3" s="60">
        <v>309</v>
      </c>
      <c r="W3" s="61">
        <v>1.4402942115554478</v>
      </c>
      <c r="X3" s="55">
        <v>99.676603992520327</v>
      </c>
      <c r="Y3" s="58">
        <v>100</v>
      </c>
      <c r="Z3" s="55">
        <v>-0.32339600747967268</v>
      </c>
      <c r="AA3" s="56">
        <v>-3.2339600747967267E-3</v>
      </c>
      <c r="AB3" s="55">
        <v>97.27</v>
      </c>
      <c r="AC3" s="55">
        <v>-2.73</v>
      </c>
      <c r="AD3" s="57" t="s">
        <v>414</v>
      </c>
    </row>
    <row r="4" spans="1:30" x14ac:dyDescent="0.3">
      <c r="A4" s="47">
        <v>45350</v>
      </c>
      <c r="B4" s="47">
        <v>45378</v>
      </c>
      <c r="C4" s="47">
        <v>45379</v>
      </c>
      <c r="D4" s="48">
        <v>21951.15</v>
      </c>
      <c r="E4" s="48">
        <v>22123.65</v>
      </c>
      <c r="F4" s="48">
        <v>172.5</v>
      </c>
      <c r="G4" s="49">
        <v>7.8583582181343571E-3</v>
      </c>
      <c r="H4" s="50" t="s">
        <v>412</v>
      </c>
      <c r="I4" s="50" t="s">
        <v>413</v>
      </c>
      <c r="J4" s="51">
        <v>65</v>
      </c>
      <c r="K4" s="48">
        <v>22075.699199999999</v>
      </c>
      <c r="L4" s="48">
        <v>22075.7</v>
      </c>
      <c r="M4" s="48">
        <v>22167.050800000001</v>
      </c>
      <c r="N4" s="48">
        <v>22167.05</v>
      </c>
      <c r="O4" s="52">
        <v>-1.2577</v>
      </c>
      <c r="P4" s="52">
        <v>2.4651999999999998</v>
      </c>
      <c r="Q4" s="52">
        <v>-1.2577</v>
      </c>
      <c r="R4" s="52">
        <v>2.4651999999999998</v>
      </c>
      <c r="S4" s="52">
        <v>-1.2577</v>
      </c>
      <c r="T4" s="48">
        <v>91.35</v>
      </c>
      <c r="U4" s="49">
        <v>4.1615131781250637E-3</v>
      </c>
      <c r="V4" s="61">
        <v>91.35</v>
      </c>
      <c r="W4" s="61">
        <v>0.41615131781250636</v>
      </c>
      <c r="X4" s="48">
        <v>100.09140949358594</v>
      </c>
      <c r="Y4" s="48">
        <v>100.09140949358594</v>
      </c>
      <c r="Z4" s="51">
        <v>0</v>
      </c>
      <c r="AA4" s="49">
        <v>0</v>
      </c>
      <c r="AB4" s="48">
        <v>98.42</v>
      </c>
      <c r="AC4" s="48">
        <v>-1.58</v>
      </c>
      <c r="AD4" s="50" t="s">
        <v>414</v>
      </c>
    </row>
    <row r="5" spans="1:30" x14ac:dyDescent="0.3">
      <c r="A5" s="54">
        <v>45378</v>
      </c>
      <c r="B5" s="54">
        <v>45406</v>
      </c>
      <c r="C5" s="54">
        <v>45407</v>
      </c>
      <c r="D5" s="55">
        <v>22123.65</v>
      </c>
      <c r="E5" s="55">
        <v>22402.400000000001</v>
      </c>
      <c r="F5" s="55">
        <v>278.75</v>
      </c>
      <c r="G5" s="56">
        <v>1.2599638848020104E-2</v>
      </c>
      <c r="H5" s="57" t="s">
        <v>412</v>
      </c>
      <c r="I5" s="57" t="s">
        <v>413</v>
      </c>
      <c r="J5" s="58">
        <v>65</v>
      </c>
      <c r="K5" s="55">
        <v>22331.800800000001</v>
      </c>
      <c r="L5" s="55">
        <v>22331.8</v>
      </c>
      <c r="M5" s="55">
        <v>22414.699199999999</v>
      </c>
      <c r="N5" s="55">
        <v>22414.7</v>
      </c>
      <c r="O5" s="59">
        <v>-2.3205</v>
      </c>
      <c r="P5" s="59">
        <v>2.2980999999999998</v>
      </c>
      <c r="Q5" s="59">
        <v>-2.3205</v>
      </c>
      <c r="R5" s="59">
        <v>2.2980999999999998</v>
      </c>
      <c r="S5" s="59">
        <v>-2.3205</v>
      </c>
      <c r="T5" s="55">
        <v>82.9</v>
      </c>
      <c r="U5" s="56">
        <v>3.7471212932766521E-3</v>
      </c>
      <c r="V5" s="61">
        <v>82.9</v>
      </c>
      <c r="W5" s="61">
        <v>0.37471212932766518</v>
      </c>
      <c r="X5" s="55">
        <v>100.46646414537344</v>
      </c>
      <c r="Y5" s="55">
        <v>100.46646414537344</v>
      </c>
      <c r="Z5" s="58">
        <v>0</v>
      </c>
      <c r="AA5" s="56">
        <v>0</v>
      </c>
      <c r="AB5" s="55">
        <v>97.77</v>
      </c>
      <c r="AC5" s="55">
        <v>-2.3199999999999998</v>
      </c>
      <c r="AD5" s="57" t="s">
        <v>414</v>
      </c>
    </row>
    <row r="6" spans="1:30" x14ac:dyDescent="0.3">
      <c r="A6" s="47">
        <v>45406</v>
      </c>
      <c r="B6" s="47">
        <v>45441</v>
      </c>
      <c r="C6" s="47">
        <v>45442</v>
      </c>
      <c r="D6" s="48">
        <v>22402.400000000001</v>
      </c>
      <c r="E6" s="48">
        <v>22704.7</v>
      </c>
      <c r="F6" s="48">
        <v>302.3</v>
      </c>
      <c r="G6" s="49">
        <v>1.3494089918937257E-2</v>
      </c>
      <c r="H6" s="50" t="s">
        <v>412</v>
      </c>
      <c r="I6" s="50" t="s">
        <v>413</v>
      </c>
      <c r="J6" s="51">
        <v>65</v>
      </c>
      <c r="K6" s="48">
        <v>22509.75</v>
      </c>
      <c r="L6" s="48">
        <v>22509.75</v>
      </c>
      <c r="M6" s="48">
        <v>22743.800800000001</v>
      </c>
      <c r="N6" s="48">
        <v>22743.8</v>
      </c>
      <c r="O6" s="52">
        <v>-2.7088000000000001</v>
      </c>
      <c r="P6" s="52">
        <v>2.9643000000000002</v>
      </c>
      <c r="Q6" s="52">
        <v>-2.7088000000000001</v>
      </c>
      <c r="R6" s="52">
        <v>2.9643000000000002</v>
      </c>
      <c r="S6" s="52">
        <v>-2.7088000000000001</v>
      </c>
      <c r="T6" s="48">
        <v>234.05</v>
      </c>
      <c r="U6" s="49">
        <v>1.044754133485698E-2</v>
      </c>
      <c r="V6" s="61">
        <v>234.05</v>
      </c>
      <c r="W6" s="61">
        <v>1.044754133485698</v>
      </c>
      <c r="X6" s="48">
        <v>101.51609168229916</v>
      </c>
      <c r="Y6" s="48">
        <v>101.51609168229916</v>
      </c>
      <c r="Z6" s="51">
        <v>0</v>
      </c>
      <c r="AA6" s="49">
        <v>0</v>
      </c>
      <c r="AB6" s="48">
        <v>97.75</v>
      </c>
      <c r="AC6" s="48">
        <v>-2.7</v>
      </c>
      <c r="AD6" s="50" t="s">
        <v>414</v>
      </c>
    </row>
    <row r="7" spans="1:30" x14ac:dyDescent="0.3">
      <c r="A7" s="54">
        <v>45441</v>
      </c>
      <c r="B7" s="54">
        <v>45469</v>
      </c>
      <c r="C7" s="54">
        <v>45470</v>
      </c>
      <c r="D7" s="55">
        <v>22704.7</v>
      </c>
      <c r="E7" s="55">
        <v>23868.799999999999</v>
      </c>
      <c r="F7" s="55">
        <v>1164.0999999999999</v>
      </c>
      <c r="G7" s="56">
        <v>5.1271322677683473E-2</v>
      </c>
      <c r="H7" s="57" t="s">
        <v>412</v>
      </c>
      <c r="I7" s="57" t="s">
        <v>413</v>
      </c>
      <c r="J7" s="58">
        <v>65</v>
      </c>
      <c r="K7" s="58">
        <v>22863</v>
      </c>
      <c r="L7" s="58">
        <v>22863</v>
      </c>
      <c r="M7" s="55">
        <v>23867.949199999999</v>
      </c>
      <c r="N7" s="55">
        <v>23867.95</v>
      </c>
      <c r="O7" s="59">
        <v>-6.9894999999999996</v>
      </c>
      <c r="P7" s="59">
        <v>4.5655000000000001</v>
      </c>
      <c r="Q7" s="59">
        <v>-6.9894999999999996</v>
      </c>
      <c r="R7" s="59">
        <v>4.5655000000000001</v>
      </c>
      <c r="S7" s="59">
        <v>-6.9894999999999996</v>
      </c>
      <c r="T7" s="55">
        <v>1004.95</v>
      </c>
      <c r="U7" s="56">
        <v>4.4261760780807499E-2</v>
      </c>
      <c r="V7" s="61">
        <v>1004.95</v>
      </c>
      <c r="W7" s="61">
        <v>4.4261760780807498</v>
      </c>
      <c r="X7" s="55">
        <v>106.00937264774362</v>
      </c>
      <c r="Y7" s="55">
        <v>106.00937264774362</v>
      </c>
      <c r="Z7" s="58">
        <v>0</v>
      </c>
      <c r="AA7" s="56">
        <v>0</v>
      </c>
      <c r="AB7" s="55">
        <v>94.42</v>
      </c>
      <c r="AC7" s="55">
        <v>-6.99</v>
      </c>
      <c r="AD7" s="57" t="s">
        <v>414</v>
      </c>
    </row>
    <row r="8" spans="1:30" x14ac:dyDescent="0.3">
      <c r="A8" s="47">
        <v>45469</v>
      </c>
      <c r="B8" s="47">
        <v>45497</v>
      </c>
      <c r="C8" s="47">
        <v>45498</v>
      </c>
      <c r="D8" s="48">
        <v>23868.799999999999</v>
      </c>
      <c r="E8" s="48">
        <v>24413.5</v>
      </c>
      <c r="F8" s="48">
        <v>544.70000000000005</v>
      </c>
      <c r="G8" s="49">
        <v>2.2820585869419496E-2</v>
      </c>
      <c r="H8" s="50" t="s">
        <v>412</v>
      </c>
      <c r="I8" s="50" t="s">
        <v>413</v>
      </c>
      <c r="J8" s="51">
        <v>65</v>
      </c>
      <c r="K8" s="48">
        <v>23972.5</v>
      </c>
      <c r="L8" s="48">
        <v>23972.5</v>
      </c>
      <c r="M8" s="48">
        <v>24388.75</v>
      </c>
      <c r="N8" s="48">
        <v>24388.75</v>
      </c>
      <c r="O8" s="52">
        <v>-0.30309999999999998</v>
      </c>
      <c r="P8" s="52">
        <v>3.6103999999999998</v>
      </c>
      <c r="Q8" s="52">
        <v>-0.30309999999999998</v>
      </c>
      <c r="R8" s="52">
        <v>3.6103999999999998</v>
      </c>
      <c r="S8" s="52">
        <v>-0.30309999999999998</v>
      </c>
      <c r="T8" s="48">
        <v>416.25</v>
      </c>
      <c r="U8" s="49">
        <v>1.7439083657326718E-2</v>
      </c>
      <c r="V8" s="61">
        <v>416.25</v>
      </c>
      <c r="W8" s="61">
        <v>1.7439083657326719</v>
      </c>
      <c r="X8" s="48">
        <v>107.85807896580835</v>
      </c>
      <c r="Y8" s="48">
        <v>107.85807896580835</v>
      </c>
      <c r="Z8" s="51">
        <v>0</v>
      </c>
      <c r="AA8" s="49">
        <v>0</v>
      </c>
      <c r="AB8" s="48">
        <v>105.69</v>
      </c>
      <c r="AC8" s="48">
        <v>-0.3</v>
      </c>
      <c r="AD8" s="50" t="s">
        <v>414</v>
      </c>
    </row>
    <row r="9" spans="1:30" x14ac:dyDescent="0.3">
      <c r="A9" s="54">
        <v>45497</v>
      </c>
      <c r="B9" s="54">
        <v>45532</v>
      </c>
      <c r="C9" s="54">
        <v>45533</v>
      </c>
      <c r="D9" s="55">
        <v>24413.5</v>
      </c>
      <c r="E9" s="55">
        <v>25052.35</v>
      </c>
      <c r="F9" s="55">
        <v>638.85</v>
      </c>
      <c r="G9" s="56">
        <v>2.6167898908390851E-2</v>
      </c>
      <c r="H9" s="57" t="s">
        <v>412</v>
      </c>
      <c r="I9" s="57" t="s">
        <v>413</v>
      </c>
      <c r="J9" s="58">
        <v>65</v>
      </c>
      <c r="K9" s="55">
        <v>24492.199199999999</v>
      </c>
      <c r="L9" s="55">
        <v>24492.2</v>
      </c>
      <c r="M9" s="55">
        <v>25048.349600000001</v>
      </c>
      <c r="N9" s="55">
        <v>25048.35</v>
      </c>
      <c r="O9" s="59">
        <v>-2.3668999999999998</v>
      </c>
      <c r="P9" s="59">
        <v>2.6652999999999998</v>
      </c>
      <c r="Q9" s="59">
        <v>-2.3668999999999998</v>
      </c>
      <c r="R9" s="59">
        <v>2.6652999999999998</v>
      </c>
      <c r="S9" s="59">
        <v>-2.3668999999999998</v>
      </c>
      <c r="T9" s="55">
        <v>556.15</v>
      </c>
      <c r="U9" s="56">
        <v>2.2780428861080958E-2</v>
      </c>
      <c r="V9" s="61">
        <v>556.15</v>
      </c>
      <c r="W9" s="61">
        <v>2.2780428861080959</v>
      </c>
      <c r="X9" s="55">
        <v>110.31513226078179</v>
      </c>
      <c r="Y9" s="55">
        <v>110.31513226078179</v>
      </c>
      <c r="Z9" s="58">
        <v>0</v>
      </c>
      <c r="AA9" s="56">
        <v>0</v>
      </c>
      <c r="AB9" s="55">
        <v>105.31</v>
      </c>
      <c r="AC9" s="55">
        <v>-2.36</v>
      </c>
      <c r="AD9" s="57" t="s">
        <v>414</v>
      </c>
    </row>
    <row r="10" spans="1:30" x14ac:dyDescent="0.3">
      <c r="A10" s="47">
        <v>45532</v>
      </c>
      <c r="B10" s="47">
        <v>45560</v>
      </c>
      <c r="C10" s="47">
        <v>45561</v>
      </c>
      <c r="D10" s="48">
        <v>25052.35</v>
      </c>
      <c r="E10" s="48">
        <v>26004.15</v>
      </c>
      <c r="F10" s="48">
        <v>951.8</v>
      </c>
      <c r="G10" s="49">
        <v>3.7992443822635405E-2</v>
      </c>
      <c r="H10" s="50" t="s">
        <v>412</v>
      </c>
      <c r="I10" s="50" t="s">
        <v>413</v>
      </c>
      <c r="J10" s="51">
        <v>65</v>
      </c>
      <c r="K10" s="48">
        <v>25161.599600000001</v>
      </c>
      <c r="L10" s="48">
        <v>25161.599999999999</v>
      </c>
      <c r="M10" s="48">
        <v>25998.199199999999</v>
      </c>
      <c r="N10" s="48">
        <v>25998.2</v>
      </c>
      <c r="O10" s="52">
        <v>-1.3734999999999999</v>
      </c>
      <c r="P10" s="52">
        <v>3.4430999999999998</v>
      </c>
      <c r="Q10" s="52">
        <v>-1.3734999999999999</v>
      </c>
      <c r="R10" s="52">
        <v>3.4430999999999998</v>
      </c>
      <c r="S10" s="52">
        <v>-1.3734999999999999</v>
      </c>
      <c r="T10" s="48">
        <v>836.6</v>
      </c>
      <c r="U10" s="49">
        <v>3.339407281153265E-2</v>
      </c>
      <c r="V10" s="61">
        <v>836.6</v>
      </c>
      <c r="W10" s="61">
        <v>3.3394072811532651</v>
      </c>
      <c r="X10" s="48">
        <v>113.9990038197122</v>
      </c>
      <c r="Y10" s="48">
        <v>113.9990038197122</v>
      </c>
      <c r="Z10" s="51">
        <v>0</v>
      </c>
      <c r="AA10" s="49">
        <v>0</v>
      </c>
      <c r="AB10" s="48">
        <v>108.8</v>
      </c>
      <c r="AC10" s="48">
        <v>-1.37</v>
      </c>
      <c r="AD10" s="50" t="s">
        <v>414</v>
      </c>
    </row>
    <row r="11" spans="1:30" x14ac:dyDescent="0.3">
      <c r="A11" s="54">
        <v>45560</v>
      </c>
      <c r="B11" s="54">
        <v>45595</v>
      </c>
      <c r="C11" s="54">
        <v>45596</v>
      </c>
      <c r="D11" s="55">
        <v>26004.15</v>
      </c>
      <c r="E11" s="55">
        <v>24340.85</v>
      </c>
      <c r="F11" s="55">
        <v>-1663.3</v>
      </c>
      <c r="G11" s="56">
        <v>-6.3962867465385334E-2</v>
      </c>
      <c r="H11" s="57" t="s">
        <v>412</v>
      </c>
      <c r="I11" s="57" t="s">
        <v>413</v>
      </c>
      <c r="J11" s="58">
        <v>65</v>
      </c>
      <c r="K11" s="55">
        <v>26126.699199999999</v>
      </c>
      <c r="L11" s="55">
        <v>26126.7</v>
      </c>
      <c r="M11" s="55">
        <v>24371.050800000001</v>
      </c>
      <c r="N11" s="55">
        <v>24371.05</v>
      </c>
      <c r="O11" s="59">
        <v>-7.8796999999999997</v>
      </c>
      <c r="P11" s="59">
        <v>1.0571999999999999</v>
      </c>
      <c r="Q11" s="59">
        <v>-7.8796999999999997</v>
      </c>
      <c r="R11" s="59">
        <v>1.0571999999999999</v>
      </c>
      <c r="S11" s="59">
        <v>-7.8796999999999997</v>
      </c>
      <c r="T11" s="55">
        <v>-1755.65</v>
      </c>
      <c r="U11" s="56">
        <v>-6.7514223691218511E-2</v>
      </c>
      <c r="V11" s="53">
        <v>-1755.65</v>
      </c>
      <c r="W11" s="53">
        <v>-6.7514223691218511</v>
      </c>
      <c r="X11" s="55">
        <v>106.30244957525208</v>
      </c>
      <c r="Y11" s="55">
        <v>113.9990038197122</v>
      </c>
      <c r="Z11" s="55">
        <v>-7.6965542444601169</v>
      </c>
      <c r="AA11" s="56">
        <v>-6.7514223691218456E-2</v>
      </c>
      <c r="AB11" s="55">
        <v>105.02</v>
      </c>
      <c r="AC11" s="55">
        <v>-7.88</v>
      </c>
      <c r="AD11" s="57" t="s">
        <v>414</v>
      </c>
    </row>
    <row r="12" spans="1:30" x14ac:dyDescent="0.3">
      <c r="A12" s="47">
        <v>45595</v>
      </c>
      <c r="B12" s="47">
        <v>45623</v>
      </c>
      <c r="C12" s="47">
        <v>45624</v>
      </c>
      <c r="D12" s="48">
        <v>24340.85</v>
      </c>
      <c r="E12" s="48">
        <v>24274.9</v>
      </c>
      <c r="F12" s="48">
        <v>-65.95</v>
      </c>
      <c r="G12" s="49">
        <v>-2.7094370163737095E-3</v>
      </c>
      <c r="H12" s="50" t="s">
        <v>412</v>
      </c>
      <c r="I12" s="50" t="s">
        <v>413</v>
      </c>
      <c r="J12" s="51">
        <v>65</v>
      </c>
      <c r="K12" s="48">
        <v>24506.5</v>
      </c>
      <c r="L12" s="48">
        <v>24506.5</v>
      </c>
      <c r="M12" s="48">
        <v>24299.550800000001</v>
      </c>
      <c r="N12" s="48">
        <v>24299.55</v>
      </c>
      <c r="O12" s="52">
        <v>-5.0170000000000003</v>
      </c>
      <c r="P12" s="52">
        <v>0.64680000000000004</v>
      </c>
      <c r="Q12" s="52">
        <v>-5.0170000000000003</v>
      </c>
      <c r="R12" s="52">
        <v>0.64680000000000004</v>
      </c>
      <c r="S12" s="52">
        <v>-5.0170000000000003</v>
      </c>
      <c r="T12" s="48">
        <v>-206.95</v>
      </c>
      <c r="U12" s="49">
        <v>-8.5021681658610931E-3</v>
      </c>
      <c r="V12" s="53">
        <v>-206.95</v>
      </c>
      <c r="W12" s="53">
        <v>-0.85021681658610926</v>
      </c>
      <c r="X12" s="48">
        <v>105.39864827252032</v>
      </c>
      <c r="Y12" s="48">
        <v>113.9990038197122</v>
      </c>
      <c r="Z12" s="48">
        <v>-8.6003555471918816</v>
      </c>
      <c r="AA12" s="49">
        <v>-7.5442374573669271E-2</v>
      </c>
      <c r="AB12" s="48">
        <v>100.97</v>
      </c>
      <c r="AC12" s="48">
        <v>-11.43</v>
      </c>
      <c r="AD12" s="50" t="s">
        <v>414</v>
      </c>
    </row>
    <row r="13" spans="1:30" x14ac:dyDescent="0.3">
      <c r="A13" s="54">
        <v>45623</v>
      </c>
      <c r="B13" s="54">
        <v>45650</v>
      </c>
      <c r="C13" s="54">
        <v>45652</v>
      </c>
      <c r="D13" s="55">
        <v>24274.9</v>
      </c>
      <c r="E13" s="55">
        <v>23727.65</v>
      </c>
      <c r="F13" s="55">
        <v>-547.25</v>
      </c>
      <c r="G13" s="56">
        <v>-2.2543862178628953E-2</v>
      </c>
      <c r="H13" s="57" t="s">
        <v>412</v>
      </c>
      <c r="I13" s="57" t="s">
        <v>413</v>
      </c>
      <c r="J13" s="58">
        <v>65</v>
      </c>
      <c r="K13" s="55">
        <v>24437.550800000001</v>
      </c>
      <c r="L13" s="55">
        <v>24437.55</v>
      </c>
      <c r="M13" s="55">
        <v>23770.599600000001</v>
      </c>
      <c r="N13" s="55">
        <v>23770.6</v>
      </c>
      <c r="O13" s="59">
        <v>-3.5295999999999998</v>
      </c>
      <c r="P13" s="59">
        <v>2.0150999999999999</v>
      </c>
      <c r="Q13" s="59">
        <v>-3.5295999999999998</v>
      </c>
      <c r="R13" s="59">
        <v>2.0150999999999999</v>
      </c>
      <c r="S13" s="59">
        <v>-3.5295999999999998</v>
      </c>
      <c r="T13" s="55">
        <v>-666.95</v>
      </c>
      <c r="U13" s="56">
        <v>-2.7474881461921574E-2</v>
      </c>
      <c r="V13" s="53">
        <v>-666.95</v>
      </c>
      <c r="W13" s="53">
        <v>-2.7474881461921572</v>
      </c>
      <c r="X13" s="55">
        <v>102.50283290498606</v>
      </c>
      <c r="Y13" s="55">
        <v>113.9990038197122</v>
      </c>
      <c r="Z13" s="55">
        <v>-11.496170914726136</v>
      </c>
      <c r="AA13" s="56">
        <v>-0.10084448573697334</v>
      </c>
      <c r="AB13" s="55">
        <v>101.68</v>
      </c>
      <c r="AC13" s="55">
        <v>-10.81</v>
      </c>
      <c r="AD13" s="57" t="s">
        <v>414</v>
      </c>
    </row>
    <row r="14" spans="1:30" x14ac:dyDescent="0.3">
      <c r="A14" s="47">
        <v>45650</v>
      </c>
      <c r="B14" s="47">
        <v>45686</v>
      </c>
      <c r="C14" s="47">
        <v>45687</v>
      </c>
      <c r="D14" s="48">
        <v>23727.65</v>
      </c>
      <c r="E14" s="48">
        <v>23163.1</v>
      </c>
      <c r="F14" s="48">
        <v>-564.54999999999995</v>
      </c>
      <c r="G14" s="49">
        <v>-2.3792916702665451E-2</v>
      </c>
      <c r="H14" s="50" t="s">
        <v>412</v>
      </c>
      <c r="I14" s="50" t="s">
        <v>413</v>
      </c>
      <c r="J14" s="51">
        <v>65</v>
      </c>
      <c r="K14" s="48">
        <v>23929.25</v>
      </c>
      <c r="L14" s="48">
        <v>23929.25</v>
      </c>
      <c r="M14" s="48">
        <v>23148.25</v>
      </c>
      <c r="N14" s="48">
        <v>23148.25</v>
      </c>
      <c r="O14" s="52">
        <v>-4.6814999999999998</v>
      </c>
      <c r="P14" s="52">
        <v>1.6079000000000001</v>
      </c>
      <c r="Q14" s="52">
        <v>-4.6814999999999998</v>
      </c>
      <c r="R14" s="52">
        <v>1.6079000000000001</v>
      </c>
      <c r="S14" s="52">
        <v>-4.6814999999999998</v>
      </c>
      <c r="T14" s="51">
        <v>-781</v>
      </c>
      <c r="U14" s="49">
        <v>-3.2915185448200726E-2</v>
      </c>
      <c r="V14" s="62">
        <v>-781</v>
      </c>
      <c r="W14" s="53">
        <v>-3.2915185448200726</v>
      </c>
      <c r="X14" s="48">
        <v>99.12893315095252</v>
      </c>
      <c r="Y14" s="48">
        <v>113.9990038197122</v>
      </c>
      <c r="Z14" s="48">
        <v>-14.870070668759681</v>
      </c>
      <c r="AA14" s="49">
        <v>-0.13044035623571312</v>
      </c>
      <c r="AB14" s="48">
        <v>97.7</v>
      </c>
      <c r="AC14" s="48">
        <v>-14.3</v>
      </c>
      <c r="AD14" s="50" t="s">
        <v>414</v>
      </c>
    </row>
    <row r="15" spans="1:30" x14ac:dyDescent="0.3">
      <c r="A15" s="54">
        <v>45686</v>
      </c>
      <c r="B15" s="54">
        <v>45713</v>
      </c>
      <c r="C15" s="54">
        <v>45715</v>
      </c>
      <c r="D15" s="55">
        <v>23163.1</v>
      </c>
      <c r="E15" s="55">
        <v>22547.55</v>
      </c>
      <c r="F15" s="55">
        <v>-615.54999999999995</v>
      </c>
      <c r="G15" s="56">
        <v>-2.6574594937637881E-2</v>
      </c>
      <c r="H15" s="57" t="s">
        <v>412</v>
      </c>
      <c r="I15" s="57" t="s">
        <v>413</v>
      </c>
      <c r="J15" s="58">
        <v>65</v>
      </c>
      <c r="K15" s="55">
        <v>23279.349600000001</v>
      </c>
      <c r="L15" s="55">
        <v>23279.35</v>
      </c>
      <c r="M15" s="55">
        <v>22582.150399999999</v>
      </c>
      <c r="N15" s="55">
        <v>22582.15</v>
      </c>
      <c r="O15" s="59">
        <v>-3.0844999999999998</v>
      </c>
      <c r="P15" s="59">
        <v>2.4676</v>
      </c>
      <c r="Q15" s="59">
        <v>-3.0844999999999998</v>
      </c>
      <c r="R15" s="59">
        <v>2.4676</v>
      </c>
      <c r="S15" s="59">
        <v>-3.0844999999999998</v>
      </c>
      <c r="T15" s="55">
        <v>-697.2</v>
      </c>
      <c r="U15" s="56">
        <v>-3.0099598067616168E-2</v>
      </c>
      <c r="V15" s="53">
        <v>-697.2</v>
      </c>
      <c r="W15" s="53">
        <v>-3.0099598067616169</v>
      </c>
      <c r="X15" s="55">
        <v>96.145192106237261</v>
      </c>
      <c r="Y15" s="55">
        <v>113.9990038197122</v>
      </c>
      <c r="Z15" s="55">
        <v>-17.85381171347494</v>
      </c>
      <c r="AA15" s="56">
        <v>-0.15661375200883762</v>
      </c>
      <c r="AB15" s="55">
        <v>96.07</v>
      </c>
      <c r="AC15" s="55">
        <v>-15.73</v>
      </c>
      <c r="AD15" s="57" t="s">
        <v>414</v>
      </c>
    </row>
    <row r="16" spans="1:30" x14ac:dyDescent="0.3">
      <c r="A16" s="47">
        <v>45713</v>
      </c>
      <c r="B16" s="47">
        <v>45742</v>
      </c>
      <c r="C16" s="47">
        <v>45743</v>
      </c>
      <c r="D16" s="48">
        <v>22547.55</v>
      </c>
      <c r="E16" s="48">
        <v>23486.85</v>
      </c>
      <c r="F16" s="48">
        <v>939.3</v>
      </c>
      <c r="G16" s="49">
        <v>4.1658628099283515E-2</v>
      </c>
      <c r="H16" s="50" t="s">
        <v>412</v>
      </c>
      <c r="I16" s="50" t="s">
        <v>413</v>
      </c>
      <c r="J16" s="51">
        <v>65</v>
      </c>
      <c r="K16" s="48">
        <v>22716.199199999999</v>
      </c>
      <c r="L16" s="48">
        <v>22716.2</v>
      </c>
      <c r="M16" s="48">
        <v>23521.900399999999</v>
      </c>
      <c r="N16" s="48">
        <v>23521.9</v>
      </c>
      <c r="O16" s="52">
        <v>-2.7082000000000002</v>
      </c>
      <c r="P16" s="52">
        <v>5.1844000000000001</v>
      </c>
      <c r="Q16" s="52">
        <v>-2.7082000000000002</v>
      </c>
      <c r="R16" s="52">
        <v>5.1844000000000001</v>
      </c>
      <c r="S16" s="52">
        <v>-2.7082000000000002</v>
      </c>
      <c r="T16" s="48">
        <v>805.7</v>
      </c>
      <c r="U16" s="49">
        <v>3.5733372361963944E-2</v>
      </c>
      <c r="V16" s="61">
        <v>805.7</v>
      </c>
      <c r="W16" s="61">
        <v>3.5733372361963944</v>
      </c>
      <c r="X16" s="48">
        <v>99.58078405658199</v>
      </c>
      <c r="Y16" s="48">
        <v>113.9990038197122</v>
      </c>
      <c r="Z16" s="48">
        <v>-14.41821976313021</v>
      </c>
      <c r="AA16" s="49">
        <v>-0.12647671716440978</v>
      </c>
      <c r="AB16" s="48">
        <v>93.54</v>
      </c>
      <c r="AC16" s="48">
        <v>-17.95</v>
      </c>
      <c r="AD16" s="50" t="s">
        <v>414</v>
      </c>
    </row>
    <row r="17" spans="1:30" x14ac:dyDescent="0.3">
      <c r="A17" s="54">
        <v>45742</v>
      </c>
      <c r="B17" s="54">
        <v>45770</v>
      </c>
      <c r="C17" s="54">
        <v>45771</v>
      </c>
      <c r="D17" s="55">
        <v>23486.85</v>
      </c>
      <c r="E17" s="55">
        <v>24328.95</v>
      </c>
      <c r="F17" s="55">
        <v>842.1</v>
      </c>
      <c r="G17" s="56">
        <v>3.5854105595258624E-2</v>
      </c>
      <c r="H17" s="57" t="s">
        <v>412</v>
      </c>
      <c r="I17" s="57" t="s">
        <v>413</v>
      </c>
      <c r="J17" s="58">
        <v>65</v>
      </c>
      <c r="K17" s="55">
        <v>23681.449199999999</v>
      </c>
      <c r="L17" s="55">
        <v>23681.45</v>
      </c>
      <c r="M17" s="55">
        <v>24312.699199999999</v>
      </c>
      <c r="N17" s="55">
        <v>24312.7</v>
      </c>
      <c r="O17" s="59">
        <v>-7.6914999999999996</v>
      </c>
      <c r="P17" s="59">
        <v>2.8307000000000002</v>
      </c>
      <c r="Q17" s="59">
        <v>-7.6914999999999996</v>
      </c>
      <c r="R17" s="59">
        <v>2.8307000000000002</v>
      </c>
      <c r="S17" s="59">
        <v>-7.6914999999999996</v>
      </c>
      <c r="T17" s="55">
        <v>631.25</v>
      </c>
      <c r="U17" s="56">
        <v>2.6876741666081234E-2</v>
      </c>
      <c r="V17" s="61">
        <v>631.25</v>
      </c>
      <c r="W17" s="61">
        <v>2.6876741666081236</v>
      </c>
      <c r="X17" s="55">
        <v>102.25719106457657</v>
      </c>
      <c r="Y17" s="55">
        <v>113.9990038197122</v>
      </c>
      <c r="Z17" s="55">
        <v>-11.741812755135626</v>
      </c>
      <c r="AA17" s="56">
        <v>-0.10299925755233033</v>
      </c>
      <c r="AB17" s="55">
        <v>91.92</v>
      </c>
      <c r="AC17" s="55">
        <v>-19.37</v>
      </c>
      <c r="AD17" s="57" t="s">
        <v>414</v>
      </c>
    </row>
    <row r="18" spans="1:30" x14ac:dyDescent="0.3">
      <c r="A18" s="47">
        <v>45770</v>
      </c>
      <c r="B18" s="47">
        <v>45805</v>
      </c>
      <c r="C18" s="47">
        <v>45806</v>
      </c>
      <c r="D18" s="48">
        <v>24328.95</v>
      </c>
      <c r="E18" s="48">
        <v>24752.45</v>
      </c>
      <c r="F18" s="48">
        <v>423.5</v>
      </c>
      <c r="G18" s="49">
        <v>1.7407245277745238E-2</v>
      </c>
      <c r="H18" s="50" t="s">
        <v>412</v>
      </c>
      <c r="I18" s="50" t="s">
        <v>413</v>
      </c>
      <c r="J18" s="51">
        <v>65</v>
      </c>
      <c r="K18" s="48">
        <v>24448.699199999999</v>
      </c>
      <c r="L18" s="48">
        <v>24448.7</v>
      </c>
      <c r="M18" s="48">
        <v>24762.5</v>
      </c>
      <c r="N18" s="48">
        <v>24762.5</v>
      </c>
      <c r="O18" s="52">
        <v>-1.9375</v>
      </c>
      <c r="P18" s="52">
        <v>2.8643999999999998</v>
      </c>
      <c r="Q18" s="52">
        <v>-1.9375</v>
      </c>
      <c r="R18" s="52">
        <v>2.8643999999999998</v>
      </c>
      <c r="S18" s="52">
        <v>-1.9375</v>
      </c>
      <c r="T18" s="48">
        <v>313.8</v>
      </c>
      <c r="U18" s="49">
        <v>1.2898213856331654E-2</v>
      </c>
      <c r="V18" s="61">
        <v>313.8</v>
      </c>
      <c r="W18" s="61">
        <v>1.2898213856331653</v>
      </c>
      <c r="X18" s="48">
        <v>103.57612618327525</v>
      </c>
      <c r="Y18" s="48">
        <v>113.9990038197122</v>
      </c>
      <c r="Z18" s="48">
        <v>-10.422877636436951</v>
      </c>
      <c r="AA18" s="49">
        <v>-9.1429550146952018E-2</v>
      </c>
      <c r="AB18" s="48">
        <v>100.28</v>
      </c>
      <c r="AC18" s="48">
        <v>-12.03</v>
      </c>
      <c r="AD18" s="50" t="s">
        <v>414</v>
      </c>
    </row>
    <row r="19" spans="1:30" x14ac:dyDescent="0.3">
      <c r="A19" s="54">
        <v>45805</v>
      </c>
      <c r="B19" s="54">
        <v>45833</v>
      </c>
      <c r="C19" s="54">
        <v>45834</v>
      </c>
      <c r="D19" s="55">
        <v>24752.45</v>
      </c>
      <c r="E19" s="55">
        <v>25244.75</v>
      </c>
      <c r="F19" s="55">
        <v>492.3</v>
      </c>
      <c r="G19" s="56">
        <v>1.9888940286719094E-2</v>
      </c>
      <c r="H19" s="57" t="s">
        <v>412</v>
      </c>
      <c r="I19" s="57" t="s">
        <v>413</v>
      </c>
      <c r="J19" s="58">
        <v>65</v>
      </c>
      <c r="K19" s="55">
        <v>24860.699199999999</v>
      </c>
      <c r="L19" s="55">
        <v>24860.7</v>
      </c>
      <c r="M19" s="55">
        <v>25252.199199999999</v>
      </c>
      <c r="N19" s="55">
        <v>25252.2</v>
      </c>
      <c r="O19" s="59">
        <v>-1.1479999999999999</v>
      </c>
      <c r="P19" s="59">
        <v>1.9641</v>
      </c>
      <c r="Q19" s="59">
        <v>-1.1479999999999999</v>
      </c>
      <c r="R19" s="59">
        <v>1.9641</v>
      </c>
      <c r="S19" s="59">
        <v>-1.1479999999999999</v>
      </c>
      <c r="T19" s="55">
        <v>391.5</v>
      </c>
      <c r="U19" s="56">
        <v>1.5816616132948456E-2</v>
      </c>
      <c r="V19" s="61">
        <v>391.5</v>
      </c>
      <c r="W19" s="61">
        <v>1.5816616132948456</v>
      </c>
      <c r="X19" s="55">
        <v>105.21435001165395</v>
      </c>
      <c r="Y19" s="55">
        <v>113.9990038197122</v>
      </c>
      <c r="Z19" s="55">
        <v>-8.7846538080582519</v>
      </c>
      <c r="AA19" s="56">
        <v>-7.7059040111886037E-2</v>
      </c>
      <c r="AB19" s="55">
        <v>102.39</v>
      </c>
      <c r="AC19" s="55">
        <v>-10.18</v>
      </c>
      <c r="AD19" s="57" t="s">
        <v>414</v>
      </c>
    </row>
    <row r="20" spans="1:30" x14ac:dyDescent="0.3">
      <c r="A20" s="47">
        <v>45833</v>
      </c>
      <c r="B20" s="47">
        <v>45868</v>
      </c>
      <c r="C20" s="47">
        <v>45869</v>
      </c>
      <c r="D20" s="48">
        <v>25244.75</v>
      </c>
      <c r="E20" s="48">
        <v>24855.05</v>
      </c>
      <c r="F20" s="48">
        <v>-389.7</v>
      </c>
      <c r="G20" s="49">
        <v>-1.5436873013200764E-2</v>
      </c>
      <c r="H20" s="50" t="s">
        <v>412</v>
      </c>
      <c r="I20" s="50" t="s">
        <v>413</v>
      </c>
      <c r="J20" s="51">
        <v>65</v>
      </c>
      <c r="K20" s="48">
        <v>25350.199199999999</v>
      </c>
      <c r="L20" s="48">
        <v>25350.2</v>
      </c>
      <c r="M20" s="48">
        <v>24869.300800000001</v>
      </c>
      <c r="N20" s="48">
        <v>24869.3</v>
      </c>
      <c r="O20" s="52">
        <v>-2.8410000000000002</v>
      </c>
      <c r="P20" s="52">
        <v>1.7444</v>
      </c>
      <c r="Q20" s="52">
        <v>-2.8410000000000002</v>
      </c>
      <c r="R20" s="52">
        <v>1.7444</v>
      </c>
      <c r="S20" s="52">
        <v>-2.8410000000000002</v>
      </c>
      <c r="T20" s="48">
        <v>-480.9</v>
      </c>
      <c r="U20" s="49">
        <v>-1.9049505342695016E-2</v>
      </c>
      <c r="V20" s="53">
        <v>-480.9</v>
      </c>
      <c r="W20" s="53">
        <v>-1.9049505342695017</v>
      </c>
      <c r="X20" s="48">
        <v>103.21006868897877</v>
      </c>
      <c r="Y20" s="48">
        <v>113.9990038197122</v>
      </c>
      <c r="Z20" s="48">
        <v>-10.788935130733435</v>
      </c>
      <c r="AA20" s="49">
        <v>-9.4640608858266709E-2</v>
      </c>
      <c r="AB20" s="48">
        <v>102.23</v>
      </c>
      <c r="AC20" s="48">
        <v>-10.32</v>
      </c>
      <c r="AD20" s="50" t="s">
        <v>414</v>
      </c>
    </row>
    <row r="21" spans="1:30" x14ac:dyDescent="0.3">
      <c r="A21" s="54">
        <v>45868</v>
      </c>
      <c r="B21" s="54">
        <v>45895</v>
      </c>
      <c r="C21" s="54">
        <v>45897</v>
      </c>
      <c r="D21" s="55">
        <v>24855.05</v>
      </c>
      <c r="E21" s="55">
        <v>24712.05</v>
      </c>
      <c r="F21" s="58">
        <v>-143</v>
      </c>
      <c r="G21" s="56">
        <v>-5.7533579695072026E-3</v>
      </c>
      <c r="H21" s="57" t="s">
        <v>412</v>
      </c>
      <c r="I21" s="57" t="s">
        <v>413</v>
      </c>
      <c r="J21" s="58">
        <v>65</v>
      </c>
      <c r="K21" s="55">
        <v>24959.099600000001</v>
      </c>
      <c r="L21" s="55">
        <v>24959.1</v>
      </c>
      <c r="M21" s="55">
        <v>24731.5</v>
      </c>
      <c r="N21" s="55">
        <v>24731.5</v>
      </c>
      <c r="O21" s="59">
        <v>-2.2040000000000002</v>
      </c>
      <c r="P21" s="59">
        <v>0.88100000000000001</v>
      </c>
      <c r="Q21" s="59">
        <v>-2.2040000000000002</v>
      </c>
      <c r="R21" s="59">
        <v>0.88100000000000001</v>
      </c>
      <c r="S21" s="59">
        <v>-2.2040000000000002</v>
      </c>
      <c r="T21" s="55">
        <v>-227.6</v>
      </c>
      <c r="U21" s="56">
        <v>-9.1570928241946816E-3</v>
      </c>
      <c r="V21" s="53">
        <v>-227.6</v>
      </c>
      <c r="W21" s="53">
        <v>-0.91570928241946814</v>
      </c>
      <c r="X21" s="55">
        <v>102.26496450960228</v>
      </c>
      <c r="Y21" s="55">
        <v>113.9990038197122</v>
      </c>
      <c r="Z21" s="55">
        <v>-11.734039310109921</v>
      </c>
      <c r="AA21" s="56">
        <v>-0.10293106884220793</v>
      </c>
      <c r="AB21" s="55">
        <v>100.94</v>
      </c>
      <c r="AC21" s="55">
        <v>-11.46</v>
      </c>
      <c r="AD21" s="57" t="s">
        <v>414</v>
      </c>
    </row>
    <row r="22" spans="1:30" x14ac:dyDescent="0.3">
      <c r="A22" s="47">
        <v>45895</v>
      </c>
      <c r="B22" s="47">
        <v>45929</v>
      </c>
      <c r="C22" s="47">
        <v>45930</v>
      </c>
      <c r="D22" s="48">
        <v>24712.05</v>
      </c>
      <c r="E22" s="48">
        <v>24634.9</v>
      </c>
      <c r="F22" s="48">
        <v>-77.150000000000006</v>
      </c>
      <c r="G22" s="49">
        <v>-3.1219587205432173E-3</v>
      </c>
      <c r="H22" s="50" t="s">
        <v>412</v>
      </c>
      <c r="I22" s="50" t="s">
        <v>413</v>
      </c>
      <c r="J22" s="51">
        <v>65</v>
      </c>
      <c r="K22" s="48">
        <v>24857.5</v>
      </c>
      <c r="L22" s="48">
        <v>24857.5</v>
      </c>
      <c r="M22" s="51">
        <v>24685</v>
      </c>
      <c r="N22" s="51">
        <v>24685</v>
      </c>
      <c r="O22" s="52">
        <v>-1.2531000000000001</v>
      </c>
      <c r="P22" s="52">
        <v>2.6852999999999998</v>
      </c>
      <c r="Q22" s="52">
        <v>-1.2531000000000001</v>
      </c>
      <c r="R22" s="52">
        <v>2.6852999999999998</v>
      </c>
      <c r="S22" s="52">
        <v>-1.2531000000000001</v>
      </c>
      <c r="T22" s="48">
        <v>-172.5</v>
      </c>
      <c r="U22" s="49">
        <v>-6.9804002500804263E-3</v>
      </c>
      <c r="V22" s="53">
        <v>-172.5</v>
      </c>
      <c r="W22" s="53">
        <v>-0.69804002500804263</v>
      </c>
      <c r="X22" s="48">
        <v>101.55111412576498</v>
      </c>
      <c r="Y22" s="48">
        <v>113.9990038197122</v>
      </c>
      <c r="Z22" s="48">
        <v>-12.447889693947218</v>
      </c>
      <c r="AA22" s="49">
        <v>-0.10919296903360119</v>
      </c>
      <c r="AB22" s="48">
        <v>100.98</v>
      </c>
      <c r="AC22" s="48">
        <v>-11.42</v>
      </c>
      <c r="AD22" s="50" t="s">
        <v>414</v>
      </c>
    </row>
    <row r="23" spans="1:30" x14ac:dyDescent="0.3">
      <c r="A23" s="54">
        <v>45929</v>
      </c>
      <c r="B23" s="54">
        <v>45957</v>
      </c>
      <c r="C23" s="54">
        <v>45958</v>
      </c>
      <c r="D23" s="55">
        <v>24634.9</v>
      </c>
      <c r="E23" s="55">
        <v>25966.05</v>
      </c>
      <c r="F23" s="55">
        <v>1331.15</v>
      </c>
      <c r="G23" s="56">
        <v>5.4035129024270448E-2</v>
      </c>
      <c r="H23" s="57" t="s">
        <v>412</v>
      </c>
      <c r="I23" s="57" t="s">
        <v>413</v>
      </c>
      <c r="J23" s="58">
        <v>65</v>
      </c>
      <c r="K23" s="55">
        <v>24809.199199999999</v>
      </c>
      <c r="L23" s="55">
        <v>24809.200000000001</v>
      </c>
      <c r="M23" s="55">
        <v>26013.5</v>
      </c>
      <c r="N23" s="55">
        <v>26013.5</v>
      </c>
      <c r="O23" s="59">
        <v>-0.33939999999999998</v>
      </c>
      <c r="P23" s="59">
        <v>5.6261000000000001</v>
      </c>
      <c r="Q23" s="59">
        <v>-0.33939999999999998</v>
      </c>
      <c r="R23" s="59">
        <v>5.6261000000000001</v>
      </c>
      <c r="S23" s="59">
        <v>-0.33939999999999998</v>
      </c>
      <c r="T23" s="55">
        <v>1204.3</v>
      </c>
      <c r="U23" s="56">
        <v>4.8885930123523942E-2</v>
      </c>
      <c r="V23" s="61">
        <v>1204.3</v>
      </c>
      <c r="W23" s="61">
        <v>4.888593012352394</v>
      </c>
      <c r="X23" s="55">
        <v>106.51553479488315</v>
      </c>
      <c r="Y23" s="55">
        <v>113.9990038197122</v>
      </c>
      <c r="Z23" s="55">
        <v>-7.4834690248290485</v>
      </c>
      <c r="AA23" s="56">
        <v>-6.5645038764233832E-2</v>
      </c>
      <c r="AB23" s="55">
        <v>101.21</v>
      </c>
      <c r="AC23" s="55">
        <v>-11.22</v>
      </c>
      <c r="AD23" s="57" t="s">
        <v>414</v>
      </c>
    </row>
    <row r="24" spans="1:30" x14ac:dyDescent="0.3">
      <c r="A24" s="47">
        <v>45957</v>
      </c>
      <c r="B24" s="47">
        <v>45985</v>
      </c>
      <c r="C24" s="47">
        <v>45986</v>
      </c>
      <c r="D24" s="48">
        <v>25966.05</v>
      </c>
      <c r="E24" s="48">
        <v>25959.5</v>
      </c>
      <c r="F24" s="48">
        <v>-6.55</v>
      </c>
      <c r="G24" s="49">
        <v>-2.5225246042428481E-4</v>
      </c>
      <c r="H24" s="50" t="s">
        <v>412</v>
      </c>
      <c r="I24" s="50" t="s">
        <v>413</v>
      </c>
      <c r="J24" s="51">
        <v>65</v>
      </c>
      <c r="K24" s="48">
        <v>26168.400399999999</v>
      </c>
      <c r="L24" s="48">
        <v>26168.400000000001</v>
      </c>
      <c r="M24" s="48">
        <v>25996.400399999999</v>
      </c>
      <c r="N24" s="48">
        <v>25996.400000000001</v>
      </c>
      <c r="O24" s="52">
        <v>-2.8290000000000002</v>
      </c>
      <c r="P24" s="52">
        <v>0.44519999999999998</v>
      </c>
      <c r="Q24" s="52">
        <v>-2.8290000000000002</v>
      </c>
      <c r="R24" s="52">
        <v>0.44519999999999998</v>
      </c>
      <c r="S24" s="52">
        <v>-2.8290000000000002</v>
      </c>
      <c r="T24" s="51">
        <v>-172</v>
      </c>
      <c r="U24" s="49">
        <v>-6.6240340752636616E-3</v>
      </c>
      <c r="V24" s="62">
        <v>-172</v>
      </c>
      <c r="W24" s="53">
        <v>-0.66240340752636617</v>
      </c>
      <c r="X24" s="48">
        <v>105.80997226285692</v>
      </c>
      <c r="Y24" s="48">
        <v>113.9990038197122</v>
      </c>
      <c r="Z24" s="48">
        <v>-8.1890315568552836</v>
      </c>
      <c r="AA24" s="49">
        <v>-7.1834237865851178E-2</v>
      </c>
      <c r="AB24" s="48">
        <v>103.5</v>
      </c>
      <c r="AC24" s="48">
        <v>-9.2100000000000009</v>
      </c>
      <c r="AD24" s="50" t="s">
        <v>414</v>
      </c>
    </row>
    <row r="25" spans="1:30" x14ac:dyDescent="0.3">
      <c r="A25" s="54">
        <v>45985</v>
      </c>
      <c r="B25" s="54">
        <v>46020</v>
      </c>
      <c r="C25" s="54">
        <v>46021</v>
      </c>
      <c r="D25" s="55">
        <v>25959.5</v>
      </c>
      <c r="E25" s="55">
        <v>25942.1</v>
      </c>
      <c r="F25" s="55">
        <v>-17.399999999999999</v>
      </c>
      <c r="G25" s="56">
        <v>-6.7027485121053945E-4</v>
      </c>
      <c r="H25" s="57" t="s">
        <v>412</v>
      </c>
      <c r="I25" s="57" t="s">
        <v>413</v>
      </c>
      <c r="J25" s="58">
        <v>65</v>
      </c>
      <c r="K25" s="55">
        <v>26170.699199999999</v>
      </c>
      <c r="L25" s="55">
        <v>26170.7</v>
      </c>
      <c r="M25" s="55">
        <v>25957.199199999999</v>
      </c>
      <c r="N25" s="55">
        <v>25957.200000000001</v>
      </c>
      <c r="O25" s="59">
        <v>-1.4126000000000001</v>
      </c>
      <c r="P25" s="59">
        <v>1.2415</v>
      </c>
      <c r="Q25" s="59">
        <v>-1.4126000000000001</v>
      </c>
      <c r="R25" s="59">
        <v>1.2415</v>
      </c>
      <c r="S25" s="59">
        <v>-1.4126000000000001</v>
      </c>
      <c r="T25" s="55">
        <v>-213.5</v>
      </c>
      <c r="U25" s="56">
        <v>-8.2243494674396657E-3</v>
      </c>
      <c r="V25" s="53">
        <v>-213.5</v>
      </c>
      <c r="W25" s="53">
        <v>-0.82243494674396656</v>
      </c>
      <c r="X25" s="55">
        <v>104.93975407382709</v>
      </c>
      <c r="Y25" s="55">
        <v>113.9990038197122</v>
      </c>
      <c r="Z25" s="55">
        <v>-9.0592497458851113</v>
      </c>
      <c r="AA25" s="56">
        <v>-7.9467797457354855E-2</v>
      </c>
      <c r="AB25" s="55">
        <v>104.32</v>
      </c>
      <c r="AC25" s="55">
        <v>-8.49</v>
      </c>
      <c r="AD25" s="57" t="s">
        <v>414</v>
      </c>
    </row>
    <row r="26" spans="1:30" x14ac:dyDescent="0.3">
      <c r="A26" s="47">
        <v>46020</v>
      </c>
      <c r="B26" s="47">
        <v>46045</v>
      </c>
      <c r="C26" s="47">
        <v>46049</v>
      </c>
      <c r="D26" s="48">
        <v>25942.1</v>
      </c>
      <c r="E26" s="48">
        <v>25048.65</v>
      </c>
      <c r="F26" s="48">
        <v>-893.45</v>
      </c>
      <c r="G26" s="49">
        <v>-3.4440157119122974E-2</v>
      </c>
      <c r="H26" s="50" t="s">
        <v>412</v>
      </c>
      <c r="I26" s="50" t="s">
        <v>413</v>
      </c>
      <c r="J26" s="51">
        <v>65</v>
      </c>
      <c r="K26" s="48">
        <v>26121.300800000001</v>
      </c>
      <c r="L26" s="48">
        <v>26121.3</v>
      </c>
      <c r="M26" s="48">
        <v>25079.800800000001</v>
      </c>
      <c r="N26" s="48">
        <v>25079.8</v>
      </c>
      <c r="O26" s="52">
        <v>-4.4420000000000002</v>
      </c>
      <c r="P26" s="52">
        <v>1.4881</v>
      </c>
      <c r="Q26" s="52">
        <v>-4.4420000000000002</v>
      </c>
      <c r="R26" s="52">
        <v>1.4881</v>
      </c>
      <c r="S26" s="52">
        <v>-4.4420000000000002</v>
      </c>
      <c r="T26" s="48">
        <v>-1041.5</v>
      </c>
      <c r="U26" s="49">
        <v>-4.0147096804036685E-2</v>
      </c>
      <c r="V26" s="53">
        <v>-1041.5</v>
      </c>
      <c r="W26" s="53">
        <v>-4.0147096804036684</v>
      </c>
      <c r="X26" s="48">
        <v>100.72672760843335</v>
      </c>
      <c r="Y26" s="48">
        <v>113.9990038197122</v>
      </c>
      <c r="Z26" s="48">
        <v>-13.27227621127885</v>
      </c>
      <c r="AA26" s="49">
        <v>-0.11642449290406753</v>
      </c>
      <c r="AB26" s="48">
        <v>100.28</v>
      </c>
      <c r="AC26" s="48">
        <v>-12.03</v>
      </c>
      <c r="AD26" s="50" t="s">
        <v>414</v>
      </c>
    </row>
    <row r="27" spans="1:30" x14ac:dyDescent="0.3">
      <c r="A27" s="54">
        <v>46045</v>
      </c>
      <c r="B27" s="54">
        <v>46076</v>
      </c>
      <c r="C27" s="54">
        <v>46077</v>
      </c>
      <c r="D27" s="55">
        <v>25048.65</v>
      </c>
      <c r="E27" s="58">
        <v>25713</v>
      </c>
      <c r="F27" s="55">
        <v>664.35</v>
      </c>
      <c r="G27" s="56">
        <v>2.6522387434053333E-2</v>
      </c>
      <c r="H27" s="57" t="s">
        <v>412</v>
      </c>
      <c r="I27" s="57" t="s">
        <v>413</v>
      </c>
      <c r="J27" s="58">
        <v>65</v>
      </c>
      <c r="K27" s="55">
        <v>25202.599600000001</v>
      </c>
      <c r="L27" s="55">
        <v>25202.6</v>
      </c>
      <c r="M27" s="55">
        <v>25705.199199999999</v>
      </c>
      <c r="N27" s="55">
        <v>25705.200000000001</v>
      </c>
      <c r="O27" s="59">
        <v>-2.2486000000000002</v>
      </c>
      <c r="P27" s="59">
        <v>4.4337</v>
      </c>
      <c r="Q27" s="59">
        <v>-2.2486000000000002</v>
      </c>
      <c r="R27" s="59">
        <v>4.4337</v>
      </c>
      <c r="S27" s="59">
        <v>-2.2486000000000002</v>
      </c>
      <c r="T27" s="55">
        <v>502.6</v>
      </c>
      <c r="U27" s="56">
        <v>2.0064953600293828E-2</v>
      </c>
      <c r="V27" s="61">
        <v>502.6</v>
      </c>
      <c r="W27" s="61">
        <v>2.0064953600293829</v>
      </c>
      <c r="X27" s="55">
        <v>102.74780472420601</v>
      </c>
      <c r="Y27" s="55">
        <v>113.9990038197122</v>
      </c>
      <c r="Z27" s="55">
        <v>-11.251199095506195</v>
      </c>
      <c r="AA27" s="56">
        <v>-9.8695591351831508E-2</v>
      </c>
      <c r="AB27" s="55">
        <v>98.46</v>
      </c>
      <c r="AC27" s="55">
        <v>-13.63</v>
      </c>
      <c r="AD27" s="57" t="s">
        <v>414</v>
      </c>
    </row>
    <row r="28" spans="1:30" x14ac:dyDescent="0.3">
      <c r="A28" s="47">
        <v>46076</v>
      </c>
      <c r="B28" s="47">
        <v>46108</v>
      </c>
      <c r="C28" s="47">
        <v>46111</v>
      </c>
      <c r="D28" s="51">
        <v>25713</v>
      </c>
      <c r="E28" s="48">
        <v>22819.599999999999</v>
      </c>
      <c r="F28" s="48">
        <v>-2893.4</v>
      </c>
      <c r="G28" s="49">
        <v>-0.11252673744798351</v>
      </c>
      <c r="H28" s="50" t="s">
        <v>412</v>
      </c>
      <c r="I28" s="50" t="s">
        <v>413</v>
      </c>
      <c r="J28" s="51">
        <v>65</v>
      </c>
      <c r="K28" s="48">
        <v>25859.699199999999</v>
      </c>
      <c r="L28" s="48">
        <v>25859.7</v>
      </c>
      <c r="M28" s="48">
        <v>22816.599600000001</v>
      </c>
      <c r="N28" s="48">
        <v>22816.6</v>
      </c>
      <c r="O28" s="52">
        <v>-13.104200000000001</v>
      </c>
      <c r="P28" s="52">
        <v>-0.16200000000000001</v>
      </c>
      <c r="Q28" s="52">
        <v>-13.104200000000001</v>
      </c>
      <c r="R28" s="52">
        <v>-0.16200000000000001</v>
      </c>
      <c r="S28" s="52">
        <v>-13.104200000000001</v>
      </c>
      <c r="T28" s="48">
        <v>-3043.1</v>
      </c>
      <c r="U28" s="49">
        <v>-0.11834869521253841</v>
      </c>
      <c r="V28" s="53">
        <v>-3043.1</v>
      </c>
      <c r="W28" s="53">
        <v>-11.834869521253841</v>
      </c>
      <c r="X28" s="48">
        <v>90.587736099143527</v>
      </c>
      <c r="Y28" s="48">
        <v>113.9990038197122</v>
      </c>
      <c r="Z28" s="48">
        <v>-23.411267720568674</v>
      </c>
      <c r="AA28" s="49">
        <v>-0.20536379210465083</v>
      </c>
      <c r="AB28" s="48">
        <v>89.28</v>
      </c>
      <c r="AC28" s="48">
        <v>-21.68</v>
      </c>
      <c r="AD28" s="50" t="s">
        <v>414</v>
      </c>
    </row>
    <row r="29" spans="1:30" x14ac:dyDescent="0.3">
      <c r="A29" s="54">
        <v>46108</v>
      </c>
      <c r="B29" s="54">
        <v>46139</v>
      </c>
      <c r="C29" s="54">
        <v>46140</v>
      </c>
      <c r="D29" s="55">
        <v>22819.599999999999</v>
      </c>
      <c r="E29" s="55">
        <v>24092.7</v>
      </c>
      <c r="F29" s="55">
        <v>1273.0999999999999</v>
      </c>
      <c r="G29" s="56">
        <v>5.5789759680274852E-2</v>
      </c>
      <c r="H29" s="57" t="s">
        <v>412</v>
      </c>
      <c r="I29" s="57" t="s">
        <v>413</v>
      </c>
      <c r="J29" s="58">
        <v>65</v>
      </c>
      <c r="K29" s="55">
        <v>22908.699199999999</v>
      </c>
      <c r="L29" s="55">
        <v>22908.7</v>
      </c>
      <c r="M29" s="55">
        <v>24120.099600000001</v>
      </c>
      <c r="N29" s="55">
        <v>24120.1</v>
      </c>
      <c r="O29" s="59">
        <v>-2.7587999999999999</v>
      </c>
      <c r="P29" s="59">
        <v>7.4001999999999999</v>
      </c>
      <c r="Q29" s="59">
        <v>-2.7587999999999999</v>
      </c>
      <c r="R29" s="59">
        <v>7.4001999999999999</v>
      </c>
      <c r="S29" s="59">
        <v>-2.7587999999999999</v>
      </c>
      <c r="T29" s="55">
        <v>1211.4000000000001</v>
      </c>
      <c r="U29" s="56">
        <v>5.3085943662465607E-2</v>
      </c>
      <c r="V29" s="61">
        <v>1211.4000000000001</v>
      </c>
      <c r="W29" s="61">
        <v>5.3085943662465604</v>
      </c>
      <c r="X29" s="55">
        <v>95.396671554212958</v>
      </c>
      <c r="Y29" s="55">
        <v>113.9990038197122</v>
      </c>
      <c r="Z29" s="55">
        <v>-18.602332265499243</v>
      </c>
      <c r="AA29" s="56">
        <v>-0.16317977914016307</v>
      </c>
      <c r="AB29" s="55">
        <v>88.09</v>
      </c>
      <c r="AC29" s="55">
        <v>-22.73</v>
      </c>
      <c r="AD29" s="57" t="s">
        <v>414</v>
      </c>
    </row>
    <row r="30" spans="1:30" x14ac:dyDescent="0.3">
      <c r="A30" s="47">
        <v>46139</v>
      </c>
      <c r="B30" s="47">
        <v>46167</v>
      </c>
      <c r="C30" s="47">
        <v>46168</v>
      </c>
      <c r="D30" s="48">
        <v>24092.7</v>
      </c>
      <c r="E30" s="48">
        <v>24031.7</v>
      </c>
      <c r="F30" s="51">
        <v>-61</v>
      </c>
      <c r="G30" s="49">
        <v>-2.5318872521552169E-3</v>
      </c>
      <c r="H30" s="50" t="s">
        <v>412</v>
      </c>
      <c r="I30" s="50" t="s">
        <v>413</v>
      </c>
      <c r="J30" s="51">
        <v>65</v>
      </c>
      <c r="K30" s="48">
        <v>24209.699199999999</v>
      </c>
      <c r="L30" s="48">
        <v>24209.7</v>
      </c>
      <c r="M30" s="51">
        <v>24063</v>
      </c>
      <c r="N30" s="51">
        <v>24063</v>
      </c>
      <c r="O30" s="52">
        <v>-3.6749999999999998</v>
      </c>
      <c r="P30" s="52">
        <v>1.3436999999999999</v>
      </c>
      <c r="Q30" s="52">
        <v>-3.6749999999999998</v>
      </c>
      <c r="R30" s="52">
        <v>1.3436999999999999</v>
      </c>
      <c r="S30" s="52">
        <v>-3.6749999999999998</v>
      </c>
      <c r="T30" s="48">
        <v>-146.69999999999999</v>
      </c>
      <c r="U30" s="49">
        <v>-6.0889813096913162E-3</v>
      </c>
      <c r="V30" s="53">
        <v>-146.69999999999999</v>
      </c>
      <c r="W30" s="53">
        <v>-0.60889813096913159</v>
      </c>
      <c r="X30" s="48">
        <v>94.815803004112595</v>
      </c>
      <c r="Y30" s="48">
        <v>113.9990038197122</v>
      </c>
      <c r="Z30" s="48">
        <v>-19.183200815599605</v>
      </c>
      <c r="AA30" s="49">
        <v>-0.16827516182455035</v>
      </c>
      <c r="AB30" s="48">
        <v>91.89</v>
      </c>
      <c r="AC30" s="48">
        <v>-19.39</v>
      </c>
      <c r="AD30" s="50" t="s">
        <v>414</v>
      </c>
    </row>
    <row r="31" spans="1:30" x14ac:dyDescent="0.3">
      <c r="A31" s="54">
        <v>46167</v>
      </c>
      <c r="B31" s="54">
        <v>46202</v>
      </c>
      <c r="C31" s="54">
        <v>46203</v>
      </c>
      <c r="D31" s="55">
        <v>24031.7</v>
      </c>
      <c r="E31" s="55">
        <v>23946.25</v>
      </c>
      <c r="F31" s="55">
        <v>-85.45</v>
      </c>
      <c r="G31" s="56">
        <v>-3.5557201529646258E-3</v>
      </c>
      <c r="H31" s="57" t="s">
        <v>412</v>
      </c>
      <c r="I31" s="57" t="s">
        <v>413</v>
      </c>
      <c r="J31" s="58">
        <v>65</v>
      </c>
      <c r="K31" s="55">
        <v>24106.400399999999</v>
      </c>
      <c r="L31" s="55">
        <v>24106.400000000001</v>
      </c>
      <c r="M31" s="55">
        <v>23972.900399999999</v>
      </c>
      <c r="N31" s="55">
        <v>23972.9</v>
      </c>
      <c r="O31" s="59">
        <v>-4.1540999999999997</v>
      </c>
      <c r="P31" s="59">
        <v>0.71970000000000001</v>
      </c>
      <c r="Q31" s="59">
        <v>-4.1540999999999997</v>
      </c>
      <c r="R31" s="59">
        <v>0.71970000000000001</v>
      </c>
      <c r="S31" s="59">
        <v>-4.1540999999999997</v>
      </c>
      <c r="T31" s="55">
        <v>-133.5</v>
      </c>
      <c r="U31" s="56">
        <v>-5.5551625561237866E-3</v>
      </c>
      <c r="V31" s="53">
        <v>-133.5</v>
      </c>
      <c r="W31" s="53">
        <v>-0.55551625561237861</v>
      </c>
      <c r="X31" s="55">
        <v>94.289085805535336</v>
      </c>
      <c r="Y31" s="55">
        <v>113.9990038197122</v>
      </c>
      <c r="Z31" s="55">
        <v>-19.709918014176864</v>
      </c>
      <c r="AA31" s="56">
        <v>-0.17289552850258078</v>
      </c>
      <c r="AB31" s="55">
        <v>90.88</v>
      </c>
      <c r="AC31" s="55">
        <v>-20.28</v>
      </c>
      <c r="AD31" s="57" t="s">
        <v>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2"/>
  <sheetViews>
    <sheetView showGridLines="0" tabSelected="1" zoomScale="110" zoomScaleNormal="110" workbookViewId="0">
      <pane ySplit="2" topLeftCell="A29" activePane="bottomLeft" state="frozen"/>
      <selection pane="bottomLeft" activeCell="H55" sqref="H55"/>
    </sheetView>
  </sheetViews>
  <sheetFormatPr defaultRowHeight="14.4" x14ac:dyDescent="0.3"/>
  <cols>
    <col min="1" max="1" width="21.88671875" bestFit="1" customWidth="1"/>
    <col min="2" max="2" width="17.5546875" bestFit="1" customWidth="1"/>
    <col min="3" max="3" width="20.5546875" customWidth="1"/>
    <col min="4" max="4" width="31.44140625" bestFit="1" customWidth="1"/>
    <col min="5" max="5" width="6.88671875" style="38" customWidth="1"/>
    <col min="6" max="6" width="17.5546875" bestFit="1" customWidth="1"/>
    <col min="7" max="7" width="21.109375" bestFit="1" customWidth="1"/>
    <col min="8" max="8" width="31.44140625" bestFit="1" customWidth="1"/>
    <col min="9" max="9" width="21.109375" customWidth="1"/>
    <col min="10" max="10" width="11.109375" customWidth="1"/>
    <col min="11" max="11" width="10.6640625" customWidth="1"/>
  </cols>
  <sheetData>
    <row r="1" spans="1:19" x14ac:dyDescent="0.3">
      <c r="A1" s="19" t="s">
        <v>383</v>
      </c>
      <c r="B1" s="20">
        <f>C1</f>
        <v>1600000</v>
      </c>
      <c r="C1" s="20">
        <v>1600000</v>
      </c>
      <c r="D1" s="20">
        <v>1600000</v>
      </c>
      <c r="E1" s="33"/>
      <c r="F1" s="20">
        <f>D1</f>
        <v>1600000</v>
      </c>
      <c r="G1" s="20">
        <f>F1</f>
        <v>1600000</v>
      </c>
      <c r="H1" s="20">
        <f t="shared" ref="G1:I1" si="0">F1</f>
        <v>1600000</v>
      </c>
      <c r="I1" s="20">
        <f t="shared" si="0"/>
        <v>1600000</v>
      </c>
    </row>
    <row r="2" spans="1:19" ht="15.6" x14ac:dyDescent="0.3">
      <c r="A2" s="3" t="s">
        <v>0</v>
      </c>
      <c r="B2" s="8" t="s">
        <v>421</v>
      </c>
      <c r="C2" s="8" t="s">
        <v>420</v>
      </c>
      <c r="D2" s="8" t="s">
        <v>433</v>
      </c>
      <c r="E2" s="34"/>
      <c r="F2" s="8" t="s">
        <v>431</v>
      </c>
      <c r="G2" s="8" t="s">
        <v>419</v>
      </c>
      <c r="H2" s="8" t="s">
        <v>433</v>
      </c>
      <c r="I2" s="8" t="s">
        <v>432</v>
      </c>
      <c r="K2" s="46" t="s">
        <v>422</v>
      </c>
      <c r="L2" s="45" t="s">
        <v>423</v>
      </c>
    </row>
    <row r="3" spans="1:19" x14ac:dyDescent="0.3">
      <c r="A3" s="4" t="s">
        <v>1</v>
      </c>
      <c r="B3" s="5">
        <v>133285.79999999999</v>
      </c>
      <c r="C3" s="5">
        <v>119180.8</v>
      </c>
      <c r="D3" s="5">
        <v>185461.2</v>
      </c>
      <c r="E3" s="35"/>
      <c r="F3" s="5">
        <v>248280.5</v>
      </c>
      <c r="G3" s="5">
        <v>234175.5</v>
      </c>
      <c r="H3" s="5">
        <v>294638.5</v>
      </c>
      <c r="I3" s="5">
        <v>331802.2</v>
      </c>
      <c r="K3" s="46" t="s">
        <v>424</v>
      </c>
      <c r="L3" s="45" t="s">
        <v>425</v>
      </c>
    </row>
    <row r="4" spans="1:19" x14ac:dyDescent="0.3">
      <c r="A4" s="4" t="s">
        <v>2</v>
      </c>
      <c r="B4" s="6">
        <v>13.33</v>
      </c>
      <c r="C4" s="6">
        <v>11.92</v>
      </c>
      <c r="D4" s="6">
        <v>18.55</v>
      </c>
      <c r="E4" s="36"/>
      <c r="F4" s="6">
        <v>24.83</v>
      </c>
      <c r="G4" s="6">
        <v>23.42</v>
      </c>
      <c r="H4" s="6">
        <v>29.46</v>
      </c>
      <c r="I4" s="6">
        <v>33.18</v>
      </c>
    </row>
    <row r="5" spans="1:19" x14ac:dyDescent="0.3">
      <c r="A5" s="4" t="s">
        <v>3</v>
      </c>
      <c r="B5" s="6">
        <v>5.15</v>
      </c>
      <c r="C5" s="6">
        <v>4.62</v>
      </c>
      <c r="D5" s="6">
        <v>7.07</v>
      </c>
      <c r="E5" s="36"/>
      <c r="F5" s="6">
        <v>9.31</v>
      </c>
      <c r="G5" s="6">
        <v>8.81</v>
      </c>
      <c r="H5" s="6">
        <v>10.92</v>
      </c>
      <c r="I5" s="6">
        <v>12.19</v>
      </c>
    </row>
    <row r="6" spans="1:19" x14ac:dyDescent="0.3">
      <c r="A6" s="4" t="s">
        <v>4</v>
      </c>
      <c r="B6" s="7">
        <v>-84821.8</v>
      </c>
      <c r="C6" s="7">
        <v>-92790.7</v>
      </c>
      <c r="D6" s="7">
        <v>-75780.2</v>
      </c>
      <c r="E6" s="37"/>
      <c r="F6" s="7">
        <v>-80967.199999999997</v>
      </c>
      <c r="G6" s="7">
        <v>-87779.199999999997</v>
      </c>
      <c r="H6" s="7">
        <v>-70794.8</v>
      </c>
      <c r="I6" s="7">
        <v>-61288.5</v>
      </c>
      <c r="K6" s="9" t="s">
        <v>434</v>
      </c>
      <c r="M6" s="73" t="s">
        <v>435</v>
      </c>
    </row>
    <row r="7" spans="1:19" x14ac:dyDescent="0.3">
      <c r="A7" s="4" t="s">
        <v>5</v>
      </c>
      <c r="B7" s="6">
        <v>8.48</v>
      </c>
      <c r="C7" s="6">
        <v>9.2799999999999994</v>
      </c>
      <c r="D7" s="6">
        <v>7.58</v>
      </c>
      <c r="E7" s="36"/>
      <c r="F7" s="6">
        <v>8.1</v>
      </c>
      <c r="G7" s="6">
        <v>8.7799999999999994</v>
      </c>
      <c r="H7" s="6">
        <v>7.08</v>
      </c>
      <c r="I7" s="6">
        <v>6.13</v>
      </c>
      <c r="M7" s="72" t="s">
        <v>436</v>
      </c>
    </row>
    <row r="8" spans="1:19" x14ac:dyDescent="0.3">
      <c r="A8" s="4" t="s">
        <v>6</v>
      </c>
      <c r="B8" s="6">
        <v>0.60699999999999998</v>
      </c>
      <c r="C8" s="6">
        <v>0.498</v>
      </c>
      <c r="D8" s="6">
        <v>0.93300000000000005</v>
      </c>
      <c r="E8" s="36"/>
      <c r="F8" s="6">
        <v>1.1499999999999999</v>
      </c>
      <c r="G8" s="6">
        <v>1.004</v>
      </c>
      <c r="H8" s="6">
        <v>1.5429999999999999</v>
      </c>
      <c r="I8" s="6">
        <v>1.9890000000000001</v>
      </c>
      <c r="M8" s="73" t="s">
        <v>437</v>
      </c>
    </row>
    <row r="9" spans="1:19" x14ac:dyDescent="0.3">
      <c r="A9" s="4" t="s">
        <v>7</v>
      </c>
      <c r="B9" s="6">
        <v>199</v>
      </c>
      <c r="C9" s="6">
        <v>203</v>
      </c>
      <c r="D9" s="6">
        <v>215</v>
      </c>
      <c r="E9" s="36"/>
      <c r="F9" s="6">
        <v>199</v>
      </c>
      <c r="G9" s="6">
        <v>203</v>
      </c>
      <c r="H9" s="6">
        <v>215</v>
      </c>
      <c r="I9" s="6">
        <v>215</v>
      </c>
      <c r="M9" s="72" t="s">
        <v>438</v>
      </c>
    </row>
    <row r="10" spans="1:19" x14ac:dyDescent="0.3">
      <c r="A10" s="4" t="s">
        <v>8</v>
      </c>
      <c r="B10" s="6">
        <v>9</v>
      </c>
      <c r="C10" s="6">
        <v>14</v>
      </c>
      <c r="D10" s="6">
        <v>28</v>
      </c>
      <c r="E10" s="36"/>
      <c r="F10" s="6">
        <v>9</v>
      </c>
      <c r="G10" s="6">
        <v>14</v>
      </c>
      <c r="H10" s="6">
        <v>28</v>
      </c>
      <c r="I10" s="6">
        <v>28</v>
      </c>
      <c r="M10" s="73" t="s">
        <v>439</v>
      </c>
    </row>
    <row r="11" spans="1:19" ht="15" customHeight="1" x14ac:dyDescent="0.3">
      <c r="A11" s="4" t="s">
        <v>9</v>
      </c>
      <c r="B11" s="6">
        <v>188</v>
      </c>
      <c r="C11" s="6">
        <v>188</v>
      </c>
      <c r="D11" s="6">
        <v>188</v>
      </c>
      <c r="E11" s="36"/>
      <c r="F11" s="6">
        <v>188</v>
      </c>
      <c r="G11" s="6">
        <v>188</v>
      </c>
      <c r="H11" s="6">
        <v>188</v>
      </c>
      <c r="I11" s="6">
        <v>188</v>
      </c>
      <c r="M11" s="75" t="s">
        <v>440</v>
      </c>
      <c r="N11" s="75"/>
      <c r="O11" s="75"/>
      <c r="P11" s="75"/>
      <c r="Q11" s="75"/>
      <c r="R11" s="74"/>
      <c r="S11" s="74"/>
    </row>
    <row r="12" spans="1:19" x14ac:dyDescent="0.3">
      <c r="A12" s="4" t="s">
        <v>10</v>
      </c>
      <c r="B12" s="6">
        <v>616</v>
      </c>
      <c r="C12" s="6">
        <v>616</v>
      </c>
      <c r="D12" s="6">
        <v>616</v>
      </c>
      <c r="E12" s="36"/>
      <c r="F12" s="6">
        <v>616</v>
      </c>
      <c r="G12" s="6">
        <v>616</v>
      </c>
      <c r="H12" s="6">
        <v>616</v>
      </c>
      <c r="I12" s="6">
        <v>616</v>
      </c>
      <c r="M12" s="75"/>
      <c r="N12" s="75"/>
      <c r="O12" s="75"/>
      <c r="P12" s="75"/>
      <c r="Q12" s="75"/>
      <c r="R12" s="74"/>
      <c r="S12" s="74"/>
    </row>
    <row r="13" spans="1:19" x14ac:dyDescent="0.3">
      <c r="M13" s="75"/>
      <c r="N13" s="75"/>
      <c r="O13" s="75"/>
      <c r="P13" s="75"/>
      <c r="Q13" s="75"/>
      <c r="R13" s="74"/>
      <c r="S13" s="74"/>
    </row>
    <row r="14" spans="1:19" ht="15.6" x14ac:dyDescent="0.3">
      <c r="A14" s="1" t="s">
        <v>11</v>
      </c>
    </row>
    <row r="15" spans="1:19" x14ac:dyDescent="0.3">
      <c r="A15" s="26" t="s">
        <v>12</v>
      </c>
      <c r="B15" s="6">
        <v>72.36</v>
      </c>
      <c r="C15" s="6">
        <v>72.41</v>
      </c>
      <c r="D15" s="6">
        <v>70.23</v>
      </c>
      <c r="E15" s="36"/>
      <c r="F15" s="6">
        <v>73.87</v>
      </c>
      <c r="G15" s="6">
        <v>73.89</v>
      </c>
      <c r="H15" s="6">
        <v>71.63</v>
      </c>
      <c r="I15" s="6">
        <v>71.63</v>
      </c>
    </row>
    <row r="16" spans="1:19" x14ac:dyDescent="0.3">
      <c r="A16" s="26" t="s">
        <v>13</v>
      </c>
      <c r="B16" s="6">
        <v>1.105</v>
      </c>
      <c r="C16" s="6">
        <v>1.0880000000000001</v>
      </c>
      <c r="D16" s="6">
        <v>1.1339999999999999</v>
      </c>
      <c r="E16" s="36"/>
      <c r="F16" s="6">
        <v>1.208</v>
      </c>
      <c r="G16" s="6">
        <v>1.1839999999999999</v>
      </c>
      <c r="H16" s="6">
        <v>1.226</v>
      </c>
      <c r="I16" s="6">
        <v>1.2509999999999999</v>
      </c>
    </row>
    <row r="17" spans="1:9" x14ac:dyDescent="0.3">
      <c r="A17" s="26" t="s">
        <v>14</v>
      </c>
      <c r="B17" s="5">
        <v>9766.5</v>
      </c>
      <c r="C17" s="5">
        <v>9989.7000000000007</v>
      </c>
      <c r="D17" s="5">
        <v>10368.1</v>
      </c>
      <c r="E17" s="35"/>
      <c r="F17" s="5">
        <v>9805.4</v>
      </c>
      <c r="G17" s="5">
        <v>10023.4</v>
      </c>
      <c r="H17" s="5">
        <v>10389.9</v>
      </c>
      <c r="I17" s="5">
        <v>10726.7</v>
      </c>
    </row>
    <row r="18" spans="1:9" x14ac:dyDescent="0.3">
      <c r="A18" s="26" t="s">
        <v>15</v>
      </c>
      <c r="B18" s="7">
        <v>-23147</v>
      </c>
      <c r="C18" s="7">
        <v>-24094.9</v>
      </c>
      <c r="D18" s="7">
        <v>-21564.400000000001</v>
      </c>
      <c r="E18" s="37"/>
      <c r="F18" s="7">
        <v>-22944.5</v>
      </c>
      <c r="G18" s="7">
        <v>-23949.8</v>
      </c>
      <c r="H18" s="7">
        <v>-21400.2</v>
      </c>
      <c r="I18" s="7">
        <v>-21641.1</v>
      </c>
    </row>
    <row r="19" spans="1:9" x14ac:dyDescent="0.3">
      <c r="A19" s="26" t="s">
        <v>16</v>
      </c>
      <c r="B19" s="5">
        <v>168337</v>
      </c>
      <c r="C19" s="5">
        <v>168337</v>
      </c>
      <c r="D19" s="5">
        <v>168337</v>
      </c>
      <c r="E19" s="35"/>
      <c r="F19" s="5">
        <v>168337</v>
      </c>
      <c r="G19" s="5">
        <v>168337</v>
      </c>
      <c r="H19" s="5">
        <v>168337</v>
      </c>
      <c r="I19" s="5">
        <v>168337</v>
      </c>
    </row>
    <row r="20" spans="1:9" x14ac:dyDescent="0.3">
      <c r="A20" s="26" t="s">
        <v>17</v>
      </c>
      <c r="B20" s="7">
        <v>-193085.8</v>
      </c>
      <c r="C20" s="7">
        <v>-186056</v>
      </c>
      <c r="D20" s="7">
        <v>-186056</v>
      </c>
      <c r="E20" s="37"/>
      <c r="F20" s="7">
        <v>-193085.8</v>
      </c>
      <c r="G20" s="7">
        <v>-186056</v>
      </c>
      <c r="H20" s="7">
        <v>-186056</v>
      </c>
      <c r="I20" s="7">
        <v>-186056</v>
      </c>
    </row>
    <row r="21" spans="1:9" x14ac:dyDescent="0.3">
      <c r="A21" s="26" t="s">
        <v>18</v>
      </c>
      <c r="B21" s="5">
        <v>669.8</v>
      </c>
      <c r="C21" s="5">
        <v>587.1</v>
      </c>
      <c r="D21" s="5">
        <v>862.6</v>
      </c>
      <c r="E21" s="35"/>
      <c r="F21" s="5">
        <v>1247.5999999999999</v>
      </c>
      <c r="G21" s="5">
        <v>1153.5999999999999</v>
      </c>
      <c r="H21" s="5">
        <v>1370.4</v>
      </c>
      <c r="I21" s="5">
        <v>1543.3</v>
      </c>
    </row>
    <row r="23" spans="1:9" ht="15.6" x14ac:dyDescent="0.3">
      <c r="A23" s="1" t="s">
        <v>19</v>
      </c>
    </row>
    <row r="24" spans="1:9" x14ac:dyDescent="0.3">
      <c r="A24" s="4" t="s">
        <v>20</v>
      </c>
      <c r="B24" s="17">
        <v>53.33</v>
      </c>
      <c r="C24" s="17">
        <v>60</v>
      </c>
      <c r="D24" s="17">
        <v>70</v>
      </c>
      <c r="E24" s="39"/>
      <c r="F24" s="17">
        <v>63.33</v>
      </c>
      <c r="G24" s="17">
        <v>66.67</v>
      </c>
      <c r="H24" s="17">
        <v>73.33</v>
      </c>
      <c r="I24" s="17">
        <v>76.67</v>
      </c>
    </row>
    <row r="25" spans="1:9" x14ac:dyDescent="0.3">
      <c r="A25" s="4" t="s">
        <v>21</v>
      </c>
      <c r="B25" s="17">
        <v>16</v>
      </c>
      <c r="C25" s="17">
        <v>18</v>
      </c>
      <c r="D25" s="17">
        <v>21</v>
      </c>
      <c r="E25" s="39"/>
      <c r="F25" s="17">
        <v>19</v>
      </c>
      <c r="G25" s="17">
        <v>20</v>
      </c>
      <c r="H25" s="17">
        <v>22</v>
      </c>
      <c r="I25" s="17">
        <v>23</v>
      </c>
    </row>
    <row r="26" spans="1:9" x14ac:dyDescent="0.3">
      <c r="A26" s="4" t="s">
        <v>22</v>
      </c>
      <c r="B26" s="17">
        <v>14</v>
      </c>
      <c r="C26" s="17">
        <v>12</v>
      </c>
      <c r="D26" s="17">
        <v>9</v>
      </c>
      <c r="E26" s="39"/>
      <c r="F26" s="17">
        <v>11</v>
      </c>
      <c r="G26" s="17">
        <v>10</v>
      </c>
      <c r="H26" s="17">
        <v>8</v>
      </c>
      <c r="I26" s="17">
        <v>7</v>
      </c>
    </row>
    <row r="27" spans="1:9" x14ac:dyDescent="0.3">
      <c r="A27" s="4" t="s">
        <v>23</v>
      </c>
      <c r="B27" s="17">
        <v>30</v>
      </c>
      <c r="C27" s="17">
        <v>30</v>
      </c>
      <c r="D27" s="17">
        <v>30</v>
      </c>
      <c r="E27" s="39"/>
      <c r="F27" s="17">
        <v>30</v>
      </c>
      <c r="G27" s="17">
        <v>30</v>
      </c>
      <c r="H27" s="17">
        <v>30</v>
      </c>
      <c r="I27" s="17">
        <v>30</v>
      </c>
    </row>
    <row r="28" spans="1:9" x14ac:dyDescent="0.3">
      <c r="A28" s="4" t="s">
        <v>24</v>
      </c>
      <c r="B28" s="17" t="s">
        <v>351</v>
      </c>
      <c r="C28" s="17" t="s">
        <v>351</v>
      </c>
      <c r="D28" s="17" t="s">
        <v>351</v>
      </c>
      <c r="E28" s="39"/>
      <c r="F28" s="17" t="s">
        <v>353</v>
      </c>
      <c r="G28" s="17" t="s">
        <v>353</v>
      </c>
      <c r="H28" s="17" t="s">
        <v>353</v>
      </c>
      <c r="I28" s="17" t="s">
        <v>353</v>
      </c>
    </row>
    <row r="29" spans="1:9" x14ac:dyDescent="0.3">
      <c r="A29" s="4" t="s">
        <v>25</v>
      </c>
      <c r="B29" s="17" t="s">
        <v>352</v>
      </c>
      <c r="C29" s="17" t="s">
        <v>352</v>
      </c>
      <c r="D29" s="17" t="s">
        <v>352</v>
      </c>
      <c r="E29" s="39"/>
      <c r="F29" s="17" t="s">
        <v>354</v>
      </c>
      <c r="G29" s="17" t="s">
        <v>354</v>
      </c>
      <c r="H29" s="17" t="s">
        <v>354</v>
      </c>
      <c r="I29" s="17" t="s">
        <v>354</v>
      </c>
    </row>
    <row r="31" spans="1:9" x14ac:dyDescent="0.3">
      <c r="C31" s="69"/>
    </row>
    <row r="32" spans="1:9" ht="15.6" x14ac:dyDescent="0.3">
      <c r="A32" s="1" t="s">
        <v>319</v>
      </c>
    </row>
    <row r="33" spans="1:11" x14ac:dyDescent="0.3">
      <c r="A33" s="2" t="s">
        <v>320</v>
      </c>
      <c r="B33" s="12" t="s">
        <v>38</v>
      </c>
      <c r="C33" s="12" t="s">
        <v>38</v>
      </c>
      <c r="D33" s="12" t="s">
        <v>38</v>
      </c>
      <c r="E33" s="40"/>
      <c r="F33" s="12" t="s">
        <v>38</v>
      </c>
      <c r="G33" s="12" t="s">
        <v>38</v>
      </c>
      <c r="H33" s="12" t="s">
        <v>38</v>
      </c>
      <c r="I33" s="12" t="s">
        <v>38</v>
      </c>
      <c r="J33" s="12" t="s">
        <v>368</v>
      </c>
      <c r="K33" s="12" t="s">
        <v>430</v>
      </c>
    </row>
    <row r="34" spans="1:11" x14ac:dyDescent="0.3">
      <c r="A34" t="s">
        <v>321</v>
      </c>
      <c r="B34" s="13">
        <v>-2837.3</v>
      </c>
      <c r="C34" s="13">
        <v>1280.4000000000001</v>
      </c>
      <c r="D34" s="13">
        <v>1280.4000000000001</v>
      </c>
      <c r="E34" s="41"/>
      <c r="F34" s="13">
        <v>-3444.9</v>
      </c>
      <c r="G34" s="13">
        <v>672.8</v>
      </c>
      <c r="H34" s="13">
        <v>672.8</v>
      </c>
      <c r="I34" s="13">
        <v>672.8</v>
      </c>
      <c r="J34" s="63">
        <v>-13052</v>
      </c>
      <c r="K34" s="63">
        <v>-24472.5</v>
      </c>
    </row>
    <row r="35" spans="1:11" x14ac:dyDescent="0.3">
      <c r="A35" t="s">
        <v>322</v>
      </c>
      <c r="B35" s="13">
        <v>11540.7</v>
      </c>
      <c r="C35" s="13">
        <v>11433.5</v>
      </c>
      <c r="D35" s="13">
        <v>14742.1</v>
      </c>
      <c r="E35" s="41"/>
      <c r="F35" s="13">
        <v>11960</v>
      </c>
      <c r="G35" s="13">
        <v>11852.8</v>
      </c>
      <c r="H35" s="13">
        <v>15050.9</v>
      </c>
      <c r="I35" s="13">
        <v>23874.6</v>
      </c>
      <c r="J35" s="64">
        <v>32318</v>
      </c>
      <c r="K35" s="64">
        <v>20085</v>
      </c>
    </row>
    <row r="36" spans="1:11" x14ac:dyDescent="0.3">
      <c r="A36" t="s">
        <v>323</v>
      </c>
      <c r="B36" s="13">
        <v>3454.8</v>
      </c>
      <c r="C36" s="13">
        <v>7270.3</v>
      </c>
      <c r="D36" s="13">
        <v>7270.3</v>
      </c>
      <c r="E36" s="41"/>
      <c r="F36" s="13">
        <v>6204.1</v>
      </c>
      <c r="G36" s="13">
        <v>10019.6</v>
      </c>
      <c r="H36" s="13">
        <v>10019.6</v>
      </c>
      <c r="I36" s="13">
        <v>10019.6</v>
      </c>
      <c r="J36" s="64">
        <v>11212.5</v>
      </c>
      <c r="K36" s="64">
        <v>5937.75</v>
      </c>
    </row>
    <row r="37" spans="1:11" x14ac:dyDescent="0.3">
      <c r="A37" t="s">
        <v>324</v>
      </c>
      <c r="B37" s="13">
        <v>3744.1</v>
      </c>
      <c r="C37" s="13">
        <v>5749.4</v>
      </c>
      <c r="D37" s="13">
        <v>4403.8</v>
      </c>
      <c r="E37" s="41"/>
      <c r="F37" s="13">
        <v>4403.6000000000004</v>
      </c>
      <c r="G37" s="13">
        <v>6408.9</v>
      </c>
      <c r="H37" s="13">
        <v>6002.7</v>
      </c>
      <c r="I37" s="13">
        <v>11267.6</v>
      </c>
      <c r="J37" s="64">
        <v>18118.75</v>
      </c>
      <c r="K37" s="64">
        <v>5388.5</v>
      </c>
    </row>
    <row r="38" spans="1:11" x14ac:dyDescent="0.3">
      <c r="A38" t="s">
        <v>325</v>
      </c>
      <c r="B38" s="13">
        <v>15814.4</v>
      </c>
      <c r="C38" s="13">
        <v>15814.4</v>
      </c>
      <c r="D38" s="13">
        <v>15814.4</v>
      </c>
      <c r="E38" s="41"/>
      <c r="F38" s="13">
        <v>16734.2</v>
      </c>
      <c r="G38" s="13">
        <v>16734.2</v>
      </c>
      <c r="H38" s="13">
        <v>16734.2</v>
      </c>
      <c r="I38" s="13">
        <v>16734.2</v>
      </c>
      <c r="J38" s="64">
        <v>19649.5</v>
      </c>
      <c r="K38" s="64">
        <v>15213.25</v>
      </c>
    </row>
    <row r="39" spans="1:11" x14ac:dyDescent="0.3">
      <c r="A39" t="s">
        <v>326</v>
      </c>
      <c r="B39" s="13">
        <v>53251.199999999997</v>
      </c>
      <c r="C39" s="13">
        <v>53251.199999999997</v>
      </c>
      <c r="D39" s="13">
        <v>53251.199999999997</v>
      </c>
      <c r="E39" s="41"/>
      <c r="F39" s="13">
        <v>58669.1</v>
      </c>
      <c r="G39" s="13">
        <v>58669.1</v>
      </c>
      <c r="H39" s="13">
        <v>58669.1</v>
      </c>
      <c r="I39" s="13">
        <v>58669.1</v>
      </c>
      <c r="J39" s="64">
        <v>75666.5</v>
      </c>
      <c r="K39" s="64">
        <v>65321.75</v>
      </c>
    </row>
    <row r="40" spans="1:11" x14ac:dyDescent="0.3">
      <c r="A40" t="s">
        <v>327</v>
      </c>
      <c r="B40" s="13">
        <v>-3353.9</v>
      </c>
      <c r="C40" s="13">
        <v>-3353.9</v>
      </c>
      <c r="D40" s="13">
        <v>-1186.2</v>
      </c>
      <c r="E40" s="41"/>
      <c r="F40" s="13">
        <v>7663.5</v>
      </c>
      <c r="G40" s="13">
        <v>7663.5</v>
      </c>
      <c r="H40" s="13">
        <v>8865.9</v>
      </c>
      <c r="I40" s="13">
        <v>19590.900000000001</v>
      </c>
      <c r="J40" s="64">
        <v>35405.5</v>
      </c>
      <c r="K40" s="64">
        <v>27056.25</v>
      </c>
    </row>
    <row r="41" spans="1:11" x14ac:dyDescent="0.3">
      <c r="A41" t="s">
        <v>328</v>
      </c>
      <c r="B41" s="13">
        <v>24807.3</v>
      </c>
      <c r="C41" s="13">
        <v>24807.3</v>
      </c>
      <c r="D41" s="13">
        <v>24807.3</v>
      </c>
      <c r="E41" s="41"/>
      <c r="F41" s="13">
        <v>31216.3</v>
      </c>
      <c r="G41" s="13">
        <v>31216.3</v>
      </c>
      <c r="H41" s="13">
        <v>31216.3</v>
      </c>
      <c r="I41" s="13">
        <v>31216.3</v>
      </c>
      <c r="J41" s="64">
        <v>41525.25</v>
      </c>
      <c r="K41" s="64">
        <v>36149.75</v>
      </c>
    </row>
    <row r="42" spans="1:11" x14ac:dyDescent="0.3">
      <c r="A42" t="s">
        <v>329</v>
      </c>
      <c r="B42" s="13">
        <v>12112.7</v>
      </c>
      <c r="C42" s="13">
        <v>12112.7</v>
      </c>
      <c r="D42" s="13">
        <v>12112.7</v>
      </c>
      <c r="E42" s="41"/>
      <c r="F42" s="13">
        <v>18018</v>
      </c>
      <c r="G42" s="13">
        <v>18018</v>
      </c>
      <c r="H42" s="13">
        <v>18018</v>
      </c>
      <c r="I42" s="13">
        <v>18018</v>
      </c>
      <c r="J42" s="64">
        <v>61867</v>
      </c>
      <c r="K42" s="64">
        <v>54379</v>
      </c>
    </row>
    <row r="43" spans="1:11" x14ac:dyDescent="0.3">
      <c r="A43" t="s">
        <v>330</v>
      </c>
      <c r="B43" s="13">
        <v>-6370</v>
      </c>
      <c r="C43" s="13">
        <v>-1196</v>
      </c>
      <c r="D43" s="13">
        <v>-1196</v>
      </c>
      <c r="E43" s="41"/>
      <c r="F43" s="13">
        <v>-6435.1</v>
      </c>
      <c r="G43" s="13">
        <v>-1261.0999999999999</v>
      </c>
      <c r="H43" s="13">
        <v>-1261.0999999999999</v>
      </c>
      <c r="I43" s="13">
        <v>-1261.0999999999999</v>
      </c>
      <c r="J43" s="64">
        <v>-108114.5</v>
      </c>
      <c r="K43" s="64">
        <v>-114117.25</v>
      </c>
    </row>
    <row r="44" spans="1:11" x14ac:dyDescent="0.3">
      <c r="A44" t="s">
        <v>331</v>
      </c>
      <c r="B44" s="13">
        <v>-46439.4</v>
      </c>
      <c r="C44" s="13">
        <v>-46439.4</v>
      </c>
      <c r="D44" s="13">
        <v>-46439.4</v>
      </c>
      <c r="E44" s="41"/>
      <c r="F44" s="13">
        <v>-41392</v>
      </c>
      <c r="G44" s="13">
        <v>-41392</v>
      </c>
      <c r="H44" s="13">
        <v>-41392</v>
      </c>
      <c r="I44" s="13">
        <v>-41392</v>
      </c>
      <c r="J44" s="64">
        <v>-4286.75</v>
      </c>
      <c r="K44" s="64">
        <v>-13451.75</v>
      </c>
    </row>
    <row r="45" spans="1:11" x14ac:dyDescent="0.3">
      <c r="A45" t="s">
        <v>332</v>
      </c>
      <c r="B45" s="13">
        <v>-7955.9</v>
      </c>
      <c r="C45" s="13">
        <v>-21872.3</v>
      </c>
      <c r="D45" s="13">
        <v>2216.6</v>
      </c>
      <c r="E45" s="41"/>
      <c r="F45" s="13">
        <v>-8034</v>
      </c>
      <c r="G45" s="13">
        <v>-21950.400000000001</v>
      </c>
      <c r="H45" s="13">
        <v>2112.6999999999998</v>
      </c>
      <c r="I45" s="13">
        <v>11618.8</v>
      </c>
      <c r="J45" s="64">
        <v>-35571.25</v>
      </c>
      <c r="K45" s="64">
        <v>-43351.75</v>
      </c>
    </row>
    <row r="46" spans="1:11" x14ac:dyDescent="0.3">
      <c r="A46" t="s">
        <v>333</v>
      </c>
      <c r="B46" s="13">
        <v>-3906.5</v>
      </c>
      <c r="C46" s="13">
        <v>724.7</v>
      </c>
      <c r="D46" s="13">
        <v>724.7</v>
      </c>
      <c r="E46" s="41"/>
      <c r="F46" s="13">
        <v>-4377.8</v>
      </c>
      <c r="G46" s="13">
        <v>253.4</v>
      </c>
      <c r="H46" s="13">
        <v>253.4</v>
      </c>
      <c r="I46" s="13">
        <v>253.4</v>
      </c>
      <c r="J46" s="64">
        <v>-36695.75</v>
      </c>
      <c r="K46" s="64">
        <v>-50765</v>
      </c>
    </row>
    <row r="47" spans="1:11" x14ac:dyDescent="0.3">
      <c r="A47" t="s">
        <v>334</v>
      </c>
      <c r="B47" s="13">
        <v>689</v>
      </c>
      <c r="C47" s="13">
        <v>2632.5</v>
      </c>
      <c r="D47" s="13">
        <v>2632.5</v>
      </c>
      <c r="E47" s="41"/>
      <c r="F47" s="13">
        <v>10660</v>
      </c>
      <c r="G47" s="13">
        <v>12603.5</v>
      </c>
      <c r="H47" s="13">
        <v>12603.5</v>
      </c>
      <c r="I47" s="13">
        <v>12603.5</v>
      </c>
      <c r="J47" s="64">
        <v>-40010.75</v>
      </c>
      <c r="K47" s="64">
        <v>-45318</v>
      </c>
    </row>
    <row r="48" spans="1:11" x14ac:dyDescent="0.3">
      <c r="A48" t="s">
        <v>335</v>
      </c>
      <c r="B48" s="13">
        <v>8645</v>
      </c>
      <c r="C48" s="13">
        <v>9652.6</v>
      </c>
      <c r="D48" s="13">
        <v>2158.1</v>
      </c>
      <c r="E48" s="41"/>
      <c r="F48" s="13">
        <v>15931.4</v>
      </c>
      <c r="G48" s="13">
        <v>16939</v>
      </c>
      <c r="H48" s="13">
        <v>9444.5</v>
      </c>
      <c r="I48" s="13">
        <v>9444.5</v>
      </c>
      <c r="J48" s="64">
        <v>61054.5</v>
      </c>
      <c r="K48" s="64">
        <v>52370.5</v>
      </c>
    </row>
    <row r="49" spans="1:11" x14ac:dyDescent="0.3">
      <c r="A49" t="s">
        <v>336</v>
      </c>
      <c r="B49" s="13">
        <v>9623.2000000000007</v>
      </c>
      <c r="C49" s="13">
        <v>8970</v>
      </c>
      <c r="D49" s="13">
        <v>2788.5</v>
      </c>
      <c r="E49" s="41"/>
      <c r="F49" s="13">
        <v>26698.6</v>
      </c>
      <c r="G49" s="13">
        <v>26045.4</v>
      </c>
      <c r="H49" s="13">
        <v>19863.900000000001</v>
      </c>
      <c r="I49" s="13">
        <v>19863.900000000001</v>
      </c>
      <c r="J49" s="64">
        <v>54736.5</v>
      </c>
      <c r="K49" s="64">
        <v>41031.25</v>
      </c>
    </row>
    <row r="50" spans="1:11" x14ac:dyDescent="0.3">
      <c r="A50" t="s">
        <v>337</v>
      </c>
      <c r="B50" s="13">
        <v>17124.3</v>
      </c>
      <c r="C50" s="13">
        <v>17124.3</v>
      </c>
      <c r="D50" s="13">
        <v>17124.3</v>
      </c>
      <c r="E50" s="41"/>
      <c r="F50" s="13">
        <v>17693</v>
      </c>
      <c r="G50" s="13">
        <v>17693</v>
      </c>
      <c r="H50" s="13">
        <v>17693</v>
      </c>
      <c r="I50" s="13">
        <v>17693</v>
      </c>
      <c r="J50" s="64">
        <v>27527.5</v>
      </c>
      <c r="K50" s="64">
        <v>20397</v>
      </c>
    </row>
    <row r="51" spans="1:11" x14ac:dyDescent="0.3">
      <c r="A51" t="s">
        <v>338</v>
      </c>
      <c r="B51" s="13">
        <v>19558.5</v>
      </c>
      <c r="C51" s="13">
        <v>19558.5</v>
      </c>
      <c r="D51" s="13">
        <v>19558.5</v>
      </c>
      <c r="E51" s="41"/>
      <c r="F51" s="13">
        <v>24586.1</v>
      </c>
      <c r="G51" s="13">
        <v>24586.1</v>
      </c>
      <c r="H51" s="13">
        <v>24586.1</v>
      </c>
      <c r="I51" s="13">
        <v>24586.1</v>
      </c>
      <c r="J51" s="64">
        <v>31999.5</v>
      </c>
      <c r="K51" s="64">
        <v>25447.5</v>
      </c>
    </row>
    <row r="52" spans="1:11" x14ac:dyDescent="0.3">
      <c r="A52" t="s">
        <v>339</v>
      </c>
      <c r="B52" s="13">
        <v>-74.7</v>
      </c>
      <c r="C52" s="13">
        <v>-1794</v>
      </c>
      <c r="D52" s="13">
        <v>-1794</v>
      </c>
      <c r="E52" s="41"/>
      <c r="F52" s="13">
        <v>224.2</v>
      </c>
      <c r="G52" s="13">
        <v>-1495.1</v>
      </c>
      <c r="H52" s="13">
        <v>-1495.1</v>
      </c>
      <c r="I52" s="13">
        <v>-1495.1</v>
      </c>
      <c r="J52" s="64">
        <v>-25330.5</v>
      </c>
      <c r="K52" s="64">
        <v>-31258.5</v>
      </c>
    </row>
    <row r="53" spans="1:11" x14ac:dyDescent="0.3">
      <c r="A53" t="s">
        <v>340</v>
      </c>
      <c r="B53" s="13">
        <v>-6240.2</v>
      </c>
      <c r="C53" s="13">
        <v>-6240.2</v>
      </c>
      <c r="D53" s="13">
        <v>-6240.2</v>
      </c>
      <c r="E53" s="41"/>
      <c r="F53" s="13">
        <v>-3607.6</v>
      </c>
      <c r="G53" s="13">
        <v>-3607.6</v>
      </c>
      <c r="H53" s="13">
        <v>-3607.6</v>
      </c>
      <c r="I53" s="13">
        <v>-3607.6</v>
      </c>
      <c r="J53" s="64">
        <v>-9295</v>
      </c>
      <c r="K53" s="64">
        <v>-14794</v>
      </c>
    </row>
    <row r="54" spans="1:11" x14ac:dyDescent="0.3">
      <c r="A54" t="s">
        <v>341</v>
      </c>
      <c r="B54" s="13">
        <v>-4680.1000000000004</v>
      </c>
      <c r="C54" s="13">
        <v>-10848.7</v>
      </c>
      <c r="D54" s="13">
        <v>20013.400000000001</v>
      </c>
      <c r="E54" s="41"/>
      <c r="F54" s="13">
        <v>-5108.8999999999996</v>
      </c>
      <c r="G54" s="13">
        <v>-11277.5</v>
      </c>
      <c r="H54" s="13">
        <v>19597.5</v>
      </c>
      <c r="I54" s="13">
        <v>25967.5</v>
      </c>
      <c r="J54" s="64">
        <v>-5014.75</v>
      </c>
      <c r="K54" s="64">
        <v>-11212.5</v>
      </c>
    </row>
    <row r="55" spans="1:11" x14ac:dyDescent="0.3">
      <c r="A55" t="s">
        <v>342</v>
      </c>
      <c r="B55" s="13">
        <v>31391.8</v>
      </c>
      <c r="C55" s="13">
        <v>28648.9</v>
      </c>
      <c r="D55" s="13">
        <v>23520.3</v>
      </c>
      <c r="E55" s="41"/>
      <c r="F55" s="13">
        <v>42370.1</v>
      </c>
      <c r="G55" s="13">
        <v>39627.199999999997</v>
      </c>
      <c r="H55" s="13">
        <v>28687.8</v>
      </c>
      <c r="I55" s="13">
        <v>17134.099999999999</v>
      </c>
      <c r="J55" s="64">
        <v>86524.75</v>
      </c>
      <c r="K55" s="64">
        <v>78279.5</v>
      </c>
    </row>
    <row r="56" spans="1:11" x14ac:dyDescent="0.3">
      <c r="A56" t="s">
        <v>343</v>
      </c>
      <c r="B56" s="13">
        <v>-932.7</v>
      </c>
      <c r="C56" s="13">
        <v>1482</v>
      </c>
      <c r="D56" s="13">
        <v>1482</v>
      </c>
      <c r="E56" s="41"/>
      <c r="F56" s="13">
        <v>650.1</v>
      </c>
      <c r="G56" s="13">
        <v>3064.8</v>
      </c>
      <c r="H56" s="13">
        <v>3064.8</v>
      </c>
      <c r="I56" s="13">
        <v>3064.8</v>
      </c>
      <c r="J56" s="64">
        <v>-425.75</v>
      </c>
      <c r="K56" s="64">
        <v>-11180</v>
      </c>
    </row>
    <row r="57" spans="1:11" x14ac:dyDescent="0.3">
      <c r="A57" t="s">
        <v>344</v>
      </c>
      <c r="B57" s="13">
        <v>-741</v>
      </c>
      <c r="C57" s="13">
        <v>-741</v>
      </c>
      <c r="D57" s="13">
        <v>-741</v>
      </c>
      <c r="E57" s="41"/>
      <c r="F57" s="13">
        <v>-1706.3</v>
      </c>
      <c r="G57" s="13">
        <v>-1706.3</v>
      </c>
      <c r="H57" s="13">
        <v>-1706.3</v>
      </c>
      <c r="I57" s="13">
        <v>-1706.3</v>
      </c>
      <c r="J57" s="64">
        <v>-1131</v>
      </c>
      <c r="K57" s="64">
        <v>-13877.5</v>
      </c>
    </row>
    <row r="58" spans="1:11" x14ac:dyDescent="0.3">
      <c r="A58" t="s">
        <v>345</v>
      </c>
      <c r="B58" s="13">
        <v>-5973.5</v>
      </c>
      <c r="C58" s="13">
        <v>-14264.2</v>
      </c>
      <c r="D58" s="13">
        <v>377.1</v>
      </c>
      <c r="E58" s="41"/>
      <c r="F58" s="13">
        <v>-5804.6</v>
      </c>
      <c r="G58" s="13">
        <v>-14095.3</v>
      </c>
      <c r="H58" s="13">
        <v>812.6</v>
      </c>
      <c r="I58" s="13">
        <v>3331.2</v>
      </c>
      <c r="J58" s="64">
        <v>-58074.25</v>
      </c>
      <c r="K58" s="64">
        <v>-67697.5</v>
      </c>
    </row>
    <row r="59" spans="1:11" x14ac:dyDescent="0.3">
      <c r="A59" t="s">
        <v>346</v>
      </c>
      <c r="B59" s="13">
        <v>4780.7</v>
      </c>
      <c r="C59" s="13">
        <v>-8313.6</v>
      </c>
      <c r="D59" s="13">
        <v>-12132.2</v>
      </c>
      <c r="E59" s="41"/>
      <c r="F59" s="13">
        <v>15827.6</v>
      </c>
      <c r="G59" s="13">
        <v>2733.3</v>
      </c>
      <c r="H59" s="13">
        <v>-1209</v>
      </c>
      <c r="I59" s="13">
        <v>4299.7</v>
      </c>
      <c r="J59" s="64">
        <v>43182.75</v>
      </c>
      <c r="K59" s="64">
        <v>32669</v>
      </c>
    </row>
    <row r="60" spans="1:11" x14ac:dyDescent="0.3">
      <c r="A60" t="s">
        <v>347</v>
      </c>
      <c r="B60" s="13">
        <v>-11059.7</v>
      </c>
      <c r="C60" s="13">
        <v>-4029.9</v>
      </c>
      <c r="D60" s="13">
        <v>-4029.9</v>
      </c>
      <c r="E60" s="41"/>
      <c r="F60" s="13">
        <v>-10871.3</v>
      </c>
      <c r="G60" s="13">
        <v>-3841.5</v>
      </c>
      <c r="H60" s="13">
        <v>-3841.5</v>
      </c>
      <c r="I60" s="13">
        <v>-3841.5</v>
      </c>
      <c r="J60" s="64">
        <v>-188071</v>
      </c>
      <c r="K60" s="64">
        <v>-197801.5</v>
      </c>
    </row>
    <row r="61" spans="1:11" x14ac:dyDescent="0.3">
      <c r="A61" t="s">
        <v>348</v>
      </c>
      <c r="B61" s="13">
        <v>24115</v>
      </c>
      <c r="C61" s="13">
        <v>24563.5</v>
      </c>
      <c r="D61" s="13">
        <v>39744.300000000003</v>
      </c>
      <c r="E61" s="41"/>
      <c r="F61" s="13">
        <v>33062</v>
      </c>
      <c r="G61" s="13">
        <v>33510.5</v>
      </c>
      <c r="H61" s="13">
        <v>48691.3</v>
      </c>
      <c r="I61" s="13">
        <v>48691.3</v>
      </c>
      <c r="J61" s="64">
        <v>82751.5</v>
      </c>
      <c r="K61" s="64">
        <v>78741</v>
      </c>
    </row>
    <row r="62" spans="1:11" x14ac:dyDescent="0.3">
      <c r="A62" t="s">
        <v>349</v>
      </c>
      <c r="B62" s="13">
        <v>1205.7</v>
      </c>
      <c r="C62" s="13">
        <v>1205.7</v>
      </c>
      <c r="D62" s="13">
        <v>1205.7</v>
      </c>
      <c r="E62" s="41"/>
      <c r="F62" s="13">
        <v>1078.9000000000001</v>
      </c>
      <c r="G62" s="13">
        <v>1078.9000000000001</v>
      </c>
      <c r="H62" s="13">
        <v>1078.9000000000001</v>
      </c>
      <c r="I62" s="13">
        <v>1078.9000000000001</v>
      </c>
      <c r="J62" s="64">
        <v>-3965</v>
      </c>
      <c r="K62" s="64">
        <v>-9535.5</v>
      </c>
    </row>
    <row r="63" spans="1:11" x14ac:dyDescent="0.3">
      <c r="A63" t="s">
        <v>350</v>
      </c>
      <c r="B63" s="13">
        <v>-8008</v>
      </c>
      <c r="C63" s="13">
        <v>-8008</v>
      </c>
      <c r="D63" s="13">
        <v>-8008</v>
      </c>
      <c r="E63" s="41"/>
      <c r="F63" s="13">
        <v>-4589</v>
      </c>
      <c r="G63" s="13">
        <v>-4589</v>
      </c>
      <c r="H63" s="13">
        <v>-4589</v>
      </c>
      <c r="I63" s="13">
        <v>-4589</v>
      </c>
      <c r="J63" s="65">
        <v>-5554.25</v>
      </c>
      <c r="K63" s="65">
        <v>-8677.5</v>
      </c>
    </row>
    <row r="64" spans="1:11" x14ac:dyDescent="0.3">
      <c r="A64" s="22" t="s">
        <v>384</v>
      </c>
      <c r="B64" s="21">
        <f t="shared" ref="B64:F64" si="1">SUM(B34:B63)</f>
        <v>133285.50000000003</v>
      </c>
      <c r="C64" s="21">
        <f>SUM(C34:C63)</f>
        <v>119180.70000000001</v>
      </c>
      <c r="D64" s="21">
        <f>SUM(D34:D63)</f>
        <v>185461.30000000005</v>
      </c>
      <c r="E64" s="42"/>
      <c r="F64" s="21">
        <f t="shared" si="1"/>
        <v>248279.30000000002</v>
      </c>
      <c r="G64" s="21">
        <f t="shared" ref="G64:H64" si="2">SUM(G34:G63)</f>
        <v>234174.49999999997</v>
      </c>
      <c r="H64" s="21">
        <f t="shared" si="2"/>
        <v>294637.89999999997</v>
      </c>
      <c r="I64" s="21">
        <f>SUM(I34:I63)</f>
        <v>331801.19999999995</v>
      </c>
      <c r="J64" s="21">
        <f>SUM(J34:J63)</f>
        <v>148947.5</v>
      </c>
      <c r="K64" s="21">
        <f>SUM(K34:K63)</f>
        <v>-99043.75</v>
      </c>
    </row>
    <row r="66" spans="1:11" ht="15.6" x14ac:dyDescent="0.3">
      <c r="A66" s="1" t="s">
        <v>385</v>
      </c>
    </row>
    <row r="67" spans="1:11" x14ac:dyDescent="0.3">
      <c r="A67" s="2" t="s">
        <v>320</v>
      </c>
      <c r="B67" s="12" t="s">
        <v>38</v>
      </c>
      <c r="C67" s="12" t="s">
        <v>38</v>
      </c>
      <c r="D67" s="12" t="s">
        <v>38</v>
      </c>
      <c r="E67" s="40"/>
      <c r="F67" s="12" t="s">
        <v>38</v>
      </c>
      <c r="G67" s="12" t="s">
        <v>38</v>
      </c>
      <c r="H67" s="12" t="s">
        <v>38</v>
      </c>
      <c r="I67" s="12" t="s">
        <v>38</v>
      </c>
      <c r="J67" s="66" t="s">
        <v>368</v>
      </c>
      <c r="K67" s="66" t="s">
        <v>430</v>
      </c>
    </row>
    <row r="68" spans="1:11" x14ac:dyDescent="0.3">
      <c r="A68" t="s">
        <v>321</v>
      </c>
      <c r="B68" s="23">
        <f t="shared" ref="B68:F77" si="3">B34/B$1</f>
        <v>-1.7733125000000001E-3</v>
      </c>
      <c r="C68" s="23">
        <f t="shared" ref="C68:D68" si="4">C34/C$1</f>
        <v>8.0025000000000007E-4</v>
      </c>
      <c r="D68" s="23">
        <f t="shared" si="4"/>
        <v>8.0025000000000007E-4</v>
      </c>
      <c r="E68" s="43"/>
      <c r="F68" s="23">
        <f t="shared" si="3"/>
        <v>-2.1530625E-3</v>
      </c>
      <c r="G68" s="23">
        <f t="shared" ref="G68:H68" si="5">G34/G$1</f>
        <v>4.2049999999999998E-4</v>
      </c>
      <c r="H68" s="23">
        <f t="shared" si="5"/>
        <v>4.2049999999999998E-4</v>
      </c>
      <c r="I68" s="23">
        <f t="shared" ref="I68:I97" si="6">I34/I$1</f>
        <v>4.2049999999999998E-4</v>
      </c>
      <c r="J68" s="67">
        <v>-9.2727923434812228E-3</v>
      </c>
      <c r="K68" s="67">
        <v>-1.7386485644027293E-2</v>
      </c>
    </row>
    <row r="69" spans="1:11" x14ac:dyDescent="0.3">
      <c r="A69" t="s">
        <v>322</v>
      </c>
      <c r="B69" s="23">
        <f t="shared" si="3"/>
        <v>7.2129375000000006E-3</v>
      </c>
      <c r="C69" s="23">
        <f t="shared" ref="C69:D69" si="7">C35/C$1</f>
        <v>7.1459375000000004E-3</v>
      </c>
      <c r="D69" s="23">
        <f t="shared" si="7"/>
        <v>9.2138124999999998E-3</v>
      </c>
      <c r="E69" s="43"/>
      <c r="F69" s="23">
        <f t="shared" si="3"/>
        <v>7.4749999999999999E-3</v>
      </c>
      <c r="G69" s="23">
        <f t="shared" ref="G69:H69" si="8">G35/G$1</f>
        <v>7.4079999999999997E-3</v>
      </c>
      <c r="H69" s="23">
        <f t="shared" si="8"/>
        <v>9.4068125000000002E-3</v>
      </c>
      <c r="I69" s="23">
        <f t="shared" si="6"/>
        <v>1.4921624999999999E-2</v>
      </c>
      <c r="J69" s="67">
        <v>2.3175219481727141E-2</v>
      </c>
      <c r="K69" s="67">
        <v>1.4402942115554478E-2</v>
      </c>
    </row>
    <row r="70" spans="1:11" x14ac:dyDescent="0.3">
      <c r="A70" t="s">
        <v>323</v>
      </c>
      <c r="B70" s="23">
        <f t="shared" si="3"/>
        <v>2.1592500000000001E-3</v>
      </c>
      <c r="C70" s="23">
        <f t="shared" ref="C70:D70" si="9">C36/C$1</f>
        <v>4.5439375000000002E-3</v>
      </c>
      <c r="D70" s="23">
        <f t="shared" si="9"/>
        <v>4.5439375000000002E-3</v>
      </c>
      <c r="E70" s="43"/>
      <c r="F70" s="23">
        <f t="shared" si="3"/>
        <v>3.8775625000000004E-3</v>
      </c>
      <c r="G70" s="23">
        <f t="shared" ref="G70:H70" si="10">G36/G$1</f>
        <v>6.2622500000000005E-3</v>
      </c>
      <c r="H70" s="23">
        <f t="shared" si="10"/>
        <v>6.2622500000000005E-3</v>
      </c>
      <c r="I70" s="23">
        <f t="shared" si="6"/>
        <v>6.2622500000000005E-3</v>
      </c>
      <c r="J70" s="67">
        <v>7.8583582181343571E-3</v>
      </c>
      <c r="K70" s="67">
        <v>4.1615131781250637E-3</v>
      </c>
    </row>
    <row r="71" spans="1:11" x14ac:dyDescent="0.3">
      <c r="A71" t="s">
        <v>324</v>
      </c>
      <c r="B71" s="23">
        <f t="shared" si="3"/>
        <v>2.3400625000000001E-3</v>
      </c>
      <c r="C71" s="23">
        <f t="shared" ref="C71:D71" si="11">C37/C$1</f>
        <v>3.5933749999999998E-3</v>
      </c>
      <c r="D71" s="23">
        <f t="shared" si="11"/>
        <v>2.752375E-3</v>
      </c>
      <c r="E71" s="43"/>
      <c r="F71" s="23">
        <f t="shared" si="3"/>
        <v>2.7522500000000004E-3</v>
      </c>
      <c r="G71" s="23">
        <f t="shared" ref="G71:H71" si="12">G37/G$1</f>
        <v>4.0055624999999996E-3</v>
      </c>
      <c r="H71" s="23">
        <f t="shared" si="12"/>
        <v>3.7516874999999998E-3</v>
      </c>
      <c r="I71" s="23">
        <f t="shared" si="6"/>
        <v>7.0422499999999999E-3</v>
      </c>
      <c r="J71" s="67">
        <v>1.2599638848020104E-2</v>
      </c>
      <c r="K71" s="67">
        <v>3.7471212932766521E-3</v>
      </c>
    </row>
    <row r="72" spans="1:11" x14ac:dyDescent="0.3">
      <c r="A72" t="s">
        <v>325</v>
      </c>
      <c r="B72" s="23">
        <f t="shared" si="3"/>
        <v>9.8840000000000004E-3</v>
      </c>
      <c r="C72" s="23">
        <f t="shared" ref="C72:D72" si="13">C38/C$1</f>
        <v>9.8840000000000004E-3</v>
      </c>
      <c r="D72" s="23">
        <f t="shared" si="13"/>
        <v>9.8840000000000004E-3</v>
      </c>
      <c r="E72" s="43"/>
      <c r="F72" s="23">
        <f t="shared" si="3"/>
        <v>1.0458875000000001E-2</v>
      </c>
      <c r="G72" s="23">
        <f t="shared" ref="G72:H72" si="14">G38/G$1</f>
        <v>1.0458875000000001E-2</v>
      </c>
      <c r="H72" s="23">
        <f t="shared" si="14"/>
        <v>1.0458875000000001E-2</v>
      </c>
      <c r="I72" s="23">
        <f t="shared" si="6"/>
        <v>1.0458875000000001E-2</v>
      </c>
      <c r="J72" s="67">
        <v>1.3494089918937257E-2</v>
      </c>
      <c r="K72" s="67">
        <v>1.044754133485698E-2</v>
      </c>
    </row>
    <row r="73" spans="1:11" x14ac:dyDescent="0.3">
      <c r="A73" t="s">
        <v>326</v>
      </c>
      <c r="B73" s="23">
        <f t="shared" si="3"/>
        <v>3.3281999999999999E-2</v>
      </c>
      <c r="C73" s="23">
        <f t="shared" ref="C73:D73" si="15">C39/C$1</f>
        <v>3.3281999999999999E-2</v>
      </c>
      <c r="D73" s="23">
        <f t="shared" si="15"/>
        <v>3.3281999999999999E-2</v>
      </c>
      <c r="E73" s="43"/>
      <c r="F73" s="23">
        <f t="shared" si="3"/>
        <v>3.6668187499999998E-2</v>
      </c>
      <c r="G73" s="23">
        <f t="shared" ref="G73:H73" si="16">G39/G$1</f>
        <v>3.6668187499999998E-2</v>
      </c>
      <c r="H73" s="23">
        <f t="shared" si="16"/>
        <v>3.6668187499999998E-2</v>
      </c>
      <c r="I73" s="23">
        <f t="shared" si="6"/>
        <v>3.6668187499999998E-2</v>
      </c>
      <c r="J73" s="67">
        <v>5.1271322677683473E-2</v>
      </c>
      <c r="K73" s="67">
        <v>4.4261760780807499E-2</v>
      </c>
    </row>
    <row r="74" spans="1:11" x14ac:dyDescent="0.3">
      <c r="A74" t="s">
        <v>327</v>
      </c>
      <c r="B74" s="23">
        <f t="shared" si="3"/>
        <v>-2.0961875E-3</v>
      </c>
      <c r="C74" s="23">
        <f t="shared" ref="C74:D74" si="17">C40/C$1</f>
        <v>-2.0961875E-3</v>
      </c>
      <c r="D74" s="23">
        <f t="shared" si="17"/>
        <v>-7.4137500000000006E-4</v>
      </c>
      <c r="E74" s="43"/>
      <c r="F74" s="23">
        <f t="shared" si="3"/>
        <v>4.7896874999999997E-3</v>
      </c>
      <c r="G74" s="23">
        <f t="shared" ref="G74:H74" si="18">G40/G$1</f>
        <v>4.7896874999999997E-3</v>
      </c>
      <c r="H74" s="23">
        <f t="shared" si="18"/>
        <v>5.5411875000000001E-3</v>
      </c>
      <c r="I74" s="23">
        <f t="shared" si="6"/>
        <v>1.2244312500000002E-2</v>
      </c>
      <c r="J74" s="67">
        <v>2.2820585869419496E-2</v>
      </c>
      <c r="K74" s="67">
        <v>1.7439083657326718E-2</v>
      </c>
    </row>
    <row r="75" spans="1:11" x14ac:dyDescent="0.3">
      <c r="A75" t="s">
        <v>328</v>
      </c>
      <c r="B75" s="23">
        <f t="shared" si="3"/>
        <v>1.5504562499999999E-2</v>
      </c>
      <c r="C75" s="23">
        <f t="shared" ref="C75:D75" si="19">C41/C$1</f>
        <v>1.5504562499999999E-2</v>
      </c>
      <c r="D75" s="23">
        <f t="shared" si="19"/>
        <v>1.5504562499999999E-2</v>
      </c>
      <c r="E75" s="43"/>
      <c r="F75" s="23">
        <f t="shared" si="3"/>
        <v>1.9510187499999998E-2</v>
      </c>
      <c r="G75" s="23">
        <f t="shared" ref="G75:H75" si="20">G41/G$1</f>
        <v>1.9510187499999998E-2</v>
      </c>
      <c r="H75" s="23">
        <f t="shared" si="20"/>
        <v>1.9510187499999998E-2</v>
      </c>
      <c r="I75" s="23">
        <f t="shared" si="6"/>
        <v>1.9510187499999998E-2</v>
      </c>
      <c r="J75" s="67">
        <v>2.6167898908390851E-2</v>
      </c>
      <c r="K75" s="67">
        <v>2.2780428861080958E-2</v>
      </c>
    </row>
    <row r="76" spans="1:11" x14ac:dyDescent="0.3">
      <c r="A76" t="s">
        <v>329</v>
      </c>
      <c r="B76" s="23">
        <f t="shared" si="3"/>
        <v>7.5704375000000008E-3</v>
      </c>
      <c r="C76" s="23">
        <f t="shared" ref="C76:D76" si="21">C42/C$1</f>
        <v>7.5704375000000008E-3</v>
      </c>
      <c r="D76" s="23">
        <f t="shared" si="21"/>
        <v>7.5704375000000008E-3</v>
      </c>
      <c r="E76" s="43"/>
      <c r="F76" s="23">
        <f t="shared" si="3"/>
        <v>1.126125E-2</v>
      </c>
      <c r="G76" s="23">
        <f t="shared" ref="G76:H76" si="22">G42/G$1</f>
        <v>1.126125E-2</v>
      </c>
      <c r="H76" s="23">
        <f t="shared" si="22"/>
        <v>1.126125E-2</v>
      </c>
      <c r="I76" s="23">
        <f t="shared" si="6"/>
        <v>1.126125E-2</v>
      </c>
      <c r="J76" s="67">
        <v>3.7992443822635405E-2</v>
      </c>
      <c r="K76" s="67">
        <v>3.339407281153265E-2</v>
      </c>
    </row>
    <row r="77" spans="1:11" x14ac:dyDescent="0.3">
      <c r="A77" t="s">
        <v>330</v>
      </c>
      <c r="B77" s="23">
        <f t="shared" si="3"/>
        <v>-3.9812500000000004E-3</v>
      </c>
      <c r="C77" s="23">
        <f t="shared" ref="C77:D77" si="23">C43/C$1</f>
        <v>-7.4750000000000001E-4</v>
      </c>
      <c r="D77" s="23">
        <f t="shared" si="23"/>
        <v>-7.4750000000000001E-4</v>
      </c>
      <c r="E77" s="43"/>
      <c r="F77" s="23">
        <f t="shared" si="3"/>
        <v>-4.0219375000000003E-3</v>
      </c>
      <c r="G77" s="23">
        <f t="shared" ref="G77:H77" si="24">G43/G$1</f>
        <v>-7.8818749999999993E-4</v>
      </c>
      <c r="H77" s="23">
        <f t="shared" si="24"/>
        <v>-7.8818749999999993E-4</v>
      </c>
      <c r="I77" s="23">
        <f t="shared" si="6"/>
        <v>-7.8818749999999993E-4</v>
      </c>
      <c r="J77" s="67">
        <v>-6.3962867465385334E-2</v>
      </c>
      <c r="K77" s="67">
        <v>-6.7514223691218511E-2</v>
      </c>
    </row>
    <row r="78" spans="1:11" x14ac:dyDescent="0.3">
      <c r="A78" t="s">
        <v>331</v>
      </c>
      <c r="B78" s="23">
        <f t="shared" ref="B78:F87" si="25">B44/B$1</f>
        <v>-2.9024625000000002E-2</v>
      </c>
      <c r="C78" s="23">
        <f t="shared" ref="C78:D78" si="26">C44/C$1</f>
        <v>-2.9024625000000002E-2</v>
      </c>
      <c r="D78" s="23">
        <f t="shared" si="26"/>
        <v>-2.9024625000000002E-2</v>
      </c>
      <c r="E78" s="43"/>
      <c r="F78" s="23">
        <f t="shared" si="25"/>
        <v>-2.5870000000000001E-2</v>
      </c>
      <c r="G78" s="23">
        <f t="shared" ref="G78:H78" si="27">G44/G$1</f>
        <v>-2.5870000000000001E-2</v>
      </c>
      <c r="H78" s="23">
        <f t="shared" si="27"/>
        <v>-2.5870000000000001E-2</v>
      </c>
      <c r="I78" s="23">
        <f t="shared" si="6"/>
        <v>-2.5870000000000001E-2</v>
      </c>
      <c r="J78" s="67">
        <v>-2.7094370163737095E-3</v>
      </c>
      <c r="K78" s="67">
        <v>-8.5021681658610931E-3</v>
      </c>
    </row>
    <row r="79" spans="1:11" x14ac:dyDescent="0.3">
      <c r="A79" t="s">
        <v>332</v>
      </c>
      <c r="B79" s="23">
        <f t="shared" si="25"/>
        <v>-4.9724374999999994E-3</v>
      </c>
      <c r="C79" s="23">
        <f t="shared" ref="C79:D79" si="28">C45/C$1</f>
        <v>-1.36701875E-2</v>
      </c>
      <c r="D79" s="23">
        <f t="shared" si="28"/>
        <v>1.3853749999999999E-3</v>
      </c>
      <c r="E79" s="43"/>
      <c r="F79" s="23">
        <f t="shared" si="25"/>
        <v>-5.0212499999999997E-3</v>
      </c>
      <c r="G79" s="23">
        <f t="shared" ref="G79:H79" si="29">G45/G$1</f>
        <v>-1.3719E-2</v>
      </c>
      <c r="H79" s="23">
        <f t="shared" si="29"/>
        <v>1.3204374999999998E-3</v>
      </c>
      <c r="I79" s="23">
        <f t="shared" si="6"/>
        <v>7.26175E-3</v>
      </c>
      <c r="J79" s="67">
        <v>-2.2543862178628953E-2</v>
      </c>
      <c r="K79" s="67">
        <v>-2.7474881461921574E-2</v>
      </c>
    </row>
    <row r="80" spans="1:11" x14ac:dyDescent="0.3">
      <c r="A80" t="s">
        <v>333</v>
      </c>
      <c r="B80" s="23">
        <f t="shared" si="25"/>
        <v>-2.4415625000000002E-3</v>
      </c>
      <c r="C80" s="23">
        <f t="shared" ref="C80:D80" si="30">C46/C$1</f>
        <v>4.5293750000000005E-4</v>
      </c>
      <c r="D80" s="23">
        <f t="shared" si="30"/>
        <v>4.5293750000000005E-4</v>
      </c>
      <c r="E80" s="43"/>
      <c r="F80" s="23">
        <f t="shared" si="25"/>
        <v>-2.7361250000000003E-3</v>
      </c>
      <c r="G80" s="23">
        <f t="shared" ref="G80:H80" si="31">G46/G$1</f>
        <v>1.5837500000000001E-4</v>
      </c>
      <c r="H80" s="23">
        <f t="shared" si="31"/>
        <v>1.5837500000000001E-4</v>
      </c>
      <c r="I80" s="23">
        <f t="shared" si="6"/>
        <v>1.5837500000000001E-4</v>
      </c>
      <c r="J80" s="67">
        <v>-2.3792916702665451E-2</v>
      </c>
      <c r="K80" s="67">
        <v>-3.2915185448200726E-2</v>
      </c>
    </row>
    <row r="81" spans="1:11" x14ac:dyDescent="0.3">
      <c r="A81" t="s">
        <v>334</v>
      </c>
      <c r="B81" s="23">
        <f t="shared" si="25"/>
        <v>4.3062500000000002E-4</v>
      </c>
      <c r="C81" s="23">
        <f t="shared" ref="C81:D81" si="32">C47/C$1</f>
        <v>1.6453125000000001E-3</v>
      </c>
      <c r="D81" s="23">
        <f t="shared" si="32"/>
        <v>1.6453125000000001E-3</v>
      </c>
      <c r="E81" s="43"/>
      <c r="F81" s="23">
        <f t="shared" si="25"/>
        <v>6.6625E-3</v>
      </c>
      <c r="G81" s="23">
        <f t="shared" ref="G81:H81" si="33">G47/G$1</f>
        <v>7.8771875000000005E-3</v>
      </c>
      <c r="H81" s="23">
        <f t="shared" si="33"/>
        <v>7.8771875000000005E-3</v>
      </c>
      <c r="I81" s="23">
        <f t="shared" si="6"/>
        <v>7.8771875000000005E-3</v>
      </c>
      <c r="J81" s="67">
        <v>-2.6574594937637881E-2</v>
      </c>
      <c r="K81" s="67">
        <v>-3.0099598067616168E-2</v>
      </c>
    </row>
    <row r="82" spans="1:11" x14ac:dyDescent="0.3">
      <c r="A82" t="s">
        <v>335</v>
      </c>
      <c r="B82" s="23">
        <f t="shared" si="25"/>
        <v>5.4031249999999999E-3</v>
      </c>
      <c r="C82" s="23">
        <f t="shared" ref="C82:D82" si="34">C48/C$1</f>
        <v>6.032875E-3</v>
      </c>
      <c r="D82" s="23">
        <f t="shared" si="34"/>
        <v>1.3488125E-3</v>
      </c>
      <c r="E82" s="43"/>
      <c r="F82" s="23">
        <f t="shared" si="25"/>
        <v>9.957124999999999E-3</v>
      </c>
      <c r="G82" s="23">
        <f t="shared" ref="G82:H82" si="35">G48/G$1</f>
        <v>1.0586875000000001E-2</v>
      </c>
      <c r="H82" s="23">
        <f t="shared" si="35"/>
        <v>5.9028125000000001E-3</v>
      </c>
      <c r="I82" s="23">
        <f t="shared" si="6"/>
        <v>5.9028125000000001E-3</v>
      </c>
      <c r="J82" s="67">
        <v>4.1658628099283515E-2</v>
      </c>
      <c r="K82" s="67">
        <v>3.5733372361963944E-2</v>
      </c>
    </row>
    <row r="83" spans="1:11" x14ac:dyDescent="0.3">
      <c r="A83" t="s">
        <v>336</v>
      </c>
      <c r="B83" s="23">
        <f t="shared" si="25"/>
        <v>6.0145000000000007E-3</v>
      </c>
      <c r="C83" s="23">
        <f t="shared" ref="C83:D83" si="36">C49/C$1</f>
        <v>5.6062500000000001E-3</v>
      </c>
      <c r="D83" s="23">
        <f t="shared" si="36"/>
        <v>1.7428125E-3</v>
      </c>
      <c r="E83" s="43"/>
      <c r="F83" s="23">
        <f t="shared" si="25"/>
        <v>1.6686625E-2</v>
      </c>
      <c r="G83" s="23">
        <f t="shared" ref="G83:H83" si="37">G49/G$1</f>
        <v>1.6278375000000001E-2</v>
      </c>
      <c r="H83" s="23">
        <f t="shared" si="37"/>
        <v>1.2414937500000001E-2</v>
      </c>
      <c r="I83" s="23">
        <f t="shared" si="6"/>
        <v>1.2414937500000001E-2</v>
      </c>
      <c r="J83" s="67">
        <v>3.5854105595258624E-2</v>
      </c>
      <c r="K83" s="67">
        <v>2.6876741666081234E-2</v>
      </c>
    </row>
    <row r="84" spans="1:11" x14ac:dyDescent="0.3">
      <c r="A84" t="s">
        <v>337</v>
      </c>
      <c r="B84" s="23">
        <f t="shared" si="25"/>
        <v>1.07026875E-2</v>
      </c>
      <c r="C84" s="23">
        <f t="shared" ref="C84:D84" si="38">C50/C$1</f>
        <v>1.07026875E-2</v>
      </c>
      <c r="D84" s="23">
        <f t="shared" si="38"/>
        <v>1.07026875E-2</v>
      </c>
      <c r="E84" s="43"/>
      <c r="F84" s="23">
        <f t="shared" si="25"/>
        <v>1.1058125E-2</v>
      </c>
      <c r="G84" s="23">
        <f t="shared" ref="G84:H84" si="39">G50/G$1</f>
        <v>1.1058125E-2</v>
      </c>
      <c r="H84" s="23">
        <f t="shared" si="39"/>
        <v>1.1058125E-2</v>
      </c>
      <c r="I84" s="23">
        <f t="shared" si="6"/>
        <v>1.1058125E-2</v>
      </c>
      <c r="J84" s="67">
        <v>1.7407245277745238E-2</v>
      </c>
      <c r="K84" s="67">
        <v>1.2898213856331654E-2</v>
      </c>
    </row>
    <row r="85" spans="1:11" x14ac:dyDescent="0.3">
      <c r="A85" t="s">
        <v>338</v>
      </c>
      <c r="B85" s="23">
        <f t="shared" si="25"/>
        <v>1.2224062500000001E-2</v>
      </c>
      <c r="C85" s="23">
        <f t="shared" ref="C85:D85" si="40">C51/C$1</f>
        <v>1.2224062500000001E-2</v>
      </c>
      <c r="D85" s="23">
        <f t="shared" si="40"/>
        <v>1.2224062500000001E-2</v>
      </c>
      <c r="E85" s="43"/>
      <c r="F85" s="23">
        <f t="shared" si="25"/>
        <v>1.53663125E-2</v>
      </c>
      <c r="G85" s="23">
        <f t="shared" ref="G85:H85" si="41">G51/G$1</f>
        <v>1.53663125E-2</v>
      </c>
      <c r="H85" s="23">
        <f t="shared" si="41"/>
        <v>1.53663125E-2</v>
      </c>
      <c r="I85" s="23">
        <f t="shared" si="6"/>
        <v>1.53663125E-2</v>
      </c>
      <c r="J85" s="67">
        <v>1.9888940286719094E-2</v>
      </c>
      <c r="K85" s="67">
        <v>1.5816616132948456E-2</v>
      </c>
    </row>
    <row r="86" spans="1:11" x14ac:dyDescent="0.3">
      <c r="A86" t="s">
        <v>339</v>
      </c>
      <c r="B86" s="23">
        <f t="shared" si="25"/>
        <v>-4.6687500000000003E-5</v>
      </c>
      <c r="C86" s="23">
        <f t="shared" ref="C86:D86" si="42">C52/C$1</f>
        <v>-1.1212500000000001E-3</v>
      </c>
      <c r="D86" s="23">
        <f t="shared" si="42"/>
        <v>-1.1212500000000001E-3</v>
      </c>
      <c r="E86" s="43"/>
      <c r="F86" s="23">
        <f t="shared" si="25"/>
        <v>1.40125E-4</v>
      </c>
      <c r="G86" s="23">
        <f t="shared" ref="G86:H86" si="43">G52/G$1</f>
        <v>-9.3443749999999994E-4</v>
      </c>
      <c r="H86" s="23">
        <f t="shared" si="43"/>
        <v>-9.3443749999999994E-4</v>
      </c>
      <c r="I86" s="23">
        <f t="shared" si="6"/>
        <v>-9.3443749999999994E-4</v>
      </c>
      <c r="J86" s="67">
        <v>-1.5436873013200764E-2</v>
      </c>
      <c r="K86" s="67">
        <v>-1.9049505342695016E-2</v>
      </c>
    </row>
    <row r="87" spans="1:11" x14ac:dyDescent="0.3">
      <c r="A87" t="s">
        <v>340</v>
      </c>
      <c r="B87" s="23">
        <f t="shared" si="25"/>
        <v>-3.9001249999999999E-3</v>
      </c>
      <c r="C87" s="23">
        <f t="shared" ref="C87:D87" si="44">C53/C$1</f>
        <v>-3.9001249999999999E-3</v>
      </c>
      <c r="D87" s="23">
        <f t="shared" si="44"/>
        <v>-3.9001249999999999E-3</v>
      </c>
      <c r="E87" s="43"/>
      <c r="F87" s="23">
        <f t="shared" si="25"/>
        <v>-2.2547499999999998E-3</v>
      </c>
      <c r="G87" s="23">
        <f t="shared" ref="G87:H87" si="45">G53/G$1</f>
        <v>-2.2547499999999998E-3</v>
      </c>
      <c r="H87" s="23">
        <f t="shared" si="45"/>
        <v>-2.2547499999999998E-3</v>
      </c>
      <c r="I87" s="23">
        <f t="shared" si="6"/>
        <v>-2.2547499999999998E-3</v>
      </c>
      <c r="J87" s="67">
        <v>-5.7533579695072026E-3</v>
      </c>
      <c r="K87" s="67">
        <v>-9.1570928241946816E-3</v>
      </c>
    </row>
    <row r="88" spans="1:11" x14ac:dyDescent="0.3">
      <c r="A88" t="s">
        <v>341</v>
      </c>
      <c r="B88" s="23">
        <f t="shared" ref="B88:F97" si="46">B54/B$1</f>
        <v>-2.9250625000000001E-3</v>
      </c>
      <c r="C88" s="23">
        <f t="shared" ref="C88:D88" si="47">C54/C$1</f>
        <v>-6.7804375000000009E-3</v>
      </c>
      <c r="D88" s="23">
        <f t="shared" si="47"/>
        <v>1.2508375E-2</v>
      </c>
      <c r="E88" s="43"/>
      <c r="F88" s="23">
        <f t="shared" si="46"/>
        <v>-3.1930624999999997E-3</v>
      </c>
      <c r="G88" s="23">
        <f t="shared" ref="G88:H88" si="48">G54/G$1</f>
        <v>-7.0484375E-3</v>
      </c>
      <c r="H88" s="23">
        <f t="shared" si="48"/>
        <v>1.2248437500000001E-2</v>
      </c>
      <c r="I88" s="23">
        <f t="shared" si="6"/>
        <v>1.6229687499999999E-2</v>
      </c>
      <c r="J88" s="67">
        <v>-3.1219587205432173E-3</v>
      </c>
      <c r="K88" s="67">
        <v>-6.9804002500804263E-3</v>
      </c>
    </row>
    <row r="89" spans="1:11" x14ac:dyDescent="0.3">
      <c r="A89" t="s">
        <v>342</v>
      </c>
      <c r="B89" s="23">
        <f t="shared" si="46"/>
        <v>1.9619874999999998E-2</v>
      </c>
      <c r="C89" s="23">
        <f t="shared" ref="C89:D89" si="49">C55/C$1</f>
        <v>1.79055625E-2</v>
      </c>
      <c r="D89" s="23">
        <f t="shared" si="49"/>
        <v>1.47001875E-2</v>
      </c>
      <c r="E89" s="43"/>
      <c r="F89" s="23">
        <f t="shared" si="46"/>
        <v>2.64813125E-2</v>
      </c>
      <c r="G89" s="23">
        <f t="shared" ref="G89:H89" si="50">G55/G$1</f>
        <v>2.4766999999999997E-2</v>
      </c>
      <c r="H89" s="23">
        <f t="shared" si="50"/>
        <v>1.7929874999999998E-2</v>
      </c>
      <c r="I89" s="23">
        <f t="shared" si="6"/>
        <v>1.07088125E-2</v>
      </c>
      <c r="J89" s="67">
        <v>5.4035129024270448E-2</v>
      </c>
      <c r="K89" s="67">
        <v>4.8885930123523942E-2</v>
      </c>
    </row>
    <row r="90" spans="1:11" x14ac:dyDescent="0.3">
      <c r="A90" t="s">
        <v>343</v>
      </c>
      <c r="B90" s="23">
        <f t="shared" si="46"/>
        <v>-5.8293750000000001E-4</v>
      </c>
      <c r="C90" s="23">
        <f t="shared" ref="C90:D90" si="51">C56/C$1</f>
        <v>9.2624999999999999E-4</v>
      </c>
      <c r="D90" s="23">
        <f t="shared" si="51"/>
        <v>9.2624999999999999E-4</v>
      </c>
      <c r="E90" s="43"/>
      <c r="F90" s="23">
        <f t="shared" si="46"/>
        <v>4.0631249999999999E-4</v>
      </c>
      <c r="G90" s="23">
        <f t="shared" ref="G90:H90" si="52">G56/G$1</f>
        <v>1.9155000000000001E-3</v>
      </c>
      <c r="H90" s="23">
        <f t="shared" si="52"/>
        <v>1.9155000000000001E-3</v>
      </c>
      <c r="I90" s="23">
        <f t="shared" si="6"/>
        <v>1.9155000000000001E-3</v>
      </c>
      <c r="J90" s="67">
        <v>-2.5225246042428481E-4</v>
      </c>
      <c r="K90" s="67">
        <v>-6.6240340752636616E-3</v>
      </c>
    </row>
    <row r="91" spans="1:11" x14ac:dyDescent="0.3">
      <c r="A91" t="s">
        <v>344</v>
      </c>
      <c r="B91" s="23">
        <f t="shared" si="46"/>
        <v>-4.63125E-4</v>
      </c>
      <c r="C91" s="23">
        <f t="shared" ref="C91:D91" si="53">C57/C$1</f>
        <v>-4.63125E-4</v>
      </c>
      <c r="D91" s="23">
        <f t="shared" si="53"/>
        <v>-4.63125E-4</v>
      </c>
      <c r="E91" s="43"/>
      <c r="F91" s="23">
        <f t="shared" si="46"/>
        <v>-1.0664374999999999E-3</v>
      </c>
      <c r="G91" s="23">
        <f t="shared" ref="G91:H91" si="54">G57/G$1</f>
        <v>-1.0664374999999999E-3</v>
      </c>
      <c r="H91" s="23">
        <f t="shared" si="54"/>
        <v>-1.0664374999999999E-3</v>
      </c>
      <c r="I91" s="23">
        <f t="shared" si="6"/>
        <v>-1.0664374999999999E-3</v>
      </c>
      <c r="J91" s="67">
        <v>-6.7027485121053945E-4</v>
      </c>
      <c r="K91" s="67">
        <v>-8.2243494674396657E-3</v>
      </c>
    </row>
    <row r="92" spans="1:11" x14ac:dyDescent="0.3">
      <c r="A92" t="s">
        <v>345</v>
      </c>
      <c r="B92" s="23">
        <f t="shared" si="46"/>
        <v>-3.7334375000000002E-3</v>
      </c>
      <c r="C92" s="23">
        <f t="shared" ref="C92:D92" si="55">C58/C$1</f>
        <v>-8.9151250000000012E-3</v>
      </c>
      <c r="D92" s="23">
        <f t="shared" si="55"/>
        <v>2.356875E-4</v>
      </c>
      <c r="E92" s="43"/>
      <c r="F92" s="23">
        <f t="shared" si="46"/>
        <v>-3.627875E-3</v>
      </c>
      <c r="G92" s="23">
        <f t="shared" ref="G92:H92" si="56">G58/G$1</f>
        <v>-8.8095624999999997E-3</v>
      </c>
      <c r="H92" s="23">
        <f t="shared" si="56"/>
        <v>5.0787499999999997E-4</v>
      </c>
      <c r="I92" s="23">
        <f t="shared" si="6"/>
        <v>2.0820000000000001E-3</v>
      </c>
      <c r="J92" s="67">
        <v>-3.4440157119122974E-2</v>
      </c>
      <c r="K92" s="67">
        <v>-4.0147096804036685E-2</v>
      </c>
    </row>
    <row r="93" spans="1:11" x14ac:dyDescent="0.3">
      <c r="A93" t="s">
        <v>346</v>
      </c>
      <c r="B93" s="23">
        <f t="shared" si="46"/>
        <v>2.9879374999999997E-3</v>
      </c>
      <c r="C93" s="23">
        <f t="shared" ref="C93:D93" si="57">C59/C$1</f>
        <v>-5.1960000000000001E-3</v>
      </c>
      <c r="D93" s="23">
        <f t="shared" si="57"/>
        <v>-7.5826250000000008E-3</v>
      </c>
      <c r="E93" s="43"/>
      <c r="F93" s="23">
        <f t="shared" si="46"/>
        <v>9.89225E-3</v>
      </c>
      <c r="G93" s="23">
        <f t="shared" ref="G93:H93" si="58">G59/G$1</f>
        <v>1.7083125000000002E-3</v>
      </c>
      <c r="H93" s="23">
        <f t="shared" si="58"/>
        <v>-7.55625E-4</v>
      </c>
      <c r="I93" s="23">
        <f t="shared" si="6"/>
        <v>2.6873125E-3</v>
      </c>
      <c r="J93" s="67">
        <v>2.6522387434053333E-2</v>
      </c>
      <c r="K93" s="67">
        <v>2.0064953600293828E-2</v>
      </c>
    </row>
    <row r="94" spans="1:11" x14ac:dyDescent="0.3">
      <c r="A94" t="s">
        <v>347</v>
      </c>
      <c r="B94" s="23">
        <f t="shared" si="46"/>
        <v>-6.9123125000000001E-3</v>
      </c>
      <c r="C94" s="23">
        <f t="shared" ref="C94:D94" si="59">C60/C$1</f>
        <v>-2.5186875000000001E-3</v>
      </c>
      <c r="D94" s="23">
        <f t="shared" si="59"/>
        <v>-2.5186875000000001E-3</v>
      </c>
      <c r="E94" s="43"/>
      <c r="F94" s="23">
        <f t="shared" si="46"/>
        <v>-6.7945624999999994E-3</v>
      </c>
      <c r="G94" s="23">
        <f t="shared" ref="G94:H94" si="60">G60/G$1</f>
        <v>-2.4009374999999999E-3</v>
      </c>
      <c r="H94" s="23">
        <f t="shared" si="60"/>
        <v>-2.4009374999999999E-3</v>
      </c>
      <c r="I94" s="23">
        <f t="shared" si="6"/>
        <v>-2.4009374999999999E-3</v>
      </c>
      <c r="J94" s="67">
        <v>-0.11252673744798351</v>
      </c>
      <c r="K94" s="67">
        <v>-0.11834869521253841</v>
      </c>
    </row>
    <row r="95" spans="1:11" x14ac:dyDescent="0.3">
      <c r="A95" t="s">
        <v>348</v>
      </c>
      <c r="B95" s="23">
        <f t="shared" si="46"/>
        <v>1.5071875E-2</v>
      </c>
      <c r="C95" s="23">
        <f t="shared" ref="C95:D95" si="61">C61/C$1</f>
        <v>1.53521875E-2</v>
      </c>
      <c r="D95" s="23">
        <f t="shared" si="61"/>
        <v>2.4840187500000003E-2</v>
      </c>
      <c r="E95" s="43"/>
      <c r="F95" s="23">
        <f t="shared" si="46"/>
        <v>2.0663750000000002E-2</v>
      </c>
      <c r="G95" s="23">
        <f t="shared" ref="G95:H95" si="62">G61/G$1</f>
        <v>2.0944062499999999E-2</v>
      </c>
      <c r="H95" s="23">
        <f t="shared" si="62"/>
        <v>3.0432062500000003E-2</v>
      </c>
      <c r="I95" s="23">
        <f t="shared" si="6"/>
        <v>3.0432062500000003E-2</v>
      </c>
      <c r="J95" s="67">
        <v>5.5789759680274852E-2</v>
      </c>
      <c r="K95" s="67">
        <v>5.3085943662465607E-2</v>
      </c>
    </row>
    <row r="96" spans="1:11" x14ac:dyDescent="0.3">
      <c r="A96" t="s">
        <v>349</v>
      </c>
      <c r="B96" s="23">
        <f t="shared" si="46"/>
        <v>7.535625E-4</v>
      </c>
      <c r="C96" s="23">
        <f t="shared" ref="C96:D96" si="63">C62/C$1</f>
        <v>7.535625E-4</v>
      </c>
      <c r="D96" s="23">
        <f t="shared" si="63"/>
        <v>7.535625E-4</v>
      </c>
      <c r="E96" s="43"/>
      <c r="F96" s="23">
        <f t="shared" si="46"/>
        <v>6.7431250000000011E-4</v>
      </c>
      <c r="G96" s="23">
        <f t="shared" ref="G96:H96" si="64">G62/G$1</f>
        <v>6.7431250000000011E-4</v>
      </c>
      <c r="H96" s="23">
        <f t="shared" si="64"/>
        <v>6.7431250000000011E-4</v>
      </c>
      <c r="I96" s="23">
        <f t="shared" si="6"/>
        <v>6.7431250000000011E-4</v>
      </c>
      <c r="J96" s="67">
        <v>-2.5318872521552169E-3</v>
      </c>
      <c r="K96" s="67">
        <v>-6.0889813096913162E-3</v>
      </c>
    </row>
    <row r="97" spans="1:11" x14ac:dyDescent="0.3">
      <c r="A97" t="s">
        <v>350</v>
      </c>
      <c r="B97" s="23">
        <f t="shared" si="46"/>
        <v>-5.0049999999999999E-3</v>
      </c>
      <c r="C97" s="23">
        <f t="shared" ref="C97:D97" si="65">C63/C$1</f>
        <v>-5.0049999999999999E-3</v>
      </c>
      <c r="D97" s="23">
        <f t="shared" si="65"/>
        <v>-5.0049999999999999E-3</v>
      </c>
      <c r="E97" s="43"/>
      <c r="F97" s="23">
        <f t="shared" si="46"/>
        <v>-2.868125E-3</v>
      </c>
      <c r="G97" s="23">
        <f t="shared" ref="G97:H97" si="66">G63/G$1</f>
        <v>-2.868125E-3</v>
      </c>
      <c r="H97" s="23">
        <f t="shared" si="66"/>
        <v>-2.868125E-3</v>
      </c>
      <c r="I97" s="23">
        <f t="shared" si="6"/>
        <v>-2.868125E-3</v>
      </c>
      <c r="J97" s="67">
        <v>-3.5557201529646258E-3</v>
      </c>
      <c r="K97" s="67">
        <v>-5.5551625561237866E-3</v>
      </c>
    </row>
    <row r="98" spans="1:11" x14ac:dyDescent="0.3">
      <c r="A98" s="25" t="s">
        <v>384</v>
      </c>
      <c r="B98" s="27">
        <f t="shared" ref="B98:F98" si="67">SUM(B68:B97)</f>
        <v>8.3303437499999994E-2</v>
      </c>
      <c r="C98" s="27">
        <f t="shared" si="67"/>
        <v>7.4487937500000004E-2</v>
      </c>
      <c r="D98" s="27">
        <f t="shared" si="67"/>
        <v>0.11591331250000002</v>
      </c>
      <c r="E98" s="44"/>
      <c r="F98" s="27">
        <f t="shared" si="67"/>
        <v>0.1551745625</v>
      </c>
      <c r="G98" s="27">
        <f t="shared" ref="G98:H98" si="68">SUM(G68:G97)</f>
        <v>0.14635906249999997</v>
      </c>
      <c r="H98" s="27">
        <f t="shared" si="68"/>
        <v>0.18414868749999994</v>
      </c>
      <c r="I98" s="27">
        <f t="shared" ref="I98" si="69">SUM(I68:I97)</f>
        <v>0.20737575</v>
      </c>
      <c r="J98" s="68">
        <f>SUM(J68:J97)</f>
        <v>0.1193900635112683</v>
      </c>
      <c r="K98" s="68">
        <f>SUM(K68:K97)</f>
        <v>-4.0071624884739317E-2</v>
      </c>
    </row>
    <row r="101" spans="1:11" x14ac:dyDescent="0.3">
      <c r="C101" s="76">
        <f>C98/2.5</f>
        <v>2.9795175E-2</v>
      </c>
    </row>
    <row r="102" spans="1:11" x14ac:dyDescent="0.3">
      <c r="C102" s="76">
        <f>C101*2</f>
        <v>5.959035E-2</v>
      </c>
    </row>
  </sheetData>
  <mergeCells count="1">
    <mergeCell ref="M11:Q13"/>
  </mergeCells>
  <conditionalFormatting sqref="B34:K63 B68:K98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217"/>
  <sheetViews>
    <sheetView topLeftCell="AB67" workbookViewId="0">
      <selection activeCell="AJ3" sqref="AJ3:AJ86"/>
    </sheetView>
  </sheetViews>
  <sheetFormatPr defaultRowHeight="14.4" x14ac:dyDescent="0.3"/>
  <cols>
    <col min="1" max="1" width="6" bestFit="1" customWidth="1"/>
    <col min="2" max="2" width="5.33203125" bestFit="1" customWidth="1"/>
    <col min="3" max="3" width="6.109375" bestFit="1" customWidth="1"/>
    <col min="4" max="4" width="10.6640625" bestFit="1" customWidth="1"/>
    <col min="6" max="6" width="4.5546875" bestFit="1" customWidth="1"/>
    <col min="7" max="8" width="13.88671875" bestFit="1" customWidth="1"/>
    <col min="9" max="9" width="10.44140625" bestFit="1" customWidth="1"/>
    <col min="10" max="10" width="10.6640625" bestFit="1" customWidth="1"/>
    <col min="12" max="12" width="9.44140625" bestFit="1" customWidth="1"/>
    <col min="13" max="13" width="9.6640625" bestFit="1" customWidth="1"/>
    <col min="14" max="14" width="20.33203125" bestFit="1" customWidth="1"/>
    <col min="16" max="16" width="6" bestFit="1" customWidth="1"/>
    <col min="17" max="17" width="5.33203125" bestFit="1" customWidth="1"/>
    <col min="18" max="18" width="6.109375" bestFit="1" customWidth="1"/>
    <col min="19" max="19" width="10.44140625" bestFit="1" customWidth="1"/>
    <col min="21" max="21" width="4.5546875" bestFit="1" customWidth="1"/>
    <col min="22" max="23" width="15.5546875" bestFit="1" customWidth="1"/>
    <col min="24" max="24" width="10.44140625" bestFit="1" customWidth="1"/>
    <col min="25" max="25" width="10.6640625" bestFit="1" customWidth="1"/>
    <col min="27" max="27" width="9.44140625" bestFit="1" customWidth="1"/>
    <col min="28" max="28" width="8.6640625" bestFit="1" customWidth="1"/>
    <col min="29" max="29" width="20.33203125" bestFit="1" customWidth="1"/>
    <col min="31" max="31" width="6" bestFit="1" customWidth="1"/>
    <col min="32" max="32" width="5.33203125" bestFit="1" customWidth="1"/>
    <col min="33" max="33" width="6.109375" bestFit="1" customWidth="1"/>
    <col min="34" max="34" width="10.44140625" bestFit="1" customWidth="1"/>
    <col min="36" max="36" width="4.5546875" bestFit="1" customWidth="1"/>
    <col min="37" max="38" width="15.5546875" bestFit="1" customWidth="1"/>
    <col min="39" max="39" width="10.44140625" bestFit="1" customWidth="1"/>
    <col min="40" max="40" width="10.6640625" bestFit="1" customWidth="1"/>
    <col min="42" max="42" width="9.44140625" bestFit="1" customWidth="1"/>
    <col min="43" max="43" width="8.6640625" bestFit="1" customWidth="1"/>
    <col min="44" max="44" width="20.33203125" bestFit="1" customWidth="1"/>
  </cols>
  <sheetData>
    <row r="1" spans="1:44" ht="21" x14ac:dyDescent="0.4">
      <c r="A1" s="32" t="s">
        <v>416</v>
      </c>
      <c r="P1" s="32" t="s">
        <v>417</v>
      </c>
      <c r="AE1" s="32" t="s">
        <v>426</v>
      </c>
    </row>
    <row r="2" spans="1:44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P2" s="2" t="s">
        <v>26</v>
      </c>
      <c r="Q2" s="2" t="s">
        <v>27</v>
      </c>
      <c r="R2" s="2" t="s">
        <v>28</v>
      </c>
      <c r="S2" s="2" t="s">
        <v>29</v>
      </c>
      <c r="T2" s="2" t="s">
        <v>30</v>
      </c>
      <c r="U2" s="2" t="s">
        <v>31</v>
      </c>
      <c r="V2" s="2" t="s">
        <v>32</v>
      </c>
      <c r="W2" s="2" t="s">
        <v>33</v>
      </c>
      <c r="X2" s="2" t="s">
        <v>34</v>
      </c>
      <c r="Y2" s="2" t="s">
        <v>35</v>
      </c>
      <c r="Z2" s="2" t="s">
        <v>36</v>
      </c>
      <c r="AA2" s="2" t="s">
        <v>37</v>
      </c>
      <c r="AB2" s="2" t="s">
        <v>38</v>
      </c>
      <c r="AC2" s="2" t="s">
        <v>39</v>
      </c>
      <c r="AE2" s="12" t="s">
        <v>26</v>
      </c>
      <c r="AF2" s="12" t="s">
        <v>27</v>
      </c>
      <c r="AG2" s="12" t="s">
        <v>28</v>
      </c>
      <c r="AH2" s="12" t="s">
        <v>29</v>
      </c>
      <c r="AI2" s="12" t="s">
        <v>30</v>
      </c>
      <c r="AJ2" s="12" t="s">
        <v>31</v>
      </c>
      <c r="AK2" s="12" t="s">
        <v>32</v>
      </c>
      <c r="AL2" s="12" t="s">
        <v>33</v>
      </c>
      <c r="AM2" s="12" t="s">
        <v>34</v>
      </c>
      <c r="AN2" s="12" t="s">
        <v>35</v>
      </c>
      <c r="AO2" s="12" t="s">
        <v>36</v>
      </c>
      <c r="AP2" s="12" t="s">
        <v>37</v>
      </c>
      <c r="AQ2" s="12" t="s">
        <v>38</v>
      </c>
      <c r="AR2" s="12" t="s">
        <v>39</v>
      </c>
    </row>
    <row r="3" spans="1:44" x14ac:dyDescent="0.3">
      <c r="A3" t="s">
        <v>40</v>
      </c>
      <c r="B3" t="s">
        <v>41</v>
      </c>
      <c r="C3">
        <v>22050</v>
      </c>
      <c r="D3" t="s">
        <v>42</v>
      </c>
      <c r="E3" t="s">
        <v>43</v>
      </c>
      <c r="F3">
        <v>3</v>
      </c>
      <c r="G3" t="s">
        <v>44</v>
      </c>
      <c r="H3" t="s">
        <v>45</v>
      </c>
      <c r="I3">
        <v>22.95</v>
      </c>
      <c r="J3">
        <v>-0.1515</v>
      </c>
      <c r="K3">
        <v>1.2</v>
      </c>
      <c r="L3">
        <v>-1.4200000000000001E-2</v>
      </c>
      <c r="M3">
        <v>4241.2</v>
      </c>
      <c r="N3" t="s">
        <v>46</v>
      </c>
      <c r="P3" t="s">
        <v>40</v>
      </c>
      <c r="Q3" t="s">
        <v>41</v>
      </c>
      <c r="R3">
        <v>22050</v>
      </c>
      <c r="S3" s="30">
        <v>45295</v>
      </c>
      <c r="T3" t="s">
        <v>43</v>
      </c>
      <c r="U3">
        <v>3</v>
      </c>
      <c r="V3" s="31">
        <v>45292.635416666657</v>
      </c>
      <c r="W3" s="31">
        <v>45294.635416666657</v>
      </c>
      <c r="X3">
        <v>22.95</v>
      </c>
      <c r="Y3">
        <v>-0.1515</v>
      </c>
      <c r="Z3">
        <v>1.2</v>
      </c>
      <c r="AA3">
        <v>-1.4200000000000001E-2</v>
      </c>
      <c r="AB3">
        <v>4241.2</v>
      </c>
      <c r="AC3" t="s">
        <v>46</v>
      </c>
      <c r="AE3" s="69" t="s">
        <v>40</v>
      </c>
      <c r="AF3" s="69" t="s">
        <v>41</v>
      </c>
      <c r="AG3" s="69">
        <v>22050</v>
      </c>
      <c r="AH3" s="70">
        <v>45295</v>
      </c>
      <c r="AI3" s="69" t="s">
        <v>43</v>
      </c>
      <c r="AJ3" s="69">
        <v>3</v>
      </c>
      <c r="AK3" s="71">
        <v>45292.635416666657</v>
      </c>
      <c r="AL3" s="71">
        <v>45294.635416666657</v>
      </c>
      <c r="AM3" s="69">
        <v>22.95</v>
      </c>
      <c r="AN3" s="69">
        <v>-0.1515</v>
      </c>
      <c r="AO3" s="69">
        <v>1.2</v>
      </c>
      <c r="AP3" s="69">
        <v>-1.4200000000000001E-2</v>
      </c>
      <c r="AQ3" s="69">
        <v>4241.2</v>
      </c>
      <c r="AR3" s="69" t="s">
        <v>46</v>
      </c>
    </row>
    <row r="4" spans="1:44" x14ac:dyDescent="0.3">
      <c r="A4" t="s">
        <v>40</v>
      </c>
      <c r="B4" t="s">
        <v>41</v>
      </c>
      <c r="C4">
        <v>22000</v>
      </c>
      <c r="D4" t="s">
        <v>47</v>
      </c>
      <c r="E4" t="s">
        <v>43</v>
      </c>
      <c r="F4">
        <v>3</v>
      </c>
      <c r="G4" t="s">
        <v>45</v>
      </c>
      <c r="H4" t="s">
        <v>48</v>
      </c>
      <c r="I4">
        <v>20</v>
      </c>
      <c r="J4">
        <v>-0.1123</v>
      </c>
      <c r="K4">
        <v>0.85</v>
      </c>
      <c r="L4">
        <v>-1.41E-2</v>
      </c>
      <c r="M4">
        <v>3734.2</v>
      </c>
      <c r="N4" t="s">
        <v>46</v>
      </c>
      <c r="P4" t="s">
        <v>40</v>
      </c>
      <c r="Q4" t="s">
        <v>41</v>
      </c>
      <c r="R4">
        <v>22000</v>
      </c>
      <c r="S4" s="30">
        <v>45302</v>
      </c>
      <c r="T4" t="s">
        <v>43</v>
      </c>
      <c r="U4">
        <v>3</v>
      </c>
      <c r="V4" s="31">
        <v>45294.635416666657</v>
      </c>
      <c r="W4" s="31">
        <v>45301.635416666657</v>
      </c>
      <c r="X4">
        <v>20</v>
      </c>
      <c r="Y4">
        <v>-0.1123</v>
      </c>
      <c r="Z4">
        <v>0.85</v>
      </c>
      <c r="AA4">
        <v>-1.41E-2</v>
      </c>
      <c r="AB4">
        <v>3734.2</v>
      </c>
      <c r="AC4" t="s">
        <v>46</v>
      </c>
      <c r="AE4" s="69" t="s">
        <v>40</v>
      </c>
      <c r="AF4" s="69" t="s">
        <v>41</v>
      </c>
      <c r="AG4" s="69">
        <v>22000</v>
      </c>
      <c r="AH4" s="70">
        <v>45302</v>
      </c>
      <c r="AI4" s="69" t="s">
        <v>43</v>
      </c>
      <c r="AJ4" s="69">
        <v>3</v>
      </c>
      <c r="AK4" s="71">
        <v>45294.635416666657</v>
      </c>
      <c r="AL4" s="71">
        <v>45301.635416666657</v>
      </c>
      <c r="AM4" s="69">
        <v>20</v>
      </c>
      <c r="AN4" s="69">
        <v>-0.1123</v>
      </c>
      <c r="AO4" s="69">
        <v>0.85</v>
      </c>
      <c r="AP4" s="69">
        <v>-1.41E-2</v>
      </c>
      <c r="AQ4" s="69">
        <v>3734.2</v>
      </c>
      <c r="AR4" s="69" t="s">
        <v>46</v>
      </c>
    </row>
    <row r="5" spans="1:44" x14ac:dyDescent="0.3">
      <c r="A5" t="s">
        <v>40</v>
      </c>
      <c r="B5" t="s">
        <v>41</v>
      </c>
      <c r="C5">
        <v>22100</v>
      </c>
      <c r="D5" t="s">
        <v>49</v>
      </c>
      <c r="E5" t="s">
        <v>43</v>
      </c>
      <c r="F5">
        <v>3</v>
      </c>
      <c r="G5" t="s">
        <v>48</v>
      </c>
      <c r="H5" t="s">
        <v>50</v>
      </c>
      <c r="I5">
        <v>21.3</v>
      </c>
      <c r="J5">
        <v>-0.1169</v>
      </c>
      <c r="K5">
        <v>2.9</v>
      </c>
      <c r="L5">
        <v>-2.86E-2</v>
      </c>
      <c r="M5">
        <v>3588</v>
      </c>
      <c r="N5" t="s">
        <v>46</v>
      </c>
      <c r="P5" t="s">
        <v>40</v>
      </c>
      <c r="Q5" t="s">
        <v>41</v>
      </c>
      <c r="R5">
        <v>22100</v>
      </c>
      <c r="S5" s="30">
        <v>45309</v>
      </c>
      <c r="T5" t="s">
        <v>43</v>
      </c>
      <c r="U5">
        <v>3</v>
      </c>
      <c r="V5" s="31">
        <v>45301.635416666657</v>
      </c>
      <c r="W5" s="31">
        <v>45308.635416666657</v>
      </c>
      <c r="X5">
        <v>21.3</v>
      </c>
      <c r="Y5">
        <v>-0.1169</v>
      </c>
      <c r="Z5">
        <v>2.9</v>
      </c>
      <c r="AA5">
        <v>-2.86E-2</v>
      </c>
      <c r="AB5">
        <v>3588</v>
      </c>
      <c r="AC5" t="s">
        <v>46</v>
      </c>
      <c r="AE5" s="69" t="s">
        <v>40</v>
      </c>
      <c r="AF5" s="69" t="s">
        <v>41</v>
      </c>
      <c r="AG5" s="69">
        <v>22100</v>
      </c>
      <c r="AH5" s="70">
        <v>45309</v>
      </c>
      <c r="AI5" s="69" t="s">
        <v>43</v>
      </c>
      <c r="AJ5" s="69">
        <v>3</v>
      </c>
      <c r="AK5" s="71">
        <v>45301.635416666657</v>
      </c>
      <c r="AL5" s="71">
        <v>45308.635416666657</v>
      </c>
      <c r="AM5" s="69">
        <v>21.3</v>
      </c>
      <c r="AN5" s="69">
        <v>-0.1169</v>
      </c>
      <c r="AO5" s="69">
        <v>2.9</v>
      </c>
      <c r="AP5" s="69">
        <v>-2.86E-2</v>
      </c>
      <c r="AQ5" s="69">
        <v>3588</v>
      </c>
      <c r="AR5" s="69" t="s">
        <v>46</v>
      </c>
    </row>
    <row r="6" spans="1:44" x14ac:dyDescent="0.3">
      <c r="A6" t="s">
        <v>40</v>
      </c>
      <c r="B6" t="s">
        <v>51</v>
      </c>
      <c r="C6">
        <v>22500</v>
      </c>
      <c r="D6" t="s">
        <v>52</v>
      </c>
      <c r="E6" t="s">
        <v>43</v>
      </c>
      <c r="F6">
        <v>1</v>
      </c>
      <c r="G6" t="s">
        <v>44</v>
      </c>
      <c r="H6" t="s">
        <v>53</v>
      </c>
      <c r="I6">
        <v>688.75</v>
      </c>
      <c r="J6">
        <v>0.79930000000000001</v>
      </c>
      <c r="K6">
        <v>1013</v>
      </c>
      <c r="L6">
        <v>0.99580000000000002</v>
      </c>
      <c r="M6">
        <v>-21076.2</v>
      </c>
      <c r="N6" t="s">
        <v>46</v>
      </c>
      <c r="P6" t="s">
        <v>40</v>
      </c>
      <c r="Q6" t="s">
        <v>51</v>
      </c>
      <c r="R6">
        <v>22200</v>
      </c>
      <c r="S6" s="30">
        <v>45316</v>
      </c>
      <c r="T6" t="s">
        <v>43</v>
      </c>
      <c r="U6">
        <v>1</v>
      </c>
      <c r="V6" s="31">
        <v>45292.635416666657</v>
      </c>
      <c r="W6" s="31">
        <v>45315.635416666657</v>
      </c>
      <c r="X6">
        <v>475.35</v>
      </c>
      <c r="Y6">
        <v>0.66959999999999997</v>
      </c>
      <c r="Z6">
        <v>736.25</v>
      </c>
      <c r="AA6">
        <v>0.99270000000000003</v>
      </c>
      <c r="AB6">
        <v>-16958.5</v>
      </c>
      <c r="AC6" t="s">
        <v>46</v>
      </c>
      <c r="AE6" s="69" t="s">
        <v>40</v>
      </c>
      <c r="AF6" s="69" t="s">
        <v>51</v>
      </c>
      <c r="AG6" s="69">
        <v>22200</v>
      </c>
      <c r="AH6" s="70">
        <v>45316</v>
      </c>
      <c r="AI6" s="69" t="s">
        <v>43</v>
      </c>
      <c r="AJ6" s="69">
        <v>1</v>
      </c>
      <c r="AK6" s="71">
        <v>45292.635416666657</v>
      </c>
      <c r="AL6" s="71">
        <v>45315.635416666657</v>
      </c>
      <c r="AM6" s="69">
        <v>475.35</v>
      </c>
      <c r="AN6" s="69">
        <v>0.66959999999999997</v>
      </c>
      <c r="AO6" s="69">
        <v>736.25</v>
      </c>
      <c r="AP6" s="69">
        <v>0.99270000000000003</v>
      </c>
      <c r="AQ6" s="69">
        <v>-16958.5</v>
      </c>
      <c r="AR6" s="69" t="s">
        <v>46</v>
      </c>
    </row>
    <row r="7" spans="1:44" x14ac:dyDescent="0.3">
      <c r="A7" t="s">
        <v>40</v>
      </c>
      <c r="B7" t="s">
        <v>51</v>
      </c>
      <c r="C7">
        <v>21750</v>
      </c>
      <c r="D7" t="s">
        <v>52</v>
      </c>
      <c r="E7" t="s">
        <v>54</v>
      </c>
      <c r="F7">
        <v>1</v>
      </c>
      <c r="G7" t="s">
        <v>44</v>
      </c>
      <c r="H7" t="s">
        <v>53</v>
      </c>
      <c r="I7">
        <v>244</v>
      </c>
      <c r="J7">
        <v>-0.45250000000000001</v>
      </c>
      <c r="K7">
        <v>266</v>
      </c>
      <c r="L7">
        <v>-0.91879999999999995</v>
      </c>
      <c r="M7">
        <v>1430</v>
      </c>
      <c r="N7" t="s">
        <v>46</v>
      </c>
      <c r="P7" t="s">
        <v>40</v>
      </c>
      <c r="Q7" t="s">
        <v>51</v>
      </c>
      <c r="R7">
        <v>21750</v>
      </c>
      <c r="S7" s="30">
        <v>45316</v>
      </c>
      <c r="T7" t="s">
        <v>54</v>
      </c>
      <c r="U7">
        <v>1</v>
      </c>
      <c r="V7" s="31">
        <v>45292.635416666657</v>
      </c>
      <c r="W7" s="31">
        <v>45315.635416666657</v>
      </c>
      <c r="X7">
        <v>244</v>
      </c>
      <c r="Y7">
        <v>-0.45250000000000001</v>
      </c>
      <c r="Z7">
        <v>266</v>
      </c>
      <c r="AA7">
        <v>-0.91879999999999995</v>
      </c>
      <c r="AB7">
        <v>1430</v>
      </c>
      <c r="AC7" t="s">
        <v>46</v>
      </c>
      <c r="AE7" s="69" t="s">
        <v>40</v>
      </c>
      <c r="AF7" s="69" t="s">
        <v>51</v>
      </c>
      <c r="AG7" s="69">
        <v>21750</v>
      </c>
      <c r="AH7" s="70">
        <v>45316</v>
      </c>
      <c r="AI7" s="69" t="s">
        <v>54</v>
      </c>
      <c r="AJ7" s="69">
        <v>1</v>
      </c>
      <c r="AK7" s="71">
        <v>45292.635416666657</v>
      </c>
      <c r="AL7" s="71">
        <v>45315.635416666657</v>
      </c>
      <c r="AM7" s="69">
        <v>244</v>
      </c>
      <c r="AN7" s="69">
        <v>-0.45250000000000001</v>
      </c>
      <c r="AO7" s="69">
        <v>266</v>
      </c>
      <c r="AP7" s="69">
        <v>-0.91879999999999995</v>
      </c>
      <c r="AQ7" s="69">
        <v>1430</v>
      </c>
      <c r="AR7" s="69" t="s">
        <v>46</v>
      </c>
    </row>
    <row r="8" spans="1:44" x14ac:dyDescent="0.3">
      <c r="A8" t="s">
        <v>40</v>
      </c>
      <c r="B8" t="s">
        <v>41</v>
      </c>
      <c r="C8">
        <v>22300</v>
      </c>
      <c r="D8" t="s">
        <v>52</v>
      </c>
      <c r="E8" t="s">
        <v>43</v>
      </c>
      <c r="F8">
        <v>3</v>
      </c>
      <c r="G8" t="s">
        <v>50</v>
      </c>
      <c r="H8" t="s">
        <v>53</v>
      </c>
      <c r="I8">
        <v>21.75</v>
      </c>
      <c r="J8">
        <v>-9.3299999999999994E-2</v>
      </c>
      <c r="K8">
        <v>0.65</v>
      </c>
      <c r="L8">
        <v>-6.1999999999999998E-3</v>
      </c>
      <c r="M8">
        <v>4114.5</v>
      </c>
      <c r="N8" t="s">
        <v>46</v>
      </c>
      <c r="P8" t="s">
        <v>40</v>
      </c>
      <c r="Q8" t="s">
        <v>41</v>
      </c>
      <c r="R8">
        <v>22300</v>
      </c>
      <c r="S8" s="30">
        <v>45316</v>
      </c>
      <c r="T8" t="s">
        <v>43</v>
      </c>
      <c r="U8">
        <v>3</v>
      </c>
      <c r="V8" s="31">
        <v>45308.635416666657</v>
      </c>
      <c r="W8" s="31">
        <v>45315.635416666657</v>
      </c>
      <c r="X8">
        <v>21.75</v>
      </c>
      <c r="Y8">
        <v>-9.3299999999999994E-2</v>
      </c>
      <c r="Z8">
        <v>0.65</v>
      </c>
      <c r="AA8">
        <v>-6.1999999999999998E-3</v>
      </c>
      <c r="AB8">
        <v>4114.5</v>
      </c>
      <c r="AC8" t="s">
        <v>46</v>
      </c>
      <c r="AE8" s="69" t="s">
        <v>40</v>
      </c>
      <c r="AF8" s="69" t="s">
        <v>41</v>
      </c>
      <c r="AG8" s="69">
        <v>22300</v>
      </c>
      <c r="AH8" s="70">
        <v>45316</v>
      </c>
      <c r="AI8" s="69" t="s">
        <v>43</v>
      </c>
      <c r="AJ8" s="69">
        <v>3</v>
      </c>
      <c r="AK8" s="71">
        <v>45308.635416666657</v>
      </c>
      <c r="AL8" s="71">
        <v>45315.635416666657</v>
      </c>
      <c r="AM8" s="69">
        <v>21.75</v>
      </c>
      <c r="AN8" s="69">
        <v>-9.3299999999999994E-2</v>
      </c>
      <c r="AO8" s="69">
        <v>0.65</v>
      </c>
      <c r="AP8" s="69">
        <v>-6.1999999999999998E-3</v>
      </c>
      <c r="AQ8" s="69">
        <v>4114.5</v>
      </c>
      <c r="AR8" s="69" t="s">
        <v>46</v>
      </c>
    </row>
    <row r="9" spans="1:44" x14ac:dyDescent="0.3">
      <c r="A9" t="s">
        <v>40</v>
      </c>
      <c r="B9" t="s">
        <v>41</v>
      </c>
      <c r="C9">
        <v>22250</v>
      </c>
      <c r="D9" t="s">
        <v>55</v>
      </c>
      <c r="E9" t="s">
        <v>43</v>
      </c>
      <c r="F9">
        <v>3</v>
      </c>
      <c r="G9" t="s">
        <v>53</v>
      </c>
      <c r="H9" t="s">
        <v>56</v>
      </c>
      <c r="I9">
        <v>19.399999999999999</v>
      </c>
      <c r="J9">
        <v>-8.1799999999999998E-2</v>
      </c>
      <c r="K9">
        <v>13.6</v>
      </c>
      <c r="L9">
        <v>-8.14E-2</v>
      </c>
      <c r="M9">
        <v>1131</v>
      </c>
      <c r="N9" t="s">
        <v>46</v>
      </c>
      <c r="P9" t="s">
        <v>40</v>
      </c>
      <c r="Q9" t="s">
        <v>41</v>
      </c>
      <c r="R9">
        <v>22250</v>
      </c>
      <c r="S9" s="30">
        <v>45323</v>
      </c>
      <c r="T9" t="s">
        <v>43</v>
      </c>
      <c r="U9">
        <v>3</v>
      </c>
      <c r="V9" s="31">
        <v>45315.635416666657</v>
      </c>
      <c r="W9" s="31">
        <v>45322.635416666657</v>
      </c>
      <c r="X9">
        <v>19.399999999999999</v>
      </c>
      <c r="Y9">
        <v>-8.1799999999999998E-2</v>
      </c>
      <c r="Z9">
        <v>13.6</v>
      </c>
      <c r="AA9">
        <v>-8.14E-2</v>
      </c>
      <c r="AB9">
        <v>1131</v>
      </c>
      <c r="AC9" t="s">
        <v>46</v>
      </c>
      <c r="AE9" s="69" t="s">
        <v>40</v>
      </c>
      <c r="AF9" s="69" t="s">
        <v>41</v>
      </c>
      <c r="AG9" s="69">
        <v>22250</v>
      </c>
      <c r="AH9" s="70">
        <v>45323</v>
      </c>
      <c r="AI9" s="69" t="s">
        <v>43</v>
      </c>
      <c r="AJ9" s="69">
        <v>3</v>
      </c>
      <c r="AK9" s="71">
        <v>45315.635416666657</v>
      </c>
      <c r="AL9" s="71">
        <v>45322.635416666657</v>
      </c>
      <c r="AM9" s="69">
        <v>19.399999999999999</v>
      </c>
      <c r="AN9" s="69">
        <v>-8.1799999999999998E-2</v>
      </c>
      <c r="AO9" s="69">
        <v>13.6</v>
      </c>
      <c r="AP9" s="69">
        <v>-8.14E-2</v>
      </c>
      <c r="AQ9" s="69">
        <v>1131</v>
      </c>
      <c r="AR9" s="69" t="s">
        <v>46</v>
      </c>
    </row>
    <row r="10" spans="1:44" x14ac:dyDescent="0.3">
      <c r="A10" t="s">
        <v>40</v>
      </c>
      <c r="B10" t="s">
        <v>41</v>
      </c>
      <c r="C10">
        <v>22700</v>
      </c>
      <c r="D10" t="s">
        <v>57</v>
      </c>
      <c r="E10" t="s">
        <v>43</v>
      </c>
      <c r="F10">
        <v>3</v>
      </c>
      <c r="G10" t="s">
        <v>56</v>
      </c>
      <c r="H10" t="s">
        <v>58</v>
      </c>
      <c r="I10">
        <v>19</v>
      </c>
      <c r="J10">
        <v>-6.9800000000000001E-2</v>
      </c>
      <c r="K10">
        <v>0.45</v>
      </c>
      <c r="L10">
        <v>-4.8999999999999998E-3</v>
      </c>
      <c r="M10">
        <v>3617.2</v>
      </c>
      <c r="N10" t="s">
        <v>46</v>
      </c>
      <c r="P10" t="s">
        <v>40</v>
      </c>
      <c r="Q10" t="s">
        <v>41</v>
      </c>
      <c r="R10">
        <v>22700</v>
      </c>
      <c r="S10" s="30">
        <v>45330</v>
      </c>
      <c r="T10" t="s">
        <v>43</v>
      </c>
      <c r="U10">
        <v>3</v>
      </c>
      <c r="V10" s="31">
        <v>45322.635416666657</v>
      </c>
      <c r="W10" s="31">
        <v>45329.635416666657</v>
      </c>
      <c r="X10">
        <v>19</v>
      </c>
      <c r="Y10">
        <v>-6.9800000000000001E-2</v>
      </c>
      <c r="Z10">
        <v>0.45</v>
      </c>
      <c r="AA10">
        <v>-4.8999999999999998E-3</v>
      </c>
      <c r="AB10">
        <v>3617.2</v>
      </c>
      <c r="AC10" t="s">
        <v>46</v>
      </c>
      <c r="AE10" s="69" t="s">
        <v>40</v>
      </c>
      <c r="AF10" s="69" t="s">
        <v>41</v>
      </c>
      <c r="AG10" s="69">
        <v>22700</v>
      </c>
      <c r="AH10" s="70">
        <v>45330</v>
      </c>
      <c r="AI10" s="69" t="s">
        <v>43</v>
      </c>
      <c r="AJ10" s="69">
        <v>3</v>
      </c>
      <c r="AK10" s="71">
        <v>45322.635416666657</v>
      </c>
      <c r="AL10" s="71">
        <v>45329.635416666657</v>
      </c>
      <c r="AM10" s="69">
        <v>19</v>
      </c>
      <c r="AN10" s="69">
        <v>-6.9800000000000001E-2</v>
      </c>
      <c r="AO10" s="69">
        <v>0.45</v>
      </c>
      <c r="AP10" s="69">
        <v>-4.8999999999999998E-3</v>
      </c>
      <c r="AQ10" s="69">
        <v>3617.2</v>
      </c>
      <c r="AR10" s="69" t="s">
        <v>46</v>
      </c>
    </row>
    <row r="11" spans="1:44" x14ac:dyDescent="0.3">
      <c r="A11" t="s">
        <v>40</v>
      </c>
      <c r="B11" t="s">
        <v>41</v>
      </c>
      <c r="C11">
        <v>22600</v>
      </c>
      <c r="D11" t="s">
        <v>59</v>
      </c>
      <c r="E11" t="s">
        <v>43</v>
      </c>
      <c r="F11">
        <v>3</v>
      </c>
      <c r="G11" t="s">
        <v>58</v>
      </c>
      <c r="H11" t="s">
        <v>60</v>
      </c>
      <c r="I11">
        <v>17.649999999999999</v>
      </c>
      <c r="J11">
        <v>-8.5599999999999996E-2</v>
      </c>
      <c r="K11">
        <v>0.4</v>
      </c>
      <c r="L11">
        <v>-4.4000000000000003E-3</v>
      </c>
      <c r="M11">
        <v>3363.8</v>
      </c>
      <c r="N11" t="s">
        <v>46</v>
      </c>
      <c r="P11" t="s">
        <v>40</v>
      </c>
      <c r="Q11" t="s">
        <v>41</v>
      </c>
      <c r="R11">
        <v>22600</v>
      </c>
      <c r="S11" s="30">
        <v>45337</v>
      </c>
      <c r="T11" t="s">
        <v>43</v>
      </c>
      <c r="U11">
        <v>3</v>
      </c>
      <c r="V11" s="31">
        <v>45329.635416666657</v>
      </c>
      <c r="W11" s="31">
        <v>45336.635416666657</v>
      </c>
      <c r="X11">
        <v>17.649999999999999</v>
      </c>
      <c r="Y11">
        <v>-8.5599999999999996E-2</v>
      </c>
      <c r="Z11">
        <v>0.4</v>
      </c>
      <c r="AA11">
        <v>-4.4000000000000003E-3</v>
      </c>
      <c r="AB11">
        <v>3363.8</v>
      </c>
      <c r="AC11" t="s">
        <v>46</v>
      </c>
      <c r="AE11" s="69" t="s">
        <v>40</v>
      </c>
      <c r="AF11" s="69" t="s">
        <v>41</v>
      </c>
      <c r="AG11" s="69">
        <v>22600</v>
      </c>
      <c r="AH11" s="70">
        <v>45337</v>
      </c>
      <c r="AI11" s="69" t="s">
        <v>43</v>
      </c>
      <c r="AJ11" s="69">
        <v>3</v>
      </c>
      <c r="AK11" s="71">
        <v>45329.635416666657</v>
      </c>
      <c r="AL11" s="71">
        <v>45336.635416666657</v>
      </c>
      <c r="AM11" s="69">
        <v>17.649999999999999</v>
      </c>
      <c r="AN11" s="69">
        <v>-8.5599999999999996E-2</v>
      </c>
      <c r="AO11" s="69">
        <v>0.4</v>
      </c>
      <c r="AP11" s="69">
        <v>-4.4000000000000003E-3</v>
      </c>
      <c r="AQ11" s="69">
        <v>3363.8</v>
      </c>
      <c r="AR11" s="69" t="s">
        <v>46</v>
      </c>
    </row>
    <row r="12" spans="1:44" x14ac:dyDescent="0.3">
      <c r="A12" t="s">
        <v>40</v>
      </c>
      <c r="B12" t="s">
        <v>51</v>
      </c>
      <c r="C12">
        <v>22000</v>
      </c>
      <c r="D12" t="s">
        <v>61</v>
      </c>
      <c r="E12" t="s">
        <v>43</v>
      </c>
      <c r="F12">
        <v>1</v>
      </c>
      <c r="G12" t="s">
        <v>53</v>
      </c>
      <c r="H12" t="s">
        <v>62</v>
      </c>
      <c r="I12">
        <v>571.6</v>
      </c>
      <c r="J12">
        <v>0.65269999999999995</v>
      </c>
      <c r="K12">
        <v>183.8</v>
      </c>
      <c r="L12">
        <v>0.43099999999999999</v>
      </c>
      <c r="M12">
        <v>25207</v>
      </c>
      <c r="N12" t="s">
        <v>63</v>
      </c>
      <c r="P12" t="s">
        <v>40</v>
      </c>
      <c r="Q12" t="s">
        <v>51</v>
      </c>
      <c r="R12">
        <v>22100</v>
      </c>
      <c r="S12" s="30">
        <v>45351</v>
      </c>
      <c r="T12" t="s">
        <v>43</v>
      </c>
      <c r="U12">
        <v>1</v>
      </c>
      <c r="V12" s="31">
        <v>45315.635416666657</v>
      </c>
      <c r="W12" s="31">
        <v>45341.635416666657</v>
      </c>
      <c r="X12">
        <v>651</v>
      </c>
      <c r="Y12">
        <v>0.69359999999999999</v>
      </c>
      <c r="Z12">
        <v>185.1</v>
      </c>
      <c r="AA12">
        <v>0.45219999999999999</v>
      </c>
      <c r="AB12">
        <v>30283.5</v>
      </c>
      <c r="AC12" t="s">
        <v>63</v>
      </c>
      <c r="AE12" s="69" t="s">
        <v>40</v>
      </c>
      <c r="AF12" s="69" t="s">
        <v>51</v>
      </c>
      <c r="AG12" s="69">
        <v>22100</v>
      </c>
      <c r="AH12" s="70">
        <v>45351</v>
      </c>
      <c r="AI12" s="69" t="s">
        <v>43</v>
      </c>
      <c r="AJ12" s="69">
        <v>1</v>
      </c>
      <c r="AK12" s="71">
        <v>45315.635416666657</v>
      </c>
      <c r="AL12" s="71">
        <v>45341.635416666657</v>
      </c>
      <c r="AM12" s="69">
        <v>651</v>
      </c>
      <c r="AN12" s="69">
        <v>0.69359999999999999</v>
      </c>
      <c r="AO12" s="69">
        <v>185.1</v>
      </c>
      <c r="AP12" s="69">
        <v>0.45219999999999999</v>
      </c>
      <c r="AQ12" s="69">
        <v>30283.5</v>
      </c>
      <c r="AR12" s="69" t="s">
        <v>63</v>
      </c>
    </row>
    <row r="13" spans="1:44" x14ac:dyDescent="0.3">
      <c r="A13" t="s">
        <v>40</v>
      </c>
      <c r="B13" t="s">
        <v>41</v>
      </c>
      <c r="C13">
        <v>22400</v>
      </c>
      <c r="D13" t="s">
        <v>64</v>
      </c>
      <c r="E13" t="s">
        <v>43</v>
      </c>
      <c r="F13">
        <v>3</v>
      </c>
      <c r="G13" t="s">
        <v>60</v>
      </c>
      <c r="H13" t="s">
        <v>65</v>
      </c>
      <c r="I13">
        <v>21.8</v>
      </c>
      <c r="J13">
        <v>-0.1056</v>
      </c>
      <c r="K13">
        <v>4.0999999999999996</v>
      </c>
      <c r="L13">
        <v>-5.28E-2</v>
      </c>
      <c r="M13">
        <v>3451.5</v>
      </c>
      <c r="N13" t="s">
        <v>46</v>
      </c>
      <c r="P13" t="s">
        <v>40</v>
      </c>
      <c r="Q13" t="s">
        <v>41</v>
      </c>
      <c r="R13">
        <v>22400</v>
      </c>
      <c r="S13" s="30">
        <v>45344</v>
      </c>
      <c r="T13" t="s">
        <v>43</v>
      </c>
      <c r="U13">
        <v>3</v>
      </c>
      <c r="V13" s="31">
        <v>45336.635416666657</v>
      </c>
      <c r="W13" s="31">
        <v>45343.635416666657</v>
      </c>
      <c r="X13">
        <v>21.8</v>
      </c>
      <c r="Y13">
        <v>-0.1056</v>
      </c>
      <c r="Z13">
        <v>4.0999999999999996</v>
      </c>
      <c r="AA13">
        <v>-5.28E-2</v>
      </c>
      <c r="AB13">
        <v>3451.5</v>
      </c>
      <c r="AC13" t="s">
        <v>46</v>
      </c>
      <c r="AE13" s="69" t="s">
        <v>40</v>
      </c>
      <c r="AF13" s="69" t="s">
        <v>51</v>
      </c>
      <c r="AG13" s="69">
        <v>21450</v>
      </c>
      <c r="AH13" s="70">
        <v>45351</v>
      </c>
      <c r="AI13" s="69" t="s">
        <v>54</v>
      </c>
      <c r="AJ13" s="69">
        <v>1</v>
      </c>
      <c r="AK13" s="71">
        <v>45315.635416666657</v>
      </c>
      <c r="AL13" s="71">
        <v>45341.635416666657</v>
      </c>
      <c r="AM13" s="69">
        <v>299</v>
      </c>
      <c r="AN13" s="69">
        <v>-0.42599999999999999</v>
      </c>
      <c r="AO13" s="69">
        <v>37.75</v>
      </c>
      <c r="AP13" s="69">
        <v>-0.12139999999999999</v>
      </c>
      <c r="AQ13" s="69">
        <v>-16981.2</v>
      </c>
      <c r="AR13" s="69" t="s">
        <v>63</v>
      </c>
    </row>
    <row r="14" spans="1:44" x14ac:dyDescent="0.3">
      <c r="A14" t="s">
        <v>40</v>
      </c>
      <c r="B14" t="s">
        <v>51</v>
      </c>
      <c r="C14">
        <v>21450</v>
      </c>
      <c r="D14" t="s">
        <v>61</v>
      </c>
      <c r="E14" t="s">
        <v>54</v>
      </c>
      <c r="F14">
        <v>1</v>
      </c>
      <c r="G14" t="s">
        <v>53</v>
      </c>
      <c r="H14" t="s">
        <v>66</v>
      </c>
      <c r="I14">
        <v>299</v>
      </c>
      <c r="J14">
        <v>-0.42599999999999999</v>
      </c>
      <c r="K14">
        <v>2.4</v>
      </c>
      <c r="L14">
        <v>-2.47E-2</v>
      </c>
      <c r="M14">
        <v>-19279</v>
      </c>
      <c r="N14" t="s">
        <v>46</v>
      </c>
      <c r="P14" t="s">
        <v>40</v>
      </c>
      <c r="Q14" t="s">
        <v>51</v>
      </c>
      <c r="R14">
        <v>21450</v>
      </c>
      <c r="S14" s="30">
        <v>45351</v>
      </c>
      <c r="T14" t="s">
        <v>54</v>
      </c>
      <c r="U14">
        <v>1</v>
      </c>
      <c r="V14" s="31">
        <v>45315.635416666657</v>
      </c>
      <c r="W14" s="31">
        <v>45350.635416666657</v>
      </c>
      <c r="X14">
        <v>299</v>
      </c>
      <c r="Y14">
        <v>-0.42599999999999999</v>
      </c>
      <c r="Z14">
        <v>2.4</v>
      </c>
      <c r="AA14">
        <v>-2.47E-2</v>
      </c>
      <c r="AB14">
        <v>-19279</v>
      </c>
      <c r="AC14" t="s">
        <v>46</v>
      </c>
      <c r="AE14" s="69" t="s">
        <v>40</v>
      </c>
      <c r="AF14" s="69" t="s">
        <v>41</v>
      </c>
      <c r="AG14" s="69">
        <v>22400</v>
      </c>
      <c r="AH14" s="70">
        <v>45344</v>
      </c>
      <c r="AI14" s="69" t="s">
        <v>43</v>
      </c>
      <c r="AJ14" s="69">
        <v>3</v>
      </c>
      <c r="AK14" s="71">
        <v>45336.635416666657</v>
      </c>
      <c r="AL14" s="71">
        <v>45343.635416666657</v>
      </c>
      <c r="AM14" s="69">
        <v>21.8</v>
      </c>
      <c r="AN14" s="69">
        <v>-0.1056</v>
      </c>
      <c r="AO14" s="69">
        <v>4.0999999999999996</v>
      </c>
      <c r="AP14" s="69">
        <v>-5.28E-2</v>
      </c>
      <c r="AQ14" s="69">
        <v>3451.5</v>
      </c>
      <c r="AR14" s="69" t="s">
        <v>46</v>
      </c>
    </row>
    <row r="15" spans="1:44" x14ac:dyDescent="0.3">
      <c r="A15" t="s">
        <v>40</v>
      </c>
      <c r="B15" t="s">
        <v>51</v>
      </c>
      <c r="C15">
        <v>22500</v>
      </c>
      <c r="D15" t="s">
        <v>61</v>
      </c>
      <c r="E15" t="s">
        <v>43</v>
      </c>
      <c r="F15">
        <v>1</v>
      </c>
      <c r="G15" t="s">
        <v>62</v>
      </c>
      <c r="H15" t="s">
        <v>66</v>
      </c>
      <c r="I15">
        <v>466.9</v>
      </c>
      <c r="J15">
        <v>0.7661</v>
      </c>
      <c r="K15">
        <v>600.6</v>
      </c>
      <c r="L15">
        <v>0.97330000000000005</v>
      </c>
      <c r="M15">
        <v>-8690.5</v>
      </c>
      <c r="N15" t="s">
        <v>46</v>
      </c>
      <c r="P15" t="s">
        <v>40</v>
      </c>
      <c r="Q15" t="s">
        <v>51</v>
      </c>
      <c r="R15">
        <v>22600</v>
      </c>
      <c r="S15" s="30">
        <v>45351</v>
      </c>
      <c r="T15" t="s">
        <v>43</v>
      </c>
      <c r="U15">
        <v>1</v>
      </c>
      <c r="V15" s="31">
        <v>45341.635416666657</v>
      </c>
      <c r="W15" s="31">
        <v>45350.635416666657</v>
      </c>
      <c r="X15">
        <v>485.35</v>
      </c>
      <c r="Y15">
        <v>0.80200000000000005</v>
      </c>
      <c r="Z15">
        <v>698.8</v>
      </c>
      <c r="AA15">
        <v>0.98019999999999996</v>
      </c>
      <c r="AB15">
        <v>-13874.2</v>
      </c>
      <c r="AC15" t="s">
        <v>46</v>
      </c>
      <c r="AE15" s="69" t="s">
        <v>40</v>
      </c>
      <c r="AF15" s="69" t="s">
        <v>51</v>
      </c>
      <c r="AG15" s="69">
        <v>22600</v>
      </c>
      <c r="AH15" s="70">
        <v>45351</v>
      </c>
      <c r="AI15" s="69" t="s">
        <v>43</v>
      </c>
      <c r="AJ15" s="69">
        <v>1</v>
      </c>
      <c r="AK15" s="71">
        <v>45341.635416666657</v>
      </c>
      <c r="AL15" s="71">
        <v>45350.635416666657</v>
      </c>
      <c r="AM15" s="69">
        <v>485.35</v>
      </c>
      <c r="AN15" s="69">
        <v>0.80200000000000005</v>
      </c>
      <c r="AO15" s="69">
        <v>698.8</v>
      </c>
      <c r="AP15" s="69">
        <v>0.98019999999999996</v>
      </c>
      <c r="AQ15" s="69">
        <v>-13874.2</v>
      </c>
      <c r="AR15" s="69" t="s">
        <v>46</v>
      </c>
    </row>
    <row r="16" spans="1:44" x14ac:dyDescent="0.3">
      <c r="A16" t="s">
        <v>40</v>
      </c>
      <c r="B16" t="s">
        <v>41</v>
      </c>
      <c r="C16">
        <v>22650</v>
      </c>
      <c r="D16" t="s">
        <v>61</v>
      </c>
      <c r="E16" t="s">
        <v>43</v>
      </c>
      <c r="F16">
        <v>3</v>
      </c>
      <c r="G16" t="s">
        <v>65</v>
      </c>
      <c r="H16" t="s">
        <v>66</v>
      </c>
      <c r="I16">
        <v>21.95</v>
      </c>
      <c r="J16">
        <v>-0.10970000000000001</v>
      </c>
      <c r="K16">
        <v>2.1</v>
      </c>
      <c r="L16">
        <v>-1.78E-2</v>
      </c>
      <c r="M16">
        <v>3870.7</v>
      </c>
      <c r="N16" t="s">
        <v>46</v>
      </c>
      <c r="P16" t="s">
        <v>40</v>
      </c>
      <c r="Q16" t="s">
        <v>41</v>
      </c>
      <c r="R16">
        <v>22650</v>
      </c>
      <c r="S16" s="30">
        <v>45351</v>
      </c>
      <c r="T16" t="s">
        <v>43</v>
      </c>
      <c r="U16">
        <v>3</v>
      </c>
      <c r="V16" s="31">
        <v>45343.635416666657</v>
      </c>
      <c r="W16" s="31">
        <v>45350.635416666657</v>
      </c>
      <c r="X16">
        <v>21.95</v>
      </c>
      <c r="Y16">
        <v>-0.10970000000000001</v>
      </c>
      <c r="Z16">
        <v>2.1</v>
      </c>
      <c r="AA16">
        <v>-1.78E-2</v>
      </c>
      <c r="AB16">
        <v>3870.7</v>
      </c>
      <c r="AC16" t="s">
        <v>46</v>
      </c>
      <c r="AE16" s="69" t="s">
        <v>40</v>
      </c>
      <c r="AF16" s="69" t="s">
        <v>51</v>
      </c>
      <c r="AG16" s="69">
        <v>22100</v>
      </c>
      <c r="AH16" s="70">
        <v>45351</v>
      </c>
      <c r="AI16" s="69" t="s">
        <v>54</v>
      </c>
      <c r="AJ16" s="69">
        <v>1</v>
      </c>
      <c r="AK16" s="71">
        <v>45341.635416666657</v>
      </c>
      <c r="AL16" s="71">
        <v>45350.635416666657</v>
      </c>
      <c r="AM16" s="69">
        <v>185.1</v>
      </c>
      <c r="AN16" s="69">
        <v>-0.45219999999999999</v>
      </c>
      <c r="AO16" s="69">
        <v>225.7</v>
      </c>
      <c r="AP16" s="69">
        <v>-0.76690000000000003</v>
      </c>
      <c r="AQ16" s="69">
        <v>2639</v>
      </c>
      <c r="AR16" s="69" t="s">
        <v>46</v>
      </c>
    </row>
    <row r="17" spans="1:44" x14ac:dyDescent="0.3">
      <c r="A17" t="s">
        <v>40</v>
      </c>
      <c r="B17" t="s">
        <v>41</v>
      </c>
      <c r="C17">
        <v>22600</v>
      </c>
      <c r="D17" t="s">
        <v>67</v>
      </c>
      <c r="E17" t="s">
        <v>43</v>
      </c>
      <c r="F17">
        <v>3</v>
      </c>
      <c r="G17" t="s">
        <v>66</v>
      </c>
      <c r="H17" t="s">
        <v>68</v>
      </c>
      <c r="I17">
        <v>24.5</v>
      </c>
      <c r="J17">
        <v>-0.1057</v>
      </c>
      <c r="K17">
        <v>23.7</v>
      </c>
      <c r="L17">
        <v>-0.24030000000000001</v>
      </c>
      <c r="M17">
        <v>156</v>
      </c>
      <c r="N17" t="s">
        <v>46</v>
      </c>
      <c r="P17" t="s">
        <v>40</v>
      </c>
      <c r="Q17" t="s">
        <v>41</v>
      </c>
      <c r="R17">
        <v>22600</v>
      </c>
      <c r="S17" s="30">
        <v>45358</v>
      </c>
      <c r="T17" t="s">
        <v>43</v>
      </c>
      <c r="U17">
        <v>3</v>
      </c>
      <c r="V17" s="31">
        <v>45350.635416666657</v>
      </c>
      <c r="W17" s="31">
        <v>45357.635416666657</v>
      </c>
      <c r="X17">
        <v>24.5</v>
      </c>
      <c r="Y17">
        <v>-0.1057</v>
      </c>
      <c r="Z17">
        <v>23.7</v>
      </c>
      <c r="AA17">
        <v>-0.24030000000000001</v>
      </c>
      <c r="AB17">
        <v>156</v>
      </c>
      <c r="AC17" t="s">
        <v>46</v>
      </c>
      <c r="AE17" s="69" t="s">
        <v>40</v>
      </c>
      <c r="AF17" s="69" t="s">
        <v>41</v>
      </c>
      <c r="AG17" s="69">
        <v>22750</v>
      </c>
      <c r="AH17" s="70">
        <v>45351</v>
      </c>
      <c r="AI17" s="69" t="s">
        <v>43</v>
      </c>
      <c r="AJ17" s="69">
        <v>3</v>
      </c>
      <c r="AK17" s="71">
        <v>45343.635416666657</v>
      </c>
      <c r="AL17" s="71">
        <v>45350.635416666657</v>
      </c>
      <c r="AM17" s="69">
        <v>13.25</v>
      </c>
      <c r="AN17" s="69">
        <v>-7.1900000000000006E-2</v>
      </c>
      <c r="AO17" s="69">
        <v>1.75</v>
      </c>
      <c r="AP17" s="69">
        <v>-1.4E-2</v>
      </c>
      <c r="AQ17" s="69">
        <v>2242.5</v>
      </c>
      <c r="AR17" s="69" t="s">
        <v>46</v>
      </c>
    </row>
    <row r="18" spans="1:44" x14ac:dyDescent="0.3">
      <c r="A18" t="s">
        <v>40</v>
      </c>
      <c r="B18" t="s">
        <v>41</v>
      </c>
      <c r="C18">
        <v>22950</v>
      </c>
      <c r="D18" t="s">
        <v>69</v>
      </c>
      <c r="E18" t="s">
        <v>43</v>
      </c>
      <c r="F18">
        <v>3</v>
      </c>
      <c r="G18" t="s">
        <v>68</v>
      </c>
      <c r="H18" t="s">
        <v>70</v>
      </c>
      <c r="I18">
        <v>24.45</v>
      </c>
      <c r="J18">
        <v>-0.1288</v>
      </c>
      <c r="K18">
        <v>1.45</v>
      </c>
      <c r="L18">
        <v>-1.06E-2</v>
      </c>
      <c r="M18">
        <v>4485</v>
      </c>
      <c r="N18" t="s">
        <v>46</v>
      </c>
      <c r="P18" t="s">
        <v>40</v>
      </c>
      <c r="Q18" t="s">
        <v>41</v>
      </c>
      <c r="R18">
        <v>22950</v>
      </c>
      <c r="S18" s="30">
        <v>45365</v>
      </c>
      <c r="T18" t="s">
        <v>43</v>
      </c>
      <c r="U18">
        <v>3</v>
      </c>
      <c r="V18" s="31">
        <v>45357.635416666657</v>
      </c>
      <c r="W18" s="31">
        <v>45364.635416666657</v>
      </c>
      <c r="X18">
        <v>24.45</v>
      </c>
      <c r="Y18">
        <v>-0.1288</v>
      </c>
      <c r="Z18">
        <v>1.45</v>
      </c>
      <c r="AA18">
        <v>-1.06E-2</v>
      </c>
      <c r="AB18">
        <v>4485</v>
      </c>
      <c r="AC18" t="s">
        <v>46</v>
      </c>
      <c r="AE18" s="69" t="s">
        <v>40</v>
      </c>
      <c r="AF18" s="69" t="s">
        <v>41</v>
      </c>
      <c r="AG18" s="69">
        <v>22600</v>
      </c>
      <c r="AH18" s="70">
        <v>45358</v>
      </c>
      <c r="AI18" s="69" t="s">
        <v>43</v>
      </c>
      <c r="AJ18" s="69">
        <v>3</v>
      </c>
      <c r="AK18" s="71">
        <v>45350.635416666657</v>
      </c>
      <c r="AL18" s="71">
        <v>45357.635416666657</v>
      </c>
      <c r="AM18" s="69">
        <v>24.5</v>
      </c>
      <c r="AN18" s="69">
        <v>-0.1057</v>
      </c>
      <c r="AO18" s="69">
        <v>23.7</v>
      </c>
      <c r="AP18" s="69">
        <v>-0.24030000000000001</v>
      </c>
      <c r="AQ18" s="69">
        <v>156</v>
      </c>
      <c r="AR18" s="69" t="s">
        <v>46</v>
      </c>
    </row>
    <row r="19" spans="1:44" x14ac:dyDescent="0.3">
      <c r="A19" t="s">
        <v>40</v>
      </c>
      <c r="B19" t="s">
        <v>41</v>
      </c>
      <c r="C19">
        <v>22600</v>
      </c>
      <c r="D19" t="s">
        <v>71</v>
      </c>
      <c r="E19" t="s">
        <v>43</v>
      </c>
      <c r="F19">
        <v>3</v>
      </c>
      <c r="G19" t="s">
        <v>70</v>
      </c>
      <c r="H19" t="s">
        <v>72</v>
      </c>
      <c r="I19">
        <v>27.1</v>
      </c>
      <c r="J19">
        <v>-0.11749999999999999</v>
      </c>
      <c r="K19">
        <v>0.45</v>
      </c>
      <c r="L19">
        <v>-5.0000000000000001E-3</v>
      </c>
      <c r="M19">
        <v>5196.8</v>
      </c>
      <c r="N19" t="s">
        <v>46</v>
      </c>
      <c r="P19" t="s">
        <v>40</v>
      </c>
      <c r="Q19" t="s">
        <v>41</v>
      </c>
      <c r="R19">
        <v>22600</v>
      </c>
      <c r="S19" s="30">
        <v>45372</v>
      </c>
      <c r="T19" t="s">
        <v>43</v>
      </c>
      <c r="U19">
        <v>3</v>
      </c>
      <c r="V19" s="31">
        <v>45364.635416666657</v>
      </c>
      <c r="W19" s="31">
        <v>45371.635416666657</v>
      </c>
      <c r="X19">
        <v>27.1</v>
      </c>
      <c r="Y19">
        <v>-0.11749999999999999</v>
      </c>
      <c r="Z19">
        <v>0.45</v>
      </c>
      <c r="AA19">
        <v>-5.0000000000000001E-3</v>
      </c>
      <c r="AB19">
        <v>5196.8</v>
      </c>
      <c r="AC19" t="s">
        <v>46</v>
      </c>
      <c r="AE19" s="69" t="s">
        <v>40</v>
      </c>
      <c r="AF19" s="69" t="s">
        <v>41</v>
      </c>
      <c r="AG19" s="69">
        <v>22950</v>
      </c>
      <c r="AH19" s="70">
        <v>45365</v>
      </c>
      <c r="AI19" s="69" t="s">
        <v>43</v>
      </c>
      <c r="AJ19" s="69">
        <v>3</v>
      </c>
      <c r="AK19" s="71">
        <v>45357.635416666657</v>
      </c>
      <c r="AL19" s="71">
        <v>45364.635416666657</v>
      </c>
      <c r="AM19" s="69">
        <v>24.45</v>
      </c>
      <c r="AN19" s="69">
        <v>-0.1288</v>
      </c>
      <c r="AO19" s="69">
        <v>1.45</v>
      </c>
      <c r="AP19" s="69">
        <v>-1.06E-2</v>
      </c>
      <c r="AQ19" s="69">
        <v>4485</v>
      </c>
      <c r="AR19" s="69" t="s">
        <v>46</v>
      </c>
    </row>
    <row r="20" spans="1:44" x14ac:dyDescent="0.3">
      <c r="A20" t="s">
        <v>40</v>
      </c>
      <c r="B20" t="s">
        <v>51</v>
      </c>
      <c r="C20">
        <v>21950</v>
      </c>
      <c r="D20" t="s">
        <v>73</v>
      </c>
      <c r="E20" t="s">
        <v>54</v>
      </c>
      <c r="F20">
        <v>1</v>
      </c>
      <c r="G20" t="s">
        <v>66</v>
      </c>
      <c r="H20" t="s">
        <v>74</v>
      </c>
      <c r="I20">
        <v>321.95</v>
      </c>
      <c r="J20">
        <v>-0.4461</v>
      </c>
      <c r="K20">
        <v>8.9</v>
      </c>
      <c r="L20">
        <v>-0.1217</v>
      </c>
      <c r="M20">
        <v>-20348.2</v>
      </c>
      <c r="N20" t="s">
        <v>46</v>
      </c>
      <c r="P20" t="s">
        <v>40</v>
      </c>
      <c r="Q20" t="s">
        <v>51</v>
      </c>
      <c r="R20">
        <v>21950</v>
      </c>
      <c r="S20" s="30">
        <v>45379</v>
      </c>
      <c r="T20" t="s">
        <v>54</v>
      </c>
      <c r="U20">
        <v>1</v>
      </c>
      <c r="V20" s="31">
        <v>45350.635416666657</v>
      </c>
      <c r="W20" s="31">
        <v>45378.635416666657</v>
      </c>
      <c r="X20">
        <v>321.95</v>
      </c>
      <c r="Y20">
        <v>-0.4461</v>
      </c>
      <c r="Z20">
        <v>8.9</v>
      </c>
      <c r="AA20">
        <v>-0.1217</v>
      </c>
      <c r="AB20">
        <v>-20348.2</v>
      </c>
      <c r="AC20" t="s">
        <v>46</v>
      </c>
      <c r="AE20" s="69" t="s">
        <v>40</v>
      </c>
      <c r="AF20" s="69" t="s">
        <v>41</v>
      </c>
      <c r="AG20" s="69">
        <v>22600</v>
      </c>
      <c r="AH20" s="70">
        <v>45372</v>
      </c>
      <c r="AI20" s="69" t="s">
        <v>43</v>
      </c>
      <c r="AJ20" s="69">
        <v>3</v>
      </c>
      <c r="AK20" s="71">
        <v>45364.635416666657</v>
      </c>
      <c r="AL20" s="71">
        <v>45371.635416666657</v>
      </c>
      <c r="AM20" s="69">
        <v>27.1</v>
      </c>
      <c r="AN20" s="69">
        <v>-0.11749999999999999</v>
      </c>
      <c r="AO20" s="69">
        <v>0.45</v>
      </c>
      <c r="AP20" s="69">
        <v>-5.0000000000000001E-3</v>
      </c>
      <c r="AQ20" s="69">
        <v>5196.8</v>
      </c>
      <c r="AR20" s="69" t="s">
        <v>46</v>
      </c>
    </row>
    <row r="21" spans="1:44" x14ac:dyDescent="0.3">
      <c r="A21" t="s">
        <v>40</v>
      </c>
      <c r="B21" t="s">
        <v>51</v>
      </c>
      <c r="C21">
        <v>23000</v>
      </c>
      <c r="D21" t="s">
        <v>73</v>
      </c>
      <c r="E21" t="s">
        <v>43</v>
      </c>
      <c r="F21">
        <v>1</v>
      </c>
      <c r="G21" t="s">
        <v>66</v>
      </c>
      <c r="H21" t="s">
        <v>74</v>
      </c>
      <c r="I21">
        <v>995</v>
      </c>
      <c r="J21">
        <v>0.84440000000000004</v>
      </c>
      <c r="K21">
        <v>840</v>
      </c>
      <c r="L21">
        <v>0.99639999999999995</v>
      </c>
      <c r="M21">
        <v>10075</v>
      </c>
      <c r="N21" t="s">
        <v>46</v>
      </c>
      <c r="P21" t="s">
        <v>40</v>
      </c>
      <c r="Q21" t="s">
        <v>51</v>
      </c>
      <c r="R21">
        <v>22700</v>
      </c>
      <c r="S21" s="30">
        <v>45379</v>
      </c>
      <c r="T21" t="s">
        <v>43</v>
      </c>
      <c r="U21">
        <v>1</v>
      </c>
      <c r="V21" s="31">
        <v>45350.635416666657</v>
      </c>
      <c r="W21" s="31">
        <v>45378.635416666657</v>
      </c>
      <c r="X21">
        <v>753.6</v>
      </c>
      <c r="Y21">
        <v>0.75360000000000005</v>
      </c>
      <c r="Z21">
        <v>539.9</v>
      </c>
      <c r="AA21">
        <v>0.99390000000000001</v>
      </c>
      <c r="AB21">
        <v>13890.5</v>
      </c>
      <c r="AC21" t="s">
        <v>46</v>
      </c>
      <c r="AE21" s="69" t="s">
        <v>40</v>
      </c>
      <c r="AF21" s="69" t="s">
        <v>51</v>
      </c>
      <c r="AG21" s="69">
        <v>22700</v>
      </c>
      <c r="AH21" s="70">
        <v>45379</v>
      </c>
      <c r="AI21" s="69" t="s">
        <v>43</v>
      </c>
      <c r="AJ21" s="69">
        <v>1</v>
      </c>
      <c r="AK21" s="71">
        <v>45350.635416666657</v>
      </c>
      <c r="AL21" s="71">
        <v>45378.635416666657</v>
      </c>
      <c r="AM21" s="69">
        <v>753.6</v>
      </c>
      <c r="AN21" s="69">
        <v>0.75360000000000005</v>
      </c>
      <c r="AO21" s="69">
        <v>539.9</v>
      </c>
      <c r="AP21" s="69">
        <v>0.99390000000000001</v>
      </c>
      <c r="AQ21" s="69">
        <v>13890.5</v>
      </c>
      <c r="AR21" s="69" t="s">
        <v>46</v>
      </c>
    </row>
    <row r="22" spans="1:44" x14ac:dyDescent="0.3">
      <c r="A22" t="s">
        <v>40</v>
      </c>
      <c r="B22" t="s">
        <v>41</v>
      </c>
      <c r="C22">
        <v>22350</v>
      </c>
      <c r="D22" t="s">
        <v>73</v>
      </c>
      <c r="E22" t="s">
        <v>43</v>
      </c>
      <c r="F22">
        <v>3</v>
      </c>
      <c r="G22" t="s">
        <v>72</v>
      </c>
      <c r="H22" t="s">
        <v>74</v>
      </c>
      <c r="I22">
        <v>25.5</v>
      </c>
      <c r="J22">
        <v>-0.12640000000000001</v>
      </c>
      <c r="K22">
        <v>5.55</v>
      </c>
      <c r="L22">
        <v>-7.7399999999999997E-2</v>
      </c>
      <c r="M22">
        <v>3890.2</v>
      </c>
      <c r="N22" t="s">
        <v>46</v>
      </c>
      <c r="P22" t="s">
        <v>40</v>
      </c>
      <c r="Q22" t="s">
        <v>41</v>
      </c>
      <c r="R22">
        <v>22350</v>
      </c>
      <c r="S22" s="30">
        <v>45379</v>
      </c>
      <c r="T22" t="s">
        <v>43</v>
      </c>
      <c r="U22">
        <v>3</v>
      </c>
      <c r="V22" s="31">
        <v>45371.635416666657</v>
      </c>
      <c r="W22" s="31">
        <v>45378.635416666657</v>
      </c>
      <c r="X22">
        <v>25.5</v>
      </c>
      <c r="Y22">
        <v>-0.12640000000000001</v>
      </c>
      <c r="Z22">
        <v>5.55</v>
      </c>
      <c r="AA22">
        <v>-7.7399999999999997E-2</v>
      </c>
      <c r="AB22">
        <v>3890.2</v>
      </c>
      <c r="AC22" t="s">
        <v>46</v>
      </c>
      <c r="AE22" s="69" t="s">
        <v>40</v>
      </c>
      <c r="AF22" s="69" t="s">
        <v>51</v>
      </c>
      <c r="AG22" s="69">
        <v>21950</v>
      </c>
      <c r="AH22" s="70">
        <v>45379</v>
      </c>
      <c r="AI22" s="69" t="s">
        <v>54</v>
      </c>
      <c r="AJ22" s="69">
        <v>1</v>
      </c>
      <c r="AK22" s="71">
        <v>45350.635416666657</v>
      </c>
      <c r="AL22" s="71">
        <v>45378.635416666657</v>
      </c>
      <c r="AM22" s="69">
        <v>321.95</v>
      </c>
      <c r="AN22" s="69">
        <v>-0.4461</v>
      </c>
      <c r="AO22" s="69">
        <v>8.9</v>
      </c>
      <c r="AP22" s="69">
        <v>-0.1217</v>
      </c>
      <c r="AQ22" s="69">
        <v>-20348.2</v>
      </c>
      <c r="AR22" s="69" t="s">
        <v>46</v>
      </c>
    </row>
    <row r="23" spans="1:44" x14ac:dyDescent="0.3">
      <c r="A23" t="s">
        <v>40</v>
      </c>
      <c r="B23" t="s">
        <v>41</v>
      </c>
      <c r="C23">
        <v>22650</v>
      </c>
      <c r="D23" t="s">
        <v>75</v>
      </c>
      <c r="E23" t="s">
        <v>43</v>
      </c>
      <c r="F23">
        <v>3</v>
      </c>
      <c r="G23" t="s">
        <v>74</v>
      </c>
      <c r="H23" t="s">
        <v>76</v>
      </c>
      <c r="I23">
        <v>16.600000000000001</v>
      </c>
      <c r="J23">
        <v>-9.5000000000000001E-2</v>
      </c>
      <c r="K23">
        <v>6.25</v>
      </c>
      <c r="L23">
        <v>-8.77E-2</v>
      </c>
      <c r="M23">
        <v>2018.3</v>
      </c>
      <c r="N23" t="s">
        <v>46</v>
      </c>
      <c r="P23" t="s">
        <v>40</v>
      </c>
      <c r="Q23" t="s">
        <v>41</v>
      </c>
      <c r="R23">
        <v>22650</v>
      </c>
      <c r="S23" s="30">
        <v>45386</v>
      </c>
      <c r="T23" t="s">
        <v>43</v>
      </c>
      <c r="U23">
        <v>3</v>
      </c>
      <c r="V23" s="31">
        <v>45378.635416666657</v>
      </c>
      <c r="W23" s="31">
        <v>45385.635416666657</v>
      </c>
      <c r="X23">
        <v>16.600000000000001</v>
      </c>
      <c r="Y23">
        <v>-9.5000000000000001E-2</v>
      </c>
      <c r="Z23">
        <v>6.25</v>
      </c>
      <c r="AA23">
        <v>-8.77E-2</v>
      </c>
      <c r="AB23">
        <v>2018.3</v>
      </c>
      <c r="AC23" t="s">
        <v>46</v>
      </c>
      <c r="AE23" s="69" t="s">
        <v>40</v>
      </c>
      <c r="AF23" s="69" t="s">
        <v>41</v>
      </c>
      <c r="AG23" s="69">
        <v>22350</v>
      </c>
      <c r="AH23" s="70">
        <v>45379</v>
      </c>
      <c r="AI23" s="69" t="s">
        <v>43</v>
      </c>
      <c r="AJ23" s="69">
        <v>3</v>
      </c>
      <c r="AK23" s="71">
        <v>45371.635416666657</v>
      </c>
      <c r="AL23" s="71">
        <v>45378.635416666657</v>
      </c>
      <c r="AM23" s="69">
        <v>25.5</v>
      </c>
      <c r="AN23" s="69">
        <v>-0.12640000000000001</v>
      </c>
      <c r="AO23" s="69">
        <v>5.55</v>
      </c>
      <c r="AP23" s="69">
        <v>-7.7399999999999997E-2</v>
      </c>
      <c r="AQ23" s="69">
        <v>3890.2</v>
      </c>
      <c r="AR23" s="69" t="s">
        <v>46</v>
      </c>
    </row>
    <row r="24" spans="1:44" x14ac:dyDescent="0.3">
      <c r="A24" t="s">
        <v>40</v>
      </c>
      <c r="B24" t="s">
        <v>51</v>
      </c>
      <c r="C24">
        <v>22500</v>
      </c>
      <c r="D24" t="s">
        <v>77</v>
      </c>
      <c r="E24" t="s">
        <v>43</v>
      </c>
      <c r="F24">
        <v>1</v>
      </c>
      <c r="G24" t="s">
        <v>74</v>
      </c>
      <c r="H24" t="s">
        <v>78</v>
      </c>
      <c r="I24">
        <v>386.5</v>
      </c>
      <c r="J24">
        <v>0.61599999999999999</v>
      </c>
      <c r="K24">
        <v>181.9</v>
      </c>
      <c r="L24">
        <v>0.42709999999999998</v>
      </c>
      <c r="M24">
        <v>13299</v>
      </c>
      <c r="N24" t="s">
        <v>63</v>
      </c>
      <c r="P24" t="s">
        <v>40</v>
      </c>
      <c r="Q24" t="s">
        <v>51</v>
      </c>
      <c r="R24">
        <v>22500</v>
      </c>
      <c r="S24" s="30">
        <v>45407</v>
      </c>
      <c r="T24" t="s">
        <v>43</v>
      </c>
      <c r="U24">
        <v>1</v>
      </c>
      <c r="V24" s="31">
        <v>45378.635416666657</v>
      </c>
      <c r="W24" s="31">
        <v>45386.635416666657</v>
      </c>
      <c r="X24">
        <v>386.5</v>
      </c>
      <c r="Y24">
        <v>0.61599999999999999</v>
      </c>
      <c r="Z24">
        <v>181.9</v>
      </c>
      <c r="AA24">
        <v>0.42709999999999998</v>
      </c>
      <c r="AB24">
        <v>13299</v>
      </c>
      <c r="AC24" t="s">
        <v>63</v>
      </c>
      <c r="AE24" s="69" t="s">
        <v>40</v>
      </c>
      <c r="AF24" s="69" t="s">
        <v>41</v>
      </c>
      <c r="AG24" s="69">
        <v>22650</v>
      </c>
      <c r="AH24" s="70">
        <v>45386</v>
      </c>
      <c r="AI24" s="69" t="s">
        <v>43</v>
      </c>
      <c r="AJ24" s="69">
        <v>3</v>
      </c>
      <c r="AK24" s="71">
        <v>45378.635416666657</v>
      </c>
      <c r="AL24" s="71">
        <v>45385.635416666657</v>
      </c>
      <c r="AM24" s="69">
        <v>16.600000000000001</v>
      </c>
      <c r="AN24" s="69">
        <v>-9.5000000000000001E-2</v>
      </c>
      <c r="AO24" s="69">
        <v>6.25</v>
      </c>
      <c r="AP24" s="69">
        <v>-8.77E-2</v>
      </c>
      <c r="AQ24" s="69">
        <v>2018.3</v>
      </c>
      <c r="AR24" s="69" t="s">
        <v>46</v>
      </c>
    </row>
    <row r="25" spans="1:44" x14ac:dyDescent="0.3">
      <c r="A25" t="s">
        <v>40</v>
      </c>
      <c r="B25" t="s">
        <v>41</v>
      </c>
      <c r="C25">
        <v>22900</v>
      </c>
      <c r="D25" t="s">
        <v>79</v>
      </c>
      <c r="E25" t="s">
        <v>43</v>
      </c>
      <c r="F25">
        <v>3</v>
      </c>
      <c r="G25" t="s">
        <v>76</v>
      </c>
      <c r="H25" t="s">
        <v>80</v>
      </c>
      <c r="I25">
        <v>16.5</v>
      </c>
      <c r="J25">
        <v>-0.1027</v>
      </c>
      <c r="K25">
        <v>3.9</v>
      </c>
      <c r="L25">
        <v>-5.7799999999999997E-2</v>
      </c>
      <c r="M25">
        <v>2457</v>
      </c>
      <c r="N25" t="s">
        <v>46</v>
      </c>
      <c r="P25" t="s">
        <v>40</v>
      </c>
      <c r="Q25" t="s">
        <v>41</v>
      </c>
      <c r="R25">
        <v>22900</v>
      </c>
      <c r="S25" s="30">
        <v>45392</v>
      </c>
      <c r="T25" t="s">
        <v>43</v>
      </c>
      <c r="U25">
        <v>3</v>
      </c>
      <c r="V25" s="31">
        <v>45385.635416666657</v>
      </c>
      <c r="W25" s="31">
        <v>45391.635416666657</v>
      </c>
      <c r="X25">
        <v>16.5</v>
      </c>
      <c r="Y25">
        <v>-0.1027</v>
      </c>
      <c r="Z25">
        <v>3.9</v>
      </c>
      <c r="AA25">
        <v>-5.7799999999999997E-2</v>
      </c>
      <c r="AB25">
        <v>2457</v>
      </c>
      <c r="AC25" t="s">
        <v>46</v>
      </c>
      <c r="AE25" s="69" t="s">
        <v>40</v>
      </c>
      <c r="AF25" s="69" t="s">
        <v>51</v>
      </c>
      <c r="AG25" s="69">
        <v>22500</v>
      </c>
      <c r="AH25" s="70">
        <v>45407</v>
      </c>
      <c r="AI25" s="69" t="s">
        <v>43</v>
      </c>
      <c r="AJ25" s="69">
        <v>1</v>
      </c>
      <c r="AK25" s="71">
        <v>45378.635416666657</v>
      </c>
      <c r="AL25" s="71">
        <v>45386.635416666657</v>
      </c>
      <c r="AM25" s="69">
        <v>386.5</v>
      </c>
      <c r="AN25" s="69">
        <v>0.61599999999999999</v>
      </c>
      <c r="AO25" s="69">
        <v>181.9</v>
      </c>
      <c r="AP25" s="69">
        <v>0.42709999999999998</v>
      </c>
      <c r="AQ25" s="69">
        <v>13299</v>
      </c>
      <c r="AR25" s="69" t="s">
        <v>63</v>
      </c>
    </row>
    <row r="26" spans="1:44" x14ac:dyDescent="0.3">
      <c r="A26" t="s">
        <v>40</v>
      </c>
      <c r="B26" t="s">
        <v>41</v>
      </c>
      <c r="C26">
        <v>23150</v>
      </c>
      <c r="D26" t="s">
        <v>81</v>
      </c>
      <c r="E26" t="s">
        <v>43</v>
      </c>
      <c r="F26">
        <v>3</v>
      </c>
      <c r="G26" t="s">
        <v>80</v>
      </c>
      <c r="H26" t="s">
        <v>82</v>
      </c>
      <c r="I26">
        <v>17.55</v>
      </c>
      <c r="J26">
        <v>-0.1023</v>
      </c>
      <c r="K26">
        <v>0.5</v>
      </c>
      <c r="L26">
        <v>-4.4000000000000003E-3</v>
      </c>
      <c r="M26">
        <v>3324.8</v>
      </c>
      <c r="N26" t="s">
        <v>46</v>
      </c>
      <c r="P26" t="s">
        <v>40</v>
      </c>
      <c r="Q26" t="s">
        <v>41</v>
      </c>
      <c r="R26">
        <v>23150</v>
      </c>
      <c r="S26" s="30">
        <v>45400</v>
      </c>
      <c r="T26" t="s">
        <v>43</v>
      </c>
      <c r="U26">
        <v>3</v>
      </c>
      <c r="V26" s="31">
        <v>45391.635416666657</v>
      </c>
      <c r="W26" s="31">
        <v>45398.635416666657</v>
      </c>
      <c r="X26">
        <v>17.55</v>
      </c>
      <c r="Y26">
        <v>-0.1023</v>
      </c>
      <c r="Z26">
        <v>0.5</v>
      </c>
      <c r="AA26">
        <v>-4.4000000000000003E-3</v>
      </c>
      <c r="AB26">
        <v>3324.8</v>
      </c>
      <c r="AC26" t="s">
        <v>46</v>
      </c>
      <c r="AE26" s="69" t="s">
        <v>40</v>
      </c>
      <c r="AF26" s="69" t="s">
        <v>51</v>
      </c>
      <c r="AG26" s="69">
        <v>22100</v>
      </c>
      <c r="AH26" s="70">
        <v>45407</v>
      </c>
      <c r="AI26" s="69" t="s">
        <v>54</v>
      </c>
      <c r="AJ26" s="69">
        <v>1</v>
      </c>
      <c r="AK26" s="71">
        <v>45378.635416666657</v>
      </c>
      <c r="AL26" s="71">
        <v>45386.635416666657</v>
      </c>
      <c r="AM26" s="69">
        <v>209.2</v>
      </c>
      <c r="AN26" s="69">
        <v>-0.41710000000000003</v>
      </c>
      <c r="AO26" s="69">
        <v>72.900000000000006</v>
      </c>
      <c r="AP26" s="69">
        <v>-0.20569999999999999</v>
      </c>
      <c r="AQ26" s="69">
        <v>-8859.5</v>
      </c>
      <c r="AR26" s="69" t="s">
        <v>63</v>
      </c>
    </row>
    <row r="27" spans="1:44" x14ac:dyDescent="0.3">
      <c r="A27" t="s">
        <v>40</v>
      </c>
      <c r="B27" t="s">
        <v>51</v>
      </c>
      <c r="C27">
        <v>22100</v>
      </c>
      <c r="D27" t="s">
        <v>77</v>
      </c>
      <c r="E27" t="s">
        <v>54</v>
      </c>
      <c r="F27">
        <v>1</v>
      </c>
      <c r="G27" t="s">
        <v>74</v>
      </c>
      <c r="H27" t="s">
        <v>83</v>
      </c>
      <c r="I27">
        <v>209.2</v>
      </c>
      <c r="J27">
        <v>-0.41710000000000003</v>
      </c>
      <c r="K27">
        <v>5.2</v>
      </c>
      <c r="L27">
        <v>-6.0600000000000001E-2</v>
      </c>
      <c r="M27">
        <v>-13260</v>
      </c>
      <c r="N27" t="s">
        <v>46</v>
      </c>
      <c r="P27" t="s">
        <v>40</v>
      </c>
      <c r="Q27" t="s">
        <v>51</v>
      </c>
      <c r="R27">
        <v>22100</v>
      </c>
      <c r="S27" s="30">
        <v>45407</v>
      </c>
      <c r="T27" t="s">
        <v>54</v>
      </c>
      <c r="U27">
        <v>1</v>
      </c>
      <c r="V27" s="31">
        <v>45378.635416666657</v>
      </c>
      <c r="W27" s="31">
        <v>45406.635416666657</v>
      </c>
      <c r="X27">
        <v>209.2</v>
      </c>
      <c r="Y27">
        <v>-0.41710000000000003</v>
      </c>
      <c r="Z27">
        <v>5.2</v>
      </c>
      <c r="AA27">
        <v>-6.0600000000000001E-2</v>
      </c>
      <c r="AB27">
        <v>-13260</v>
      </c>
      <c r="AC27" t="s">
        <v>46</v>
      </c>
      <c r="AE27" s="69" t="s">
        <v>40</v>
      </c>
      <c r="AF27" s="69" t="s">
        <v>41</v>
      </c>
      <c r="AG27" s="69">
        <v>22900</v>
      </c>
      <c r="AH27" s="70">
        <v>45392</v>
      </c>
      <c r="AI27" s="69" t="s">
        <v>43</v>
      </c>
      <c r="AJ27" s="69">
        <v>3</v>
      </c>
      <c r="AK27" s="71">
        <v>45385.635416666657</v>
      </c>
      <c r="AL27" s="71">
        <v>45391.635416666657</v>
      </c>
      <c r="AM27" s="69">
        <v>16.5</v>
      </c>
      <c r="AN27" s="69">
        <v>-0.1027</v>
      </c>
      <c r="AO27" s="69">
        <v>3.9</v>
      </c>
      <c r="AP27" s="69">
        <v>-5.7799999999999997E-2</v>
      </c>
      <c r="AQ27" s="69">
        <v>2457</v>
      </c>
      <c r="AR27" s="69" t="s">
        <v>46</v>
      </c>
    </row>
    <row r="28" spans="1:44" x14ac:dyDescent="0.3">
      <c r="A28" t="s">
        <v>40</v>
      </c>
      <c r="B28" t="s">
        <v>51</v>
      </c>
      <c r="C28">
        <v>23000</v>
      </c>
      <c r="D28" t="s">
        <v>77</v>
      </c>
      <c r="E28" t="s">
        <v>43</v>
      </c>
      <c r="F28">
        <v>1</v>
      </c>
      <c r="G28" t="s">
        <v>78</v>
      </c>
      <c r="H28" t="s">
        <v>83</v>
      </c>
      <c r="I28">
        <v>461.6</v>
      </c>
      <c r="J28">
        <v>0.75819999999999999</v>
      </c>
      <c r="K28">
        <v>590.45000000000005</v>
      </c>
      <c r="L28">
        <v>0.99139999999999995</v>
      </c>
      <c r="M28">
        <v>-8375.2999999999993</v>
      </c>
      <c r="N28" t="s">
        <v>46</v>
      </c>
      <c r="P28" t="s">
        <v>40</v>
      </c>
      <c r="Q28" t="s">
        <v>51</v>
      </c>
      <c r="R28">
        <v>22900</v>
      </c>
      <c r="S28" s="30">
        <v>45407</v>
      </c>
      <c r="T28" t="s">
        <v>43</v>
      </c>
      <c r="U28">
        <v>1</v>
      </c>
      <c r="V28" s="31">
        <v>45386.635416666657</v>
      </c>
      <c r="W28" s="31">
        <v>45406.635416666657</v>
      </c>
      <c r="X28">
        <v>392.2</v>
      </c>
      <c r="Y28">
        <v>0.6966</v>
      </c>
      <c r="Z28">
        <v>490.2</v>
      </c>
      <c r="AA28">
        <v>0.98899999999999999</v>
      </c>
      <c r="AB28">
        <v>-6370</v>
      </c>
      <c r="AC28" t="s">
        <v>46</v>
      </c>
      <c r="AE28" s="69" t="s">
        <v>40</v>
      </c>
      <c r="AF28" s="69" t="s">
        <v>41</v>
      </c>
      <c r="AG28" s="69">
        <v>23200</v>
      </c>
      <c r="AH28" s="70">
        <v>45400</v>
      </c>
      <c r="AI28" s="69" t="s">
        <v>43</v>
      </c>
      <c r="AJ28" s="69">
        <v>3</v>
      </c>
      <c r="AK28" s="71">
        <v>45391.635416666657</v>
      </c>
      <c r="AL28" s="71">
        <v>45398.635416666657</v>
      </c>
      <c r="AM28" s="69">
        <v>14.05</v>
      </c>
      <c r="AN28" s="69">
        <v>-8.3799999999999999E-2</v>
      </c>
      <c r="AO28" s="69">
        <v>0.55000000000000004</v>
      </c>
      <c r="AP28" s="69">
        <v>-4.5999999999999999E-3</v>
      </c>
      <c r="AQ28" s="69">
        <v>2632.5</v>
      </c>
      <c r="AR28" s="69" t="s">
        <v>46</v>
      </c>
    </row>
    <row r="29" spans="1:44" x14ac:dyDescent="0.3">
      <c r="A29" t="s">
        <v>40</v>
      </c>
      <c r="B29" t="s">
        <v>41</v>
      </c>
      <c r="C29">
        <v>22750</v>
      </c>
      <c r="D29" t="s">
        <v>77</v>
      </c>
      <c r="E29" t="s">
        <v>43</v>
      </c>
      <c r="F29">
        <v>3</v>
      </c>
      <c r="G29" t="s">
        <v>82</v>
      </c>
      <c r="H29" t="s">
        <v>83</v>
      </c>
      <c r="I29">
        <v>18.3</v>
      </c>
      <c r="J29">
        <v>-9.5200000000000007E-2</v>
      </c>
      <c r="K29">
        <v>1.6</v>
      </c>
      <c r="L29">
        <v>-2.4500000000000001E-2</v>
      </c>
      <c r="M29">
        <v>3256.5</v>
      </c>
      <c r="N29" t="s">
        <v>46</v>
      </c>
      <c r="P29" t="s">
        <v>40</v>
      </c>
      <c r="Q29" t="s">
        <v>41</v>
      </c>
      <c r="R29">
        <v>22750</v>
      </c>
      <c r="S29" s="30">
        <v>45407</v>
      </c>
      <c r="T29" t="s">
        <v>43</v>
      </c>
      <c r="U29">
        <v>3</v>
      </c>
      <c r="V29" s="31">
        <v>45398.635416666657</v>
      </c>
      <c r="W29" s="31">
        <v>45406.635416666657</v>
      </c>
      <c r="X29">
        <v>18.3</v>
      </c>
      <c r="Y29">
        <v>-9.5200000000000007E-2</v>
      </c>
      <c r="Z29">
        <v>1.6</v>
      </c>
      <c r="AA29">
        <v>-2.4500000000000001E-2</v>
      </c>
      <c r="AB29">
        <v>3256.5</v>
      </c>
      <c r="AC29" t="s">
        <v>46</v>
      </c>
      <c r="AE29" s="69" t="s">
        <v>40</v>
      </c>
      <c r="AF29" s="69" t="s">
        <v>51</v>
      </c>
      <c r="AG29" s="69">
        <v>22900</v>
      </c>
      <c r="AH29" s="70">
        <v>45407</v>
      </c>
      <c r="AI29" s="69" t="s">
        <v>43</v>
      </c>
      <c r="AJ29" s="69">
        <v>1</v>
      </c>
      <c r="AK29" s="71">
        <v>45386.635416666657</v>
      </c>
      <c r="AL29" s="71">
        <v>45406.635416666657</v>
      </c>
      <c r="AM29" s="69">
        <v>392.2</v>
      </c>
      <c r="AN29" s="69">
        <v>0.6966</v>
      </c>
      <c r="AO29" s="69">
        <v>490.2</v>
      </c>
      <c r="AP29" s="69">
        <v>0.98899999999999999</v>
      </c>
      <c r="AQ29" s="69">
        <v>-6370</v>
      </c>
      <c r="AR29" s="69" t="s">
        <v>46</v>
      </c>
    </row>
    <row r="30" spans="1:44" x14ac:dyDescent="0.3">
      <c r="A30" t="s">
        <v>40</v>
      </c>
      <c r="B30" t="s">
        <v>41</v>
      </c>
      <c r="C30">
        <v>22850</v>
      </c>
      <c r="D30" t="s">
        <v>84</v>
      </c>
      <c r="E30" t="s">
        <v>43</v>
      </c>
      <c r="F30">
        <v>3</v>
      </c>
      <c r="G30" t="s">
        <v>83</v>
      </c>
      <c r="H30" t="s">
        <v>85</v>
      </c>
      <c r="I30">
        <v>16.5</v>
      </c>
      <c r="J30">
        <v>-0.1056</v>
      </c>
      <c r="K30">
        <v>11.25</v>
      </c>
      <c r="L30">
        <v>-0.115</v>
      </c>
      <c r="M30">
        <v>1023.8</v>
      </c>
      <c r="N30" t="s">
        <v>46</v>
      </c>
      <c r="P30" t="s">
        <v>40</v>
      </c>
      <c r="Q30" t="s">
        <v>41</v>
      </c>
      <c r="R30">
        <v>22850</v>
      </c>
      <c r="S30" s="30">
        <v>45414</v>
      </c>
      <c r="T30" t="s">
        <v>43</v>
      </c>
      <c r="U30">
        <v>3</v>
      </c>
      <c r="V30" s="31">
        <v>45406.635416666657</v>
      </c>
      <c r="W30" s="31">
        <v>45412.635416666657</v>
      </c>
      <c r="X30">
        <v>16.5</v>
      </c>
      <c r="Y30">
        <v>-0.1056</v>
      </c>
      <c r="Z30">
        <v>11.25</v>
      </c>
      <c r="AA30">
        <v>-0.115</v>
      </c>
      <c r="AB30">
        <v>1023.8</v>
      </c>
      <c r="AC30" t="s">
        <v>46</v>
      </c>
      <c r="AE30" s="69" t="s">
        <v>40</v>
      </c>
      <c r="AF30" s="69" t="s">
        <v>51</v>
      </c>
      <c r="AG30" s="69">
        <v>22500</v>
      </c>
      <c r="AH30" s="70">
        <v>45407</v>
      </c>
      <c r="AI30" s="69" t="s">
        <v>54</v>
      </c>
      <c r="AJ30" s="69">
        <v>1</v>
      </c>
      <c r="AK30" s="71">
        <v>45386.635416666657</v>
      </c>
      <c r="AL30" s="71">
        <v>45406.635416666657</v>
      </c>
      <c r="AM30" s="69">
        <v>181.9</v>
      </c>
      <c r="AN30" s="69">
        <v>-0.42709999999999998</v>
      </c>
      <c r="AO30" s="69">
        <v>114.2</v>
      </c>
      <c r="AP30" s="69">
        <v>-0.73760000000000003</v>
      </c>
      <c r="AQ30" s="69">
        <v>-4400.5</v>
      </c>
      <c r="AR30" s="69" t="s">
        <v>46</v>
      </c>
    </row>
    <row r="31" spans="1:44" x14ac:dyDescent="0.3">
      <c r="A31" t="s">
        <v>40</v>
      </c>
      <c r="B31" t="s">
        <v>41</v>
      </c>
      <c r="C31">
        <v>23150</v>
      </c>
      <c r="D31" t="s">
        <v>86</v>
      </c>
      <c r="E31" t="s">
        <v>43</v>
      </c>
      <c r="F31">
        <v>3</v>
      </c>
      <c r="G31" t="s">
        <v>85</v>
      </c>
      <c r="H31" t="s">
        <v>87</v>
      </c>
      <c r="I31">
        <v>19.600000000000001</v>
      </c>
      <c r="J31">
        <v>-0.10340000000000001</v>
      </c>
      <c r="K31">
        <v>0.5</v>
      </c>
      <c r="L31">
        <v>-5.0000000000000001E-3</v>
      </c>
      <c r="M31">
        <v>3724.5</v>
      </c>
      <c r="N31" t="s">
        <v>46</v>
      </c>
      <c r="P31" t="s">
        <v>40</v>
      </c>
      <c r="Q31" t="s">
        <v>41</v>
      </c>
      <c r="R31">
        <v>23150</v>
      </c>
      <c r="S31" s="30">
        <v>45421</v>
      </c>
      <c r="T31" t="s">
        <v>43</v>
      </c>
      <c r="U31">
        <v>3</v>
      </c>
      <c r="V31" s="31">
        <v>45412.635416666657</v>
      </c>
      <c r="W31" s="31">
        <v>45420.635416666657</v>
      </c>
      <c r="X31">
        <v>19.600000000000001</v>
      </c>
      <c r="Y31">
        <v>-0.10340000000000001</v>
      </c>
      <c r="Z31">
        <v>0.5</v>
      </c>
      <c r="AA31">
        <v>-5.0000000000000001E-3</v>
      </c>
      <c r="AB31">
        <v>3724.5</v>
      </c>
      <c r="AC31" t="s">
        <v>46</v>
      </c>
      <c r="AE31" s="69" t="s">
        <v>40</v>
      </c>
      <c r="AF31" s="69" t="s">
        <v>41</v>
      </c>
      <c r="AG31" s="69">
        <v>22800</v>
      </c>
      <c r="AH31" s="70">
        <v>45407</v>
      </c>
      <c r="AI31" s="69" t="s">
        <v>43</v>
      </c>
      <c r="AJ31" s="69">
        <v>3</v>
      </c>
      <c r="AK31" s="71">
        <v>45398.635416666657</v>
      </c>
      <c r="AL31" s="71">
        <v>45406.635416666657</v>
      </c>
      <c r="AM31" s="69">
        <v>14.6</v>
      </c>
      <c r="AN31" s="69">
        <v>-7.8299999999999995E-2</v>
      </c>
      <c r="AO31" s="69">
        <v>1.25</v>
      </c>
      <c r="AP31" s="69">
        <v>-1.84E-2</v>
      </c>
      <c r="AQ31" s="69">
        <v>2603.1999999999998</v>
      </c>
      <c r="AR31" s="69" t="s">
        <v>46</v>
      </c>
    </row>
    <row r="32" spans="1:44" x14ac:dyDescent="0.3">
      <c r="A32" t="s">
        <v>40</v>
      </c>
      <c r="B32" t="s">
        <v>41</v>
      </c>
      <c r="C32">
        <v>22900</v>
      </c>
      <c r="D32" t="s">
        <v>88</v>
      </c>
      <c r="E32" t="s">
        <v>43</v>
      </c>
      <c r="F32">
        <v>3</v>
      </c>
      <c r="G32" t="s">
        <v>87</v>
      </c>
      <c r="H32" t="s">
        <v>89</v>
      </c>
      <c r="I32">
        <v>16.25</v>
      </c>
      <c r="J32">
        <v>-8.7099999999999997E-2</v>
      </c>
      <c r="K32">
        <v>0.5</v>
      </c>
      <c r="L32">
        <v>-5.7999999999999996E-3</v>
      </c>
      <c r="M32">
        <v>3071.2</v>
      </c>
      <c r="N32" t="s">
        <v>46</v>
      </c>
      <c r="P32" t="s">
        <v>40</v>
      </c>
      <c r="Q32" t="s">
        <v>41</v>
      </c>
      <c r="R32">
        <v>22900</v>
      </c>
      <c r="S32" s="30">
        <v>45428</v>
      </c>
      <c r="T32" t="s">
        <v>43</v>
      </c>
      <c r="U32">
        <v>3</v>
      </c>
      <c r="V32" s="31">
        <v>45420.635416666657</v>
      </c>
      <c r="W32" s="31">
        <v>45427.635416666657</v>
      </c>
      <c r="X32">
        <v>16.25</v>
      </c>
      <c r="Y32">
        <v>-8.7099999999999997E-2</v>
      </c>
      <c r="Z32">
        <v>0.5</v>
      </c>
      <c r="AA32">
        <v>-5.7999999999999996E-3</v>
      </c>
      <c r="AB32">
        <v>3071.2</v>
      </c>
      <c r="AC32" t="s">
        <v>46</v>
      </c>
      <c r="AE32" s="69" t="s">
        <v>40</v>
      </c>
      <c r="AF32" s="69" t="s">
        <v>41</v>
      </c>
      <c r="AG32" s="69">
        <v>22850</v>
      </c>
      <c r="AH32" s="70">
        <v>45414</v>
      </c>
      <c r="AI32" s="69" t="s">
        <v>43</v>
      </c>
      <c r="AJ32" s="69">
        <v>3</v>
      </c>
      <c r="AK32" s="71">
        <v>45406.635416666657</v>
      </c>
      <c r="AL32" s="71">
        <v>45412.635416666657</v>
      </c>
      <c r="AM32" s="69">
        <v>16.5</v>
      </c>
      <c r="AN32" s="69">
        <v>-0.1056</v>
      </c>
      <c r="AO32" s="69">
        <v>11.25</v>
      </c>
      <c r="AP32" s="69">
        <v>-0.115</v>
      </c>
      <c r="AQ32" s="69">
        <v>1023.8</v>
      </c>
      <c r="AR32" s="69" t="s">
        <v>46</v>
      </c>
    </row>
    <row r="33" spans="1:44" x14ac:dyDescent="0.3">
      <c r="A33" t="s">
        <v>40</v>
      </c>
      <c r="B33" t="s">
        <v>41</v>
      </c>
      <c r="C33">
        <v>22800</v>
      </c>
      <c r="D33" t="s">
        <v>90</v>
      </c>
      <c r="E33" t="s">
        <v>43</v>
      </c>
      <c r="F33">
        <v>3</v>
      </c>
      <c r="G33" t="s">
        <v>89</v>
      </c>
      <c r="H33" t="s">
        <v>91</v>
      </c>
      <c r="I33">
        <v>16.55</v>
      </c>
      <c r="J33">
        <v>-8.7900000000000006E-2</v>
      </c>
      <c r="K33">
        <v>9.6</v>
      </c>
      <c r="L33">
        <v>-0.12089999999999999</v>
      </c>
      <c r="M33">
        <v>1355.3</v>
      </c>
      <c r="N33" t="s">
        <v>46</v>
      </c>
      <c r="P33" t="s">
        <v>40</v>
      </c>
      <c r="Q33" t="s">
        <v>41</v>
      </c>
      <c r="R33">
        <v>22800</v>
      </c>
      <c r="S33" s="30">
        <v>45435</v>
      </c>
      <c r="T33" t="s">
        <v>43</v>
      </c>
      <c r="U33">
        <v>3</v>
      </c>
      <c r="V33" s="31">
        <v>45427.635416666657</v>
      </c>
      <c r="W33" s="31">
        <v>45434.635416666657</v>
      </c>
      <c r="X33">
        <v>16.55</v>
      </c>
      <c r="Y33">
        <v>-8.7900000000000006E-2</v>
      </c>
      <c r="Z33">
        <v>9.6</v>
      </c>
      <c r="AA33">
        <v>-0.12089999999999999</v>
      </c>
      <c r="AB33">
        <v>1355.3</v>
      </c>
      <c r="AC33" t="s">
        <v>46</v>
      </c>
      <c r="AE33" s="69" t="s">
        <v>40</v>
      </c>
      <c r="AF33" s="69" t="s">
        <v>41</v>
      </c>
      <c r="AG33" s="69">
        <v>23150</v>
      </c>
      <c r="AH33" s="70">
        <v>45421</v>
      </c>
      <c r="AI33" s="69" t="s">
        <v>43</v>
      </c>
      <c r="AJ33" s="69">
        <v>3</v>
      </c>
      <c r="AK33" s="71">
        <v>45412.635416666657</v>
      </c>
      <c r="AL33" s="71">
        <v>45420.635416666657</v>
      </c>
      <c r="AM33" s="69">
        <v>19.600000000000001</v>
      </c>
      <c r="AN33" s="69">
        <v>-0.10340000000000001</v>
      </c>
      <c r="AO33" s="69">
        <v>0.5</v>
      </c>
      <c r="AP33" s="69">
        <v>-5.0000000000000001E-3</v>
      </c>
      <c r="AQ33" s="69">
        <v>3724.5</v>
      </c>
      <c r="AR33" s="69" t="s">
        <v>46</v>
      </c>
    </row>
    <row r="34" spans="1:44" x14ac:dyDescent="0.3">
      <c r="A34" t="s">
        <v>40</v>
      </c>
      <c r="B34" t="s">
        <v>51</v>
      </c>
      <c r="C34">
        <v>22400</v>
      </c>
      <c r="D34" t="s">
        <v>92</v>
      </c>
      <c r="E34" t="s">
        <v>54</v>
      </c>
      <c r="F34">
        <v>1</v>
      </c>
      <c r="G34" t="s">
        <v>83</v>
      </c>
      <c r="H34" t="s">
        <v>93</v>
      </c>
      <c r="I34">
        <v>273</v>
      </c>
      <c r="J34">
        <v>-0.42559999999999998</v>
      </c>
      <c r="K34">
        <v>7.1</v>
      </c>
      <c r="L34">
        <v>-7.2499999999999995E-2</v>
      </c>
      <c r="M34">
        <v>-17283.5</v>
      </c>
      <c r="N34" t="s">
        <v>46</v>
      </c>
      <c r="P34" t="s">
        <v>40</v>
      </c>
      <c r="Q34" t="s">
        <v>51</v>
      </c>
      <c r="R34">
        <v>22400</v>
      </c>
      <c r="S34" s="30">
        <v>45442</v>
      </c>
      <c r="T34" t="s">
        <v>54</v>
      </c>
      <c r="U34">
        <v>1</v>
      </c>
      <c r="V34" s="31">
        <v>45406.635416666657</v>
      </c>
      <c r="W34" s="31">
        <v>45441.635416666657</v>
      </c>
      <c r="X34">
        <v>273</v>
      </c>
      <c r="Y34">
        <v>-0.42559999999999998</v>
      </c>
      <c r="Z34">
        <v>7.1</v>
      </c>
      <c r="AA34">
        <v>-7.2499999999999995E-2</v>
      </c>
      <c r="AB34">
        <v>-17283.5</v>
      </c>
      <c r="AC34" t="s">
        <v>46</v>
      </c>
      <c r="AE34" s="69" t="s">
        <v>40</v>
      </c>
      <c r="AF34" s="69" t="s">
        <v>41</v>
      </c>
      <c r="AG34" s="69">
        <v>22900</v>
      </c>
      <c r="AH34" s="70">
        <v>45428</v>
      </c>
      <c r="AI34" s="69" t="s">
        <v>43</v>
      </c>
      <c r="AJ34" s="69">
        <v>3</v>
      </c>
      <c r="AK34" s="71">
        <v>45420.635416666657</v>
      </c>
      <c r="AL34" s="71">
        <v>45427.635416666657</v>
      </c>
      <c r="AM34" s="69">
        <v>16.25</v>
      </c>
      <c r="AN34" s="69">
        <v>-8.7099999999999997E-2</v>
      </c>
      <c r="AO34" s="69">
        <v>0.5</v>
      </c>
      <c r="AP34" s="69">
        <v>-5.7999999999999996E-3</v>
      </c>
      <c r="AQ34" s="69">
        <v>3071.2</v>
      </c>
      <c r="AR34" s="69" t="s">
        <v>46</v>
      </c>
    </row>
    <row r="35" spans="1:44" x14ac:dyDescent="0.3">
      <c r="A35" t="s">
        <v>40</v>
      </c>
      <c r="B35" t="s">
        <v>51</v>
      </c>
      <c r="C35">
        <v>23000</v>
      </c>
      <c r="D35" t="s">
        <v>92</v>
      </c>
      <c r="E35" t="s">
        <v>43</v>
      </c>
      <c r="F35">
        <v>1</v>
      </c>
      <c r="G35" t="s">
        <v>83</v>
      </c>
      <c r="H35" t="s">
        <v>93</v>
      </c>
      <c r="I35">
        <v>600.15</v>
      </c>
      <c r="J35">
        <v>0.72470000000000001</v>
      </c>
      <c r="K35">
        <v>261.8</v>
      </c>
      <c r="L35">
        <v>0.89039999999999997</v>
      </c>
      <c r="M35">
        <v>21992.7</v>
      </c>
      <c r="N35" t="s">
        <v>46</v>
      </c>
      <c r="P35" t="s">
        <v>40</v>
      </c>
      <c r="Q35" t="s">
        <v>51</v>
      </c>
      <c r="R35">
        <v>23000</v>
      </c>
      <c r="S35" s="30">
        <v>45442</v>
      </c>
      <c r="T35" t="s">
        <v>43</v>
      </c>
      <c r="U35">
        <v>1</v>
      </c>
      <c r="V35" s="31">
        <v>45406.635416666657</v>
      </c>
      <c r="W35" s="31">
        <v>45441.635416666657</v>
      </c>
      <c r="X35">
        <v>600.15</v>
      </c>
      <c r="Y35">
        <v>0.72470000000000001</v>
      </c>
      <c r="Z35">
        <v>261.8</v>
      </c>
      <c r="AA35">
        <v>0.89039999999999997</v>
      </c>
      <c r="AB35">
        <v>21992.7</v>
      </c>
      <c r="AC35" t="s">
        <v>46</v>
      </c>
      <c r="AE35" s="69" t="s">
        <v>40</v>
      </c>
      <c r="AF35" s="69" t="s">
        <v>41</v>
      </c>
      <c r="AG35" s="69">
        <v>22800</v>
      </c>
      <c r="AH35" s="70">
        <v>45435</v>
      </c>
      <c r="AI35" s="69" t="s">
        <v>43</v>
      </c>
      <c r="AJ35" s="69">
        <v>3</v>
      </c>
      <c r="AK35" s="71">
        <v>45427.635416666657</v>
      </c>
      <c r="AL35" s="71">
        <v>45434.635416666657</v>
      </c>
      <c r="AM35" s="69">
        <v>16.55</v>
      </c>
      <c r="AN35" s="69">
        <v>-8.7900000000000006E-2</v>
      </c>
      <c r="AO35" s="69">
        <v>9.6</v>
      </c>
      <c r="AP35" s="69">
        <v>-0.12089999999999999</v>
      </c>
      <c r="AQ35" s="69">
        <v>1355.3</v>
      </c>
      <c r="AR35" s="69" t="s">
        <v>46</v>
      </c>
    </row>
    <row r="36" spans="1:44" x14ac:dyDescent="0.3">
      <c r="A36" t="s">
        <v>40</v>
      </c>
      <c r="B36" t="s">
        <v>41</v>
      </c>
      <c r="C36">
        <v>23150</v>
      </c>
      <c r="D36" t="s">
        <v>92</v>
      </c>
      <c r="E36" t="s">
        <v>43</v>
      </c>
      <c r="F36">
        <v>3</v>
      </c>
      <c r="G36" t="s">
        <v>91</v>
      </c>
      <c r="H36" t="s">
        <v>93</v>
      </c>
      <c r="I36">
        <v>18.5</v>
      </c>
      <c r="J36">
        <v>-0.1002</v>
      </c>
      <c r="K36">
        <v>3.35</v>
      </c>
      <c r="L36">
        <v>-3.5700000000000003E-2</v>
      </c>
      <c r="M36">
        <v>2954.2</v>
      </c>
      <c r="N36" t="s">
        <v>46</v>
      </c>
      <c r="P36" t="s">
        <v>40</v>
      </c>
      <c r="Q36" t="s">
        <v>41</v>
      </c>
      <c r="R36">
        <v>23150</v>
      </c>
      <c r="S36" s="30">
        <v>45442</v>
      </c>
      <c r="T36" t="s">
        <v>43</v>
      </c>
      <c r="U36">
        <v>3</v>
      </c>
      <c r="V36" s="31">
        <v>45434.635416666657</v>
      </c>
      <c r="W36" s="31">
        <v>45441.635416666657</v>
      </c>
      <c r="X36">
        <v>18.5</v>
      </c>
      <c r="Y36">
        <v>-0.1002</v>
      </c>
      <c r="Z36">
        <v>3.35</v>
      </c>
      <c r="AA36">
        <v>-3.5700000000000003E-2</v>
      </c>
      <c r="AB36">
        <v>2954.2</v>
      </c>
      <c r="AC36" t="s">
        <v>46</v>
      </c>
      <c r="AE36" s="69" t="s">
        <v>40</v>
      </c>
      <c r="AF36" s="69" t="s">
        <v>51</v>
      </c>
      <c r="AG36" s="69">
        <v>23000</v>
      </c>
      <c r="AH36" s="70">
        <v>45442</v>
      </c>
      <c r="AI36" s="69" t="s">
        <v>43</v>
      </c>
      <c r="AJ36" s="69">
        <v>1</v>
      </c>
      <c r="AK36" s="71">
        <v>45406.635416666657</v>
      </c>
      <c r="AL36" s="71">
        <v>45441.635416666657</v>
      </c>
      <c r="AM36" s="69">
        <v>600.15</v>
      </c>
      <c r="AN36" s="69">
        <v>0.72470000000000001</v>
      </c>
      <c r="AO36" s="69">
        <v>261.8</v>
      </c>
      <c r="AP36" s="69">
        <v>0.89039999999999997</v>
      </c>
      <c r="AQ36" s="69">
        <v>21992.7</v>
      </c>
      <c r="AR36" s="69" t="s">
        <v>46</v>
      </c>
    </row>
    <row r="37" spans="1:44" x14ac:dyDescent="0.3">
      <c r="A37" t="s">
        <v>40</v>
      </c>
      <c r="B37" t="s">
        <v>41</v>
      </c>
      <c r="C37">
        <v>24500</v>
      </c>
      <c r="D37" t="s">
        <v>94</v>
      </c>
      <c r="E37" t="s">
        <v>43</v>
      </c>
      <c r="F37">
        <v>3</v>
      </c>
      <c r="G37" t="s">
        <v>93</v>
      </c>
      <c r="H37" t="s">
        <v>95</v>
      </c>
      <c r="I37">
        <v>39.65</v>
      </c>
      <c r="J37">
        <v>-7.7200000000000005E-2</v>
      </c>
      <c r="K37">
        <v>1.3</v>
      </c>
      <c r="L37">
        <v>-5.7999999999999996E-3</v>
      </c>
      <c r="M37">
        <v>7478.2</v>
      </c>
      <c r="N37" t="s">
        <v>46</v>
      </c>
      <c r="P37" t="s">
        <v>40</v>
      </c>
      <c r="Q37" t="s">
        <v>41</v>
      </c>
      <c r="R37">
        <v>24500</v>
      </c>
      <c r="S37" s="30">
        <v>45449</v>
      </c>
      <c r="T37" t="s">
        <v>43</v>
      </c>
      <c r="U37">
        <v>3</v>
      </c>
      <c r="V37" s="31">
        <v>45441.635416666657</v>
      </c>
      <c r="W37" s="31">
        <v>45448.635416666657</v>
      </c>
      <c r="X37">
        <v>39.65</v>
      </c>
      <c r="Y37">
        <v>-7.7200000000000005E-2</v>
      </c>
      <c r="Z37">
        <v>1.3</v>
      </c>
      <c r="AA37">
        <v>-5.7999999999999996E-3</v>
      </c>
      <c r="AB37">
        <v>7478.2</v>
      </c>
      <c r="AC37" t="s">
        <v>46</v>
      </c>
      <c r="AE37" s="69" t="s">
        <v>40</v>
      </c>
      <c r="AF37" s="69" t="s">
        <v>51</v>
      </c>
      <c r="AG37" s="69">
        <v>22400</v>
      </c>
      <c r="AH37" s="70">
        <v>45442</v>
      </c>
      <c r="AI37" s="69" t="s">
        <v>54</v>
      </c>
      <c r="AJ37" s="69">
        <v>1</v>
      </c>
      <c r="AK37" s="71">
        <v>45406.635416666657</v>
      </c>
      <c r="AL37" s="71">
        <v>45441.635416666657</v>
      </c>
      <c r="AM37" s="69">
        <v>273</v>
      </c>
      <c r="AN37" s="69">
        <v>-0.42559999999999998</v>
      </c>
      <c r="AO37" s="69">
        <v>7.1</v>
      </c>
      <c r="AP37" s="69">
        <v>-7.2499999999999995E-2</v>
      </c>
      <c r="AQ37" s="69">
        <v>-17283.5</v>
      </c>
      <c r="AR37" s="69" t="s">
        <v>46</v>
      </c>
    </row>
    <row r="38" spans="1:44" x14ac:dyDescent="0.3">
      <c r="A38" t="s">
        <v>40</v>
      </c>
      <c r="B38" t="s">
        <v>41</v>
      </c>
      <c r="C38">
        <v>24050</v>
      </c>
      <c r="D38" t="s">
        <v>96</v>
      </c>
      <c r="E38" t="s">
        <v>43</v>
      </c>
      <c r="F38">
        <v>3</v>
      </c>
      <c r="G38" t="s">
        <v>95</v>
      </c>
      <c r="H38" t="s">
        <v>97</v>
      </c>
      <c r="I38">
        <v>41.5</v>
      </c>
      <c r="J38">
        <v>-9.1700000000000004E-2</v>
      </c>
      <c r="K38">
        <v>0.45</v>
      </c>
      <c r="L38">
        <v>-5.1999999999999998E-3</v>
      </c>
      <c r="M38">
        <v>8004.7</v>
      </c>
      <c r="N38" t="s">
        <v>46</v>
      </c>
      <c r="P38" t="s">
        <v>40</v>
      </c>
      <c r="Q38" t="s">
        <v>41</v>
      </c>
      <c r="R38">
        <v>24050</v>
      </c>
      <c r="S38" s="30">
        <v>45456</v>
      </c>
      <c r="T38" t="s">
        <v>43</v>
      </c>
      <c r="U38">
        <v>3</v>
      </c>
      <c r="V38" s="31">
        <v>45448.635416666657</v>
      </c>
      <c r="W38" s="31">
        <v>45455.635416666657</v>
      </c>
      <c r="X38">
        <v>41.5</v>
      </c>
      <c r="Y38">
        <v>-9.1700000000000004E-2</v>
      </c>
      <c r="Z38">
        <v>0.45</v>
      </c>
      <c r="AA38">
        <v>-5.1999999999999998E-3</v>
      </c>
      <c r="AB38">
        <v>8004.7</v>
      </c>
      <c r="AC38" t="s">
        <v>46</v>
      </c>
      <c r="AE38" s="69" t="s">
        <v>40</v>
      </c>
      <c r="AF38" s="69" t="s">
        <v>41</v>
      </c>
      <c r="AG38" s="69">
        <v>23150</v>
      </c>
      <c r="AH38" s="70">
        <v>45442</v>
      </c>
      <c r="AI38" s="69" t="s">
        <v>43</v>
      </c>
      <c r="AJ38" s="69">
        <v>3</v>
      </c>
      <c r="AK38" s="71">
        <v>45434.635416666657</v>
      </c>
      <c r="AL38" s="71">
        <v>45441.635416666657</v>
      </c>
      <c r="AM38" s="69">
        <v>18.5</v>
      </c>
      <c r="AN38" s="69">
        <v>-0.1002</v>
      </c>
      <c r="AO38" s="69">
        <v>3.35</v>
      </c>
      <c r="AP38" s="69">
        <v>-3.5700000000000003E-2</v>
      </c>
      <c r="AQ38" s="69">
        <v>2954.2</v>
      </c>
      <c r="AR38" s="69" t="s">
        <v>46</v>
      </c>
    </row>
    <row r="39" spans="1:44" x14ac:dyDescent="0.3">
      <c r="A39" t="s">
        <v>40</v>
      </c>
      <c r="B39" t="s">
        <v>41</v>
      </c>
      <c r="C39">
        <v>23750</v>
      </c>
      <c r="D39" t="s">
        <v>98</v>
      </c>
      <c r="E39" t="s">
        <v>43</v>
      </c>
      <c r="F39">
        <v>3</v>
      </c>
      <c r="G39" t="s">
        <v>97</v>
      </c>
      <c r="H39" t="s">
        <v>99</v>
      </c>
      <c r="I39">
        <v>42</v>
      </c>
      <c r="J39">
        <v>-0.183</v>
      </c>
      <c r="K39">
        <v>10.4</v>
      </c>
      <c r="L39">
        <v>-0.11409999999999999</v>
      </c>
      <c r="M39">
        <v>6162</v>
      </c>
      <c r="N39" t="s">
        <v>46</v>
      </c>
      <c r="P39" t="s">
        <v>40</v>
      </c>
      <c r="Q39" t="s">
        <v>41</v>
      </c>
      <c r="R39">
        <v>23750</v>
      </c>
      <c r="S39" s="30">
        <v>45463</v>
      </c>
      <c r="T39" t="s">
        <v>43</v>
      </c>
      <c r="U39">
        <v>3</v>
      </c>
      <c r="V39" s="31">
        <v>45455.635416666657</v>
      </c>
      <c r="W39" s="31">
        <v>45462.635416666657</v>
      </c>
      <c r="X39">
        <v>42</v>
      </c>
      <c r="Y39">
        <v>-0.183</v>
      </c>
      <c r="Z39">
        <v>10.4</v>
      </c>
      <c r="AA39">
        <v>-0.11409999999999999</v>
      </c>
      <c r="AB39">
        <v>6162</v>
      </c>
      <c r="AC39" t="s">
        <v>46</v>
      </c>
      <c r="AE39" s="69" t="s">
        <v>40</v>
      </c>
      <c r="AF39" s="69" t="s">
        <v>41</v>
      </c>
      <c r="AG39" s="69">
        <v>24500</v>
      </c>
      <c r="AH39" s="70">
        <v>45449</v>
      </c>
      <c r="AI39" s="69" t="s">
        <v>43</v>
      </c>
      <c r="AJ39" s="69">
        <v>3</v>
      </c>
      <c r="AK39" s="71">
        <v>45441.635416666657</v>
      </c>
      <c r="AL39" s="71">
        <v>45448.635416666657</v>
      </c>
      <c r="AM39" s="69">
        <v>39.65</v>
      </c>
      <c r="AN39" s="69">
        <v>-7.7200000000000005E-2</v>
      </c>
      <c r="AO39" s="69">
        <v>1.3</v>
      </c>
      <c r="AP39" s="69">
        <v>-5.7999999999999996E-3</v>
      </c>
      <c r="AQ39" s="69">
        <v>7478.2</v>
      </c>
      <c r="AR39" s="69" t="s">
        <v>46</v>
      </c>
    </row>
    <row r="40" spans="1:44" x14ac:dyDescent="0.3">
      <c r="A40" t="s">
        <v>40</v>
      </c>
      <c r="B40" t="s">
        <v>51</v>
      </c>
      <c r="C40">
        <v>22700</v>
      </c>
      <c r="D40" t="s">
        <v>100</v>
      </c>
      <c r="E40" t="s">
        <v>54</v>
      </c>
      <c r="F40">
        <v>1</v>
      </c>
      <c r="G40" t="s">
        <v>93</v>
      </c>
      <c r="H40" t="s">
        <v>101</v>
      </c>
      <c r="I40">
        <v>490.75</v>
      </c>
      <c r="J40">
        <v>-0.45079999999999998</v>
      </c>
      <c r="K40">
        <v>0.7</v>
      </c>
      <c r="L40">
        <v>-4.7000000000000002E-3</v>
      </c>
      <c r="M40">
        <v>-31853.200000000001</v>
      </c>
      <c r="N40" t="s">
        <v>46</v>
      </c>
      <c r="P40" t="s">
        <v>40</v>
      </c>
      <c r="Q40" t="s">
        <v>51</v>
      </c>
      <c r="R40">
        <v>22700</v>
      </c>
      <c r="S40" s="30">
        <v>45470</v>
      </c>
      <c r="T40" t="s">
        <v>54</v>
      </c>
      <c r="U40">
        <v>1</v>
      </c>
      <c r="V40" s="31">
        <v>45441.635416666657</v>
      </c>
      <c r="W40" s="31">
        <v>45469.635416666657</v>
      </c>
      <c r="X40">
        <v>490.75</v>
      </c>
      <c r="Y40">
        <v>-0.45079999999999998</v>
      </c>
      <c r="Z40">
        <v>0.7</v>
      </c>
      <c r="AA40">
        <v>-4.7000000000000002E-3</v>
      </c>
      <c r="AB40">
        <v>-31853.200000000001</v>
      </c>
      <c r="AC40" t="s">
        <v>46</v>
      </c>
      <c r="AE40" s="69" t="s">
        <v>40</v>
      </c>
      <c r="AF40" s="69" t="s">
        <v>41</v>
      </c>
      <c r="AG40" s="69">
        <v>24050</v>
      </c>
      <c r="AH40" s="70">
        <v>45456</v>
      </c>
      <c r="AI40" s="69" t="s">
        <v>43</v>
      </c>
      <c r="AJ40" s="69">
        <v>3</v>
      </c>
      <c r="AK40" s="71">
        <v>45448.635416666657</v>
      </c>
      <c r="AL40" s="71">
        <v>45455.635416666657</v>
      </c>
      <c r="AM40" s="69">
        <v>41.5</v>
      </c>
      <c r="AN40" s="69">
        <v>-9.1700000000000004E-2</v>
      </c>
      <c r="AO40" s="69">
        <v>0.45</v>
      </c>
      <c r="AP40" s="69">
        <v>-5.1999999999999998E-3</v>
      </c>
      <c r="AQ40" s="69">
        <v>8004.7</v>
      </c>
      <c r="AR40" s="69" t="s">
        <v>46</v>
      </c>
    </row>
    <row r="41" spans="1:44" x14ac:dyDescent="0.3">
      <c r="A41" t="s">
        <v>40</v>
      </c>
      <c r="B41" t="s">
        <v>51</v>
      </c>
      <c r="C41">
        <v>24000</v>
      </c>
      <c r="D41" t="s">
        <v>100</v>
      </c>
      <c r="E41" t="s">
        <v>43</v>
      </c>
      <c r="F41">
        <v>1</v>
      </c>
      <c r="G41" t="s">
        <v>93</v>
      </c>
      <c r="H41" t="s">
        <v>101</v>
      </c>
      <c r="I41">
        <v>1271.95</v>
      </c>
      <c r="J41">
        <v>0.7923</v>
      </c>
      <c r="K41">
        <v>152.55000000000001</v>
      </c>
      <c r="L41">
        <v>0.74360000000000004</v>
      </c>
      <c r="M41">
        <v>72761</v>
      </c>
      <c r="N41" t="s">
        <v>46</v>
      </c>
      <c r="P41" t="s">
        <v>40</v>
      </c>
      <c r="Q41" t="s">
        <v>51</v>
      </c>
      <c r="R41">
        <v>24000</v>
      </c>
      <c r="S41" s="30">
        <v>45470</v>
      </c>
      <c r="T41" t="s">
        <v>43</v>
      </c>
      <c r="U41">
        <v>1</v>
      </c>
      <c r="V41" s="31">
        <v>45441.635416666657</v>
      </c>
      <c r="W41" s="31">
        <v>45469.635416666657</v>
      </c>
      <c r="X41">
        <v>1271.95</v>
      </c>
      <c r="Y41">
        <v>0.7923</v>
      </c>
      <c r="Z41">
        <v>152.55000000000001</v>
      </c>
      <c r="AA41">
        <v>0.74360000000000004</v>
      </c>
      <c r="AB41">
        <v>72761</v>
      </c>
      <c r="AC41" t="s">
        <v>46</v>
      </c>
      <c r="AE41" s="69" t="s">
        <v>40</v>
      </c>
      <c r="AF41" s="69" t="s">
        <v>41</v>
      </c>
      <c r="AG41" s="69">
        <v>23750</v>
      </c>
      <c r="AH41" s="70">
        <v>45463</v>
      </c>
      <c r="AI41" s="69" t="s">
        <v>43</v>
      </c>
      <c r="AJ41" s="69">
        <v>3</v>
      </c>
      <c r="AK41" s="71">
        <v>45455.635416666657</v>
      </c>
      <c r="AL41" s="71">
        <v>45462.635416666657</v>
      </c>
      <c r="AM41" s="69">
        <v>42</v>
      </c>
      <c r="AN41" s="69">
        <v>-0.183</v>
      </c>
      <c r="AO41" s="69">
        <v>10.4</v>
      </c>
      <c r="AP41" s="69">
        <v>-0.11409999999999999</v>
      </c>
      <c r="AQ41" s="69">
        <v>6162</v>
      </c>
      <c r="AR41" s="69" t="s">
        <v>46</v>
      </c>
    </row>
    <row r="42" spans="1:44" x14ac:dyDescent="0.3">
      <c r="A42" t="s">
        <v>40</v>
      </c>
      <c r="B42" t="s">
        <v>41</v>
      </c>
      <c r="C42">
        <v>23850</v>
      </c>
      <c r="D42" t="s">
        <v>100</v>
      </c>
      <c r="E42" t="s">
        <v>43</v>
      </c>
      <c r="F42">
        <v>3</v>
      </c>
      <c r="G42" t="s">
        <v>99</v>
      </c>
      <c r="H42" t="s">
        <v>101</v>
      </c>
      <c r="I42">
        <v>40.799999999999997</v>
      </c>
      <c r="J42">
        <v>-0.2049</v>
      </c>
      <c r="K42">
        <v>88.5</v>
      </c>
      <c r="L42">
        <v>-0.55710000000000004</v>
      </c>
      <c r="M42">
        <v>-9301.5</v>
      </c>
      <c r="N42" t="s">
        <v>46</v>
      </c>
      <c r="P42" t="s">
        <v>40</v>
      </c>
      <c r="Q42" t="s">
        <v>41</v>
      </c>
      <c r="R42">
        <v>23850</v>
      </c>
      <c r="S42" s="30">
        <v>45470</v>
      </c>
      <c r="T42" t="s">
        <v>43</v>
      </c>
      <c r="U42">
        <v>3</v>
      </c>
      <c r="V42" s="31">
        <v>45462.635416666657</v>
      </c>
      <c r="W42" s="31">
        <v>45469.635416666657</v>
      </c>
      <c r="X42">
        <v>40.799999999999997</v>
      </c>
      <c r="Y42">
        <v>-0.2049</v>
      </c>
      <c r="Z42">
        <v>88.5</v>
      </c>
      <c r="AA42">
        <v>-0.55710000000000004</v>
      </c>
      <c r="AB42">
        <v>-9301.5</v>
      </c>
      <c r="AC42" t="s">
        <v>46</v>
      </c>
      <c r="AE42" s="69" t="s">
        <v>40</v>
      </c>
      <c r="AF42" s="69" t="s">
        <v>51</v>
      </c>
      <c r="AG42" s="69">
        <v>24000</v>
      </c>
      <c r="AH42" s="70">
        <v>45470</v>
      </c>
      <c r="AI42" s="69" t="s">
        <v>43</v>
      </c>
      <c r="AJ42" s="69">
        <v>1</v>
      </c>
      <c r="AK42" s="71">
        <v>45441.635416666657</v>
      </c>
      <c r="AL42" s="71">
        <v>45469.635416666657</v>
      </c>
      <c r="AM42" s="69">
        <v>1271.95</v>
      </c>
      <c r="AN42" s="69">
        <v>0.7923</v>
      </c>
      <c r="AO42" s="69">
        <v>152.55000000000001</v>
      </c>
      <c r="AP42" s="69">
        <v>0.74360000000000004</v>
      </c>
      <c r="AQ42" s="69">
        <v>72761</v>
      </c>
      <c r="AR42" s="69" t="s">
        <v>46</v>
      </c>
    </row>
    <row r="43" spans="1:44" x14ac:dyDescent="0.3">
      <c r="A43" t="s">
        <v>40</v>
      </c>
      <c r="B43" t="s">
        <v>41</v>
      </c>
      <c r="C43">
        <v>24400</v>
      </c>
      <c r="D43" t="s">
        <v>102</v>
      </c>
      <c r="E43" t="s">
        <v>43</v>
      </c>
      <c r="F43">
        <v>3</v>
      </c>
      <c r="G43" t="s">
        <v>101</v>
      </c>
      <c r="H43" t="s">
        <v>103</v>
      </c>
      <c r="I43">
        <v>26.75</v>
      </c>
      <c r="J43">
        <v>-0.12720000000000001</v>
      </c>
      <c r="K43">
        <v>33.25</v>
      </c>
      <c r="L43">
        <v>-0.2923</v>
      </c>
      <c r="M43">
        <v>-1267.5</v>
      </c>
      <c r="N43" t="s">
        <v>46</v>
      </c>
      <c r="P43" t="s">
        <v>40</v>
      </c>
      <c r="Q43" t="s">
        <v>41</v>
      </c>
      <c r="R43">
        <v>24400</v>
      </c>
      <c r="S43" s="30">
        <v>45477</v>
      </c>
      <c r="T43" t="s">
        <v>43</v>
      </c>
      <c r="U43">
        <v>3</v>
      </c>
      <c r="V43" s="31">
        <v>45469.635416666657</v>
      </c>
      <c r="W43" s="31">
        <v>45476.635416666657</v>
      </c>
      <c r="X43">
        <v>26.75</v>
      </c>
      <c r="Y43">
        <v>-0.12720000000000001</v>
      </c>
      <c r="Z43">
        <v>33.25</v>
      </c>
      <c r="AA43">
        <v>-0.2923</v>
      </c>
      <c r="AB43">
        <v>-1267.5</v>
      </c>
      <c r="AC43" t="s">
        <v>46</v>
      </c>
      <c r="AE43" s="69" t="s">
        <v>40</v>
      </c>
      <c r="AF43" s="69" t="s">
        <v>51</v>
      </c>
      <c r="AG43" s="69">
        <v>22700</v>
      </c>
      <c r="AH43" s="70">
        <v>45470</v>
      </c>
      <c r="AI43" s="69" t="s">
        <v>54</v>
      </c>
      <c r="AJ43" s="69">
        <v>1</v>
      </c>
      <c r="AK43" s="71">
        <v>45441.635416666657</v>
      </c>
      <c r="AL43" s="71">
        <v>45469.635416666657</v>
      </c>
      <c r="AM43" s="69">
        <v>490.75</v>
      </c>
      <c r="AN43" s="69">
        <v>-0.45079999999999998</v>
      </c>
      <c r="AO43" s="69">
        <v>0.7</v>
      </c>
      <c r="AP43" s="69">
        <v>-4.7000000000000002E-3</v>
      </c>
      <c r="AQ43" s="69">
        <v>-31853.200000000001</v>
      </c>
      <c r="AR43" s="69" t="s">
        <v>46</v>
      </c>
    </row>
    <row r="44" spans="1:44" x14ac:dyDescent="0.3">
      <c r="A44" t="s">
        <v>40</v>
      </c>
      <c r="B44" t="s">
        <v>41</v>
      </c>
      <c r="C44">
        <v>24800</v>
      </c>
      <c r="D44" t="s">
        <v>104</v>
      </c>
      <c r="E44" t="s">
        <v>43</v>
      </c>
      <c r="F44">
        <v>3</v>
      </c>
      <c r="G44" t="s">
        <v>103</v>
      </c>
      <c r="H44" t="s">
        <v>105</v>
      </c>
      <c r="I44">
        <v>22.25</v>
      </c>
      <c r="J44">
        <v>-0.1174</v>
      </c>
      <c r="K44">
        <v>0.8</v>
      </c>
      <c r="L44">
        <v>-1.15E-2</v>
      </c>
      <c r="M44">
        <v>4182.8</v>
      </c>
      <c r="N44" t="s">
        <v>46</v>
      </c>
      <c r="P44" t="s">
        <v>40</v>
      </c>
      <c r="Q44" t="s">
        <v>41</v>
      </c>
      <c r="R44">
        <v>24800</v>
      </c>
      <c r="S44" s="30">
        <v>45484</v>
      </c>
      <c r="T44" t="s">
        <v>43</v>
      </c>
      <c r="U44">
        <v>3</v>
      </c>
      <c r="V44" s="31">
        <v>45476.635416666657</v>
      </c>
      <c r="W44" s="31">
        <v>45483.635416666657</v>
      </c>
      <c r="X44">
        <v>22.25</v>
      </c>
      <c r="Y44">
        <v>-0.1174</v>
      </c>
      <c r="Z44">
        <v>0.8</v>
      </c>
      <c r="AA44">
        <v>-1.15E-2</v>
      </c>
      <c r="AB44">
        <v>4182.8</v>
      </c>
      <c r="AC44" t="s">
        <v>46</v>
      </c>
      <c r="AE44" s="69" t="s">
        <v>40</v>
      </c>
      <c r="AF44" s="69" t="s">
        <v>41</v>
      </c>
      <c r="AG44" s="69">
        <v>23850</v>
      </c>
      <c r="AH44" s="70">
        <v>45470</v>
      </c>
      <c r="AI44" s="69" t="s">
        <v>43</v>
      </c>
      <c r="AJ44" s="69">
        <v>3</v>
      </c>
      <c r="AK44" s="71">
        <v>45462.635416666657</v>
      </c>
      <c r="AL44" s="71">
        <v>45469.635416666657</v>
      </c>
      <c r="AM44" s="69">
        <v>40.799999999999997</v>
      </c>
      <c r="AN44" s="69">
        <v>-0.2049</v>
      </c>
      <c r="AO44" s="69">
        <v>88.5</v>
      </c>
      <c r="AP44" s="69">
        <v>-0.55710000000000004</v>
      </c>
      <c r="AQ44" s="69">
        <v>-9301.5</v>
      </c>
      <c r="AR44" s="69" t="s">
        <v>46</v>
      </c>
    </row>
    <row r="45" spans="1:44" x14ac:dyDescent="0.3">
      <c r="A45" t="s">
        <v>40</v>
      </c>
      <c r="B45" t="s">
        <v>51</v>
      </c>
      <c r="C45">
        <v>24500</v>
      </c>
      <c r="D45" t="s">
        <v>106</v>
      </c>
      <c r="E45" t="s">
        <v>43</v>
      </c>
      <c r="F45">
        <v>1</v>
      </c>
      <c r="G45" t="s">
        <v>101</v>
      </c>
      <c r="H45" t="s">
        <v>107</v>
      </c>
      <c r="I45">
        <v>648.35</v>
      </c>
      <c r="J45">
        <v>0.72270000000000001</v>
      </c>
      <c r="K45">
        <v>187.7</v>
      </c>
      <c r="L45">
        <v>0.41199999999999998</v>
      </c>
      <c r="M45">
        <v>29942.3</v>
      </c>
      <c r="N45" t="s">
        <v>63</v>
      </c>
      <c r="P45" t="s">
        <v>40</v>
      </c>
      <c r="Q45" t="s">
        <v>51</v>
      </c>
      <c r="R45">
        <v>24500</v>
      </c>
      <c r="S45" s="30">
        <v>45498</v>
      </c>
      <c r="T45" t="s">
        <v>43</v>
      </c>
      <c r="U45">
        <v>1</v>
      </c>
      <c r="V45" s="31">
        <v>45469.635416666657</v>
      </c>
      <c r="W45" s="31">
        <v>45488.635416666657</v>
      </c>
      <c r="X45">
        <v>648.35</v>
      </c>
      <c r="Y45">
        <v>0.72270000000000001</v>
      </c>
      <c r="Z45">
        <v>187.7</v>
      </c>
      <c r="AA45">
        <v>0.41199999999999998</v>
      </c>
      <c r="AB45">
        <v>29942.3</v>
      </c>
      <c r="AC45" t="s">
        <v>63</v>
      </c>
      <c r="AE45" s="69" t="s">
        <v>40</v>
      </c>
      <c r="AF45" s="69" t="s">
        <v>41</v>
      </c>
      <c r="AG45" s="69">
        <v>24400</v>
      </c>
      <c r="AH45" s="70">
        <v>45477</v>
      </c>
      <c r="AI45" s="69" t="s">
        <v>43</v>
      </c>
      <c r="AJ45" s="69">
        <v>3</v>
      </c>
      <c r="AK45" s="71">
        <v>45469.635416666657</v>
      </c>
      <c r="AL45" s="71">
        <v>45476.635416666657</v>
      </c>
      <c r="AM45" s="69">
        <v>26.75</v>
      </c>
      <c r="AN45" s="69">
        <v>-0.12720000000000001</v>
      </c>
      <c r="AO45" s="69">
        <v>33.25</v>
      </c>
      <c r="AP45" s="69">
        <v>-0.2923</v>
      </c>
      <c r="AQ45" s="69">
        <v>-1267.5</v>
      </c>
      <c r="AR45" s="69" t="s">
        <v>46</v>
      </c>
    </row>
    <row r="46" spans="1:44" x14ac:dyDescent="0.3">
      <c r="A46" t="s">
        <v>40</v>
      </c>
      <c r="B46" t="s">
        <v>41</v>
      </c>
      <c r="C46">
        <v>24750</v>
      </c>
      <c r="D46" t="s">
        <v>108</v>
      </c>
      <c r="E46" t="s">
        <v>43</v>
      </c>
      <c r="F46">
        <v>3</v>
      </c>
      <c r="G46" t="s">
        <v>105</v>
      </c>
      <c r="H46" t="s">
        <v>109</v>
      </c>
      <c r="I46">
        <v>26.4</v>
      </c>
      <c r="J46">
        <v>-0.1449</v>
      </c>
      <c r="K46">
        <v>19.75</v>
      </c>
      <c r="L46">
        <v>-0.20860000000000001</v>
      </c>
      <c r="M46">
        <v>1296.7</v>
      </c>
      <c r="N46" t="s">
        <v>46</v>
      </c>
      <c r="P46" t="s">
        <v>40</v>
      </c>
      <c r="Q46" t="s">
        <v>41</v>
      </c>
      <c r="R46">
        <v>24750</v>
      </c>
      <c r="S46" s="30">
        <v>45491</v>
      </c>
      <c r="T46" t="s">
        <v>43</v>
      </c>
      <c r="U46">
        <v>3</v>
      </c>
      <c r="V46" s="31">
        <v>45483.635416666657</v>
      </c>
      <c r="W46" s="31">
        <v>45489.635416666657</v>
      </c>
      <c r="X46">
        <v>26.4</v>
      </c>
      <c r="Y46">
        <v>-0.1449</v>
      </c>
      <c r="Z46">
        <v>19.75</v>
      </c>
      <c r="AA46">
        <v>-0.20860000000000001</v>
      </c>
      <c r="AB46">
        <v>1296.7</v>
      </c>
      <c r="AC46" t="s">
        <v>46</v>
      </c>
      <c r="AE46" s="69" t="s">
        <v>40</v>
      </c>
      <c r="AF46" s="69" t="s">
        <v>41</v>
      </c>
      <c r="AG46" s="69">
        <v>24800</v>
      </c>
      <c r="AH46" s="70">
        <v>45484</v>
      </c>
      <c r="AI46" s="69" t="s">
        <v>43</v>
      </c>
      <c r="AJ46" s="69">
        <v>3</v>
      </c>
      <c r="AK46" s="71">
        <v>45476.635416666657</v>
      </c>
      <c r="AL46" s="71">
        <v>45483.635416666657</v>
      </c>
      <c r="AM46" s="69">
        <v>22.25</v>
      </c>
      <c r="AN46" s="69">
        <v>-0.1174</v>
      </c>
      <c r="AO46" s="69">
        <v>0.8</v>
      </c>
      <c r="AP46" s="69">
        <v>-1.15E-2</v>
      </c>
      <c r="AQ46" s="69">
        <v>4182.8</v>
      </c>
      <c r="AR46" s="69" t="s">
        <v>46</v>
      </c>
    </row>
    <row r="47" spans="1:44" x14ac:dyDescent="0.3">
      <c r="A47" t="s">
        <v>40</v>
      </c>
      <c r="B47" t="s">
        <v>51</v>
      </c>
      <c r="C47">
        <v>23850</v>
      </c>
      <c r="D47" t="s">
        <v>106</v>
      </c>
      <c r="E47" t="s">
        <v>54</v>
      </c>
      <c r="F47">
        <v>1</v>
      </c>
      <c r="G47" t="s">
        <v>101</v>
      </c>
      <c r="H47" t="s">
        <v>110</v>
      </c>
      <c r="I47">
        <v>296</v>
      </c>
      <c r="J47">
        <v>-0.42930000000000001</v>
      </c>
      <c r="K47">
        <v>1.75</v>
      </c>
      <c r="L47">
        <v>-1.7899999999999999E-2</v>
      </c>
      <c r="M47">
        <v>-19126.2</v>
      </c>
      <c r="N47" t="s">
        <v>46</v>
      </c>
      <c r="P47" t="s">
        <v>40</v>
      </c>
      <c r="Q47" t="s">
        <v>51</v>
      </c>
      <c r="R47">
        <v>23850</v>
      </c>
      <c r="S47" s="30">
        <v>45498</v>
      </c>
      <c r="T47" t="s">
        <v>54</v>
      </c>
      <c r="U47">
        <v>1</v>
      </c>
      <c r="V47" s="31">
        <v>45469.635416666657</v>
      </c>
      <c r="W47" s="31">
        <v>45497.635416666657</v>
      </c>
      <c r="X47">
        <v>296</v>
      </c>
      <c r="Y47">
        <v>-0.42930000000000001</v>
      </c>
      <c r="Z47">
        <v>1.75</v>
      </c>
      <c r="AA47">
        <v>-1.7899999999999999E-2</v>
      </c>
      <c r="AB47">
        <v>-19126.2</v>
      </c>
      <c r="AC47" t="s">
        <v>46</v>
      </c>
      <c r="AE47" s="69" t="s">
        <v>40</v>
      </c>
      <c r="AF47" s="69" t="s">
        <v>51</v>
      </c>
      <c r="AG47" s="69">
        <v>24500</v>
      </c>
      <c r="AH47" s="70">
        <v>45498</v>
      </c>
      <c r="AI47" s="69" t="s">
        <v>43</v>
      </c>
      <c r="AJ47" s="69">
        <v>1</v>
      </c>
      <c r="AK47" s="71">
        <v>45469.635416666657</v>
      </c>
      <c r="AL47" s="71">
        <v>45488.635416666657</v>
      </c>
      <c r="AM47" s="69">
        <v>648.35</v>
      </c>
      <c r="AN47" s="69">
        <v>0.72270000000000001</v>
      </c>
      <c r="AO47" s="69">
        <v>187.7</v>
      </c>
      <c r="AP47" s="69">
        <v>0.41199999999999998</v>
      </c>
      <c r="AQ47" s="69">
        <v>29942.3</v>
      </c>
      <c r="AR47" s="69" t="s">
        <v>63</v>
      </c>
    </row>
    <row r="48" spans="1:44" x14ac:dyDescent="0.3">
      <c r="A48" t="s">
        <v>40</v>
      </c>
      <c r="B48" t="s">
        <v>51</v>
      </c>
      <c r="C48">
        <v>25500</v>
      </c>
      <c r="D48" t="s">
        <v>106</v>
      </c>
      <c r="E48" t="s">
        <v>43</v>
      </c>
      <c r="F48">
        <v>1</v>
      </c>
      <c r="G48" t="s">
        <v>107</v>
      </c>
      <c r="H48" t="s">
        <v>110</v>
      </c>
      <c r="I48">
        <v>892.75</v>
      </c>
      <c r="J48">
        <v>0.94389999999999996</v>
      </c>
      <c r="K48">
        <v>1126.5</v>
      </c>
      <c r="L48">
        <v>0.99439999999999995</v>
      </c>
      <c r="M48">
        <v>-15193.8</v>
      </c>
      <c r="N48" t="s">
        <v>46</v>
      </c>
      <c r="P48" t="s">
        <v>40</v>
      </c>
      <c r="Q48" t="s">
        <v>51</v>
      </c>
      <c r="R48">
        <v>25500</v>
      </c>
      <c r="S48" s="30">
        <v>45498</v>
      </c>
      <c r="T48" t="s">
        <v>43</v>
      </c>
      <c r="U48">
        <v>1</v>
      </c>
      <c r="V48" s="31">
        <v>45488.635416666657</v>
      </c>
      <c r="W48" s="31">
        <v>45497.635416666657</v>
      </c>
      <c r="X48">
        <v>892.75</v>
      </c>
      <c r="Y48">
        <v>0.94389999999999996</v>
      </c>
      <c r="Z48">
        <v>1126.5</v>
      </c>
      <c r="AA48">
        <v>0.99439999999999995</v>
      </c>
      <c r="AB48">
        <v>-15193.8</v>
      </c>
      <c r="AC48" t="s">
        <v>46</v>
      </c>
      <c r="AE48" s="69" t="s">
        <v>40</v>
      </c>
      <c r="AF48" s="69" t="s">
        <v>51</v>
      </c>
      <c r="AG48" s="69">
        <v>23850</v>
      </c>
      <c r="AH48" s="70">
        <v>45498</v>
      </c>
      <c r="AI48" s="69" t="s">
        <v>54</v>
      </c>
      <c r="AJ48" s="69">
        <v>1</v>
      </c>
      <c r="AK48" s="71">
        <v>45469.635416666657</v>
      </c>
      <c r="AL48" s="71">
        <v>45488.635416666657</v>
      </c>
      <c r="AM48" s="69">
        <v>296</v>
      </c>
      <c r="AN48" s="69">
        <v>-0.42930000000000001</v>
      </c>
      <c r="AO48" s="69">
        <v>43</v>
      </c>
      <c r="AP48" s="69">
        <v>-0.12379999999999999</v>
      </c>
      <c r="AQ48" s="69">
        <v>-16445</v>
      </c>
      <c r="AR48" s="69" t="s">
        <v>63</v>
      </c>
    </row>
    <row r="49" spans="1:44" x14ac:dyDescent="0.3">
      <c r="A49" t="s">
        <v>40</v>
      </c>
      <c r="B49" t="s">
        <v>41</v>
      </c>
      <c r="C49">
        <v>25350</v>
      </c>
      <c r="D49" t="s">
        <v>106</v>
      </c>
      <c r="E49" t="s">
        <v>43</v>
      </c>
      <c r="F49">
        <v>3</v>
      </c>
      <c r="G49" t="s">
        <v>109</v>
      </c>
      <c r="H49" t="s">
        <v>110</v>
      </c>
      <c r="I49">
        <v>24.5</v>
      </c>
      <c r="J49">
        <v>-9.8199999999999996E-2</v>
      </c>
      <c r="K49">
        <v>0.85</v>
      </c>
      <c r="L49">
        <v>-7.0000000000000001E-3</v>
      </c>
      <c r="M49">
        <v>4611.8</v>
      </c>
      <c r="N49" t="s">
        <v>46</v>
      </c>
      <c r="P49" t="s">
        <v>40</v>
      </c>
      <c r="Q49" t="s">
        <v>41</v>
      </c>
      <c r="R49">
        <v>25350</v>
      </c>
      <c r="S49" s="30">
        <v>45498</v>
      </c>
      <c r="T49" t="s">
        <v>43</v>
      </c>
      <c r="U49">
        <v>3</v>
      </c>
      <c r="V49" s="31">
        <v>45489.635416666657</v>
      </c>
      <c r="W49" s="31">
        <v>45497.635416666657</v>
      </c>
      <c r="X49">
        <v>24.5</v>
      </c>
      <c r="Y49">
        <v>-9.8199999999999996E-2</v>
      </c>
      <c r="Z49">
        <v>0.85</v>
      </c>
      <c r="AA49">
        <v>-7.0000000000000001E-3</v>
      </c>
      <c r="AB49">
        <v>4611.8</v>
      </c>
      <c r="AC49" t="s">
        <v>46</v>
      </c>
      <c r="AE49" s="69" t="s">
        <v>40</v>
      </c>
      <c r="AF49" s="69" t="s">
        <v>41</v>
      </c>
      <c r="AG49" s="69">
        <v>24750</v>
      </c>
      <c r="AH49" s="70">
        <v>45491</v>
      </c>
      <c r="AI49" s="69" t="s">
        <v>43</v>
      </c>
      <c r="AJ49" s="69">
        <v>3</v>
      </c>
      <c r="AK49" s="71">
        <v>45483.635416666657</v>
      </c>
      <c r="AL49" s="71">
        <v>45489.635416666657</v>
      </c>
      <c r="AM49" s="69">
        <v>26.4</v>
      </c>
      <c r="AN49" s="69">
        <v>-0.1449</v>
      </c>
      <c r="AO49" s="69">
        <v>19.75</v>
      </c>
      <c r="AP49" s="69">
        <v>-0.20860000000000001</v>
      </c>
      <c r="AQ49" s="69">
        <v>1296.7</v>
      </c>
      <c r="AR49" s="69" t="s">
        <v>46</v>
      </c>
    </row>
    <row r="50" spans="1:44" x14ac:dyDescent="0.3">
      <c r="A50" t="s">
        <v>40</v>
      </c>
      <c r="B50" t="s">
        <v>41</v>
      </c>
      <c r="C50">
        <v>25000</v>
      </c>
      <c r="D50" t="s">
        <v>111</v>
      </c>
      <c r="E50" t="s">
        <v>43</v>
      </c>
      <c r="F50">
        <v>3</v>
      </c>
      <c r="G50" t="s">
        <v>110</v>
      </c>
      <c r="H50" t="s">
        <v>112</v>
      </c>
      <c r="I50">
        <v>21.75</v>
      </c>
      <c r="J50">
        <v>-0.1046</v>
      </c>
      <c r="K50">
        <v>61.75</v>
      </c>
      <c r="L50">
        <v>-0.41020000000000001</v>
      </c>
      <c r="M50">
        <v>-7800</v>
      </c>
      <c r="N50" t="s">
        <v>46</v>
      </c>
      <c r="P50" t="s">
        <v>40</v>
      </c>
      <c r="Q50" t="s">
        <v>41</v>
      </c>
      <c r="R50">
        <v>25000</v>
      </c>
      <c r="S50" s="30">
        <v>45505</v>
      </c>
      <c r="T50" t="s">
        <v>43</v>
      </c>
      <c r="U50">
        <v>3</v>
      </c>
      <c r="V50" s="31">
        <v>45497.635416666657</v>
      </c>
      <c r="W50" s="31">
        <v>45504.635416666657</v>
      </c>
      <c r="X50">
        <v>21.75</v>
      </c>
      <c r="Y50">
        <v>-0.1046</v>
      </c>
      <c r="Z50">
        <v>61.75</v>
      </c>
      <c r="AA50">
        <v>-0.41020000000000001</v>
      </c>
      <c r="AB50">
        <v>-7800</v>
      </c>
      <c r="AC50" t="s">
        <v>46</v>
      </c>
      <c r="AE50" s="69" t="s">
        <v>40</v>
      </c>
      <c r="AF50" s="69" t="s">
        <v>51</v>
      </c>
      <c r="AG50" s="69">
        <v>25500</v>
      </c>
      <c r="AH50" s="70">
        <v>45498</v>
      </c>
      <c r="AI50" s="69" t="s">
        <v>43</v>
      </c>
      <c r="AJ50" s="69">
        <v>1</v>
      </c>
      <c r="AK50" s="71">
        <v>45488.635416666657</v>
      </c>
      <c r="AL50" s="71">
        <v>45497.635416666657</v>
      </c>
      <c r="AM50" s="69">
        <v>892.75</v>
      </c>
      <c r="AN50" s="69">
        <v>0.94389999999999996</v>
      </c>
      <c r="AO50" s="69">
        <v>1126.5</v>
      </c>
      <c r="AP50" s="69">
        <v>0.99439999999999995</v>
      </c>
      <c r="AQ50" s="69">
        <v>-15193.8</v>
      </c>
      <c r="AR50" s="69" t="s">
        <v>46</v>
      </c>
    </row>
    <row r="51" spans="1:44" x14ac:dyDescent="0.3">
      <c r="A51" t="s">
        <v>40</v>
      </c>
      <c r="B51" t="s">
        <v>41</v>
      </c>
      <c r="C51">
        <v>25500</v>
      </c>
      <c r="D51" t="s">
        <v>113</v>
      </c>
      <c r="E51" t="s">
        <v>43</v>
      </c>
      <c r="F51">
        <v>3</v>
      </c>
      <c r="G51" t="s">
        <v>112</v>
      </c>
      <c r="H51" t="s">
        <v>114</v>
      </c>
      <c r="I51">
        <v>22.8</v>
      </c>
      <c r="J51">
        <v>-0.11310000000000001</v>
      </c>
      <c r="K51">
        <v>0.5</v>
      </c>
      <c r="L51">
        <v>-3.8E-3</v>
      </c>
      <c r="M51">
        <v>4348.5</v>
      </c>
      <c r="N51" t="s">
        <v>46</v>
      </c>
      <c r="P51" t="s">
        <v>40</v>
      </c>
      <c r="Q51" t="s">
        <v>41</v>
      </c>
      <c r="R51">
        <v>25500</v>
      </c>
      <c r="S51" s="30">
        <v>45512</v>
      </c>
      <c r="T51" t="s">
        <v>43</v>
      </c>
      <c r="U51">
        <v>3</v>
      </c>
      <c r="V51" s="31">
        <v>45504.635416666657</v>
      </c>
      <c r="W51" s="31">
        <v>45511.635416666657</v>
      </c>
      <c r="X51">
        <v>22.8</v>
      </c>
      <c r="Y51">
        <v>-0.11310000000000001</v>
      </c>
      <c r="Z51">
        <v>0.5</v>
      </c>
      <c r="AA51">
        <v>-3.8E-3</v>
      </c>
      <c r="AB51">
        <v>4348.5</v>
      </c>
      <c r="AC51" t="s">
        <v>46</v>
      </c>
      <c r="AE51" s="69" t="s">
        <v>40</v>
      </c>
      <c r="AF51" s="69" t="s">
        <v>51</v>
      </c>
      <c r="AG51" s="69">
        <v>24600</v>
      </c>
      <c r="AH51" s="70">
        <v>45498</v>
      </c>
      <c r="AI51" s="69" t="s">
        <v>54</v>
      </c>
      <c r="AJ51" s="69">
        <v>1</v>
      </c>
      <c r="AK51" s="71">
        <v>45488.635416666657</v>
      </c>
      <c r="AL51" s="71">
        <v>45497.635416666657</v>
      </c>
      <c r="AM51" s="69">
        <v>230.05</v>
      </c>
      <c r="AN51" s="69">
        <v>-0.47520000000000001</v>
      </c>
      <c r="AO51" s="69">
        <v>235.8</v>
      </c>
      <c r="AP51" s="69">
        <v>-0.85499999999999998</v>
      </c>
      <c r="AQ51" s="69">
        <v>373.8</v>
      </c>
      <c r="AR51" s="69" t="s">
        <v>46</v>
      </c>
    </row>
    <row r="52" spans="1:44" x14ac:dyDescent="0.3">
      <c r="A52" t="s">
        <v>40</v>
      </c>
      <c r="B52" t="s">
        <v>41</v>
      </c>
      <c r="C52">
        <v>24950</v>
      </c>
      <c r="D52" t="s">
        <v>115</v>
      </c>
      <c r="E52" t="s">
        <v>43</v>
      </c>
      <c r="F52">
        <v>3</v>
      </c>
      <c r="G52" t="s">
        <v>114</v>
      </c>
      <c r="H52" t="s">
        <v>116</v>
      </c>
      <c r="I52">
        <v>20.85</v>
      </c>
      <c r="J52">
        <v>-9.7500000000000003E-2</v>
      </c>
      <c r="K52">
        <v>1.65</v>
      </c>
      <c r="L52">
        <v>-1.3100000000000001E-2</v>
      </c>
      <c r="M52">
        <v>3744</v>
      </c>
      <c r="N52" t="s">
        <v>46</v>
      </c>
      <c r="P52" t="s">
        <v>40</v>
      </c>
      <c r="Q52" t="s">
        <v>41</v>
      </c>
      <c r="R52">
        <v>24950</v>
      </c>
      <c r="S52" s="30">
        <v>45518</v>
      </c>
      <c r="T52" t="s">
        <v>43</v>
      </c>
      <c r="U52">
        <v>3</v>
      </c>
      <c r="V52" s="31">
        <v>45511.635416666657</v>
      </c>
      <c r="W52" s="31">
        <v>45517.635416666657</v>
      </c>
      <c r="X52">
        <v>20.85</v>
      </c>
      <c r="Y52">
        <v>-9.7500000000000003E-2</v>
      </c>
      <c r="Z52">
        <v>1.65</v>
      </c>
      <c r="AA52">
        <v>-1.3100000000000001E-2</v>
      </c>
      <c r="AB52">
        <v>3744</v>
      </c>
      <c r="AC52" t="s">
        <v>46</v>
      </c>
      <c r="AE52" s="69" t="s">
        <v>40</v>
      </c>
      <c r="AF52" s="69" t="s">
        <v>41</v>
      </c>
      <c r="AG52" s="69">
        <v>25400</v>
      </c>
      <c r="AH52" s="70">
        <v>45498</v>
      </c>
      <c r="AI52" s="69" t="s">
        <v>43</v>
      </c>
      <c r="AJ52" s="69">
        <v>3</v>
      </c>
      <c r="AK52" s="71">
        <v>45489.635416666657</v>
      </c>
      <c r="AL52" s="71">
        <v>45497.635416666657</v>
      </c>
      <c r="AM52" s="69">
        <v>19.899999999999999</v>
      </c>
      <c r="AN52" s="69">
        <v>-8.2699999999999996E-2</v>
      </c>
      <c r="AO52" s="69">
        <v>0.8</v>
      </c>
      <c r="AP52" s="69">
        <v>-6.4000000000000003E-3</v>
      </c>
      <c r="AQ52" s="69">
        <v>3724.5</v>
      </c>
      <c r="AR52" s="69" t="s">
        <v>46</v>
      </c>
    </row>
    <row r="53" spans="1:44" x14ac:dyDescent="0.3">
      <c r="A53" t="s">
        <v>40</v>
      </c>
      <c r="B53" t="s">
        <v>41</v>
      </c>
      <c r="C53">
        <v>24800</v>
      </c>
      <c r="D53" t="s">
        <v>117</v>
      </c>
      <c r="E53" t="s">
        <v>43</v>
      </c>
      <c r="F53">
        <v>3</v>
      </c>
      <c r="G53" t="s">
        <v>116</v>
      </c>
      <c r="H53" t="s">
        <v>118</v>
      </c>
      <c r="I53">
        <v>23.25</v>
      </c>
      <c r="J53">
        <v>-0.1011</v>
      </c>
      <c r="K53">
        <v>41.95</v>
      </c>
      <c r="L53">
        <v>-0.41539999999999999</v>
      </c>
      <c r="M53">
        <v>-3646.5</v>
      </c>
      <c r="N53" t="s">
        <v>46</v>
      </c>
      <c r="P53" t="s">
        <v>40</v>
      </c>
      <c r="Q53" t="s">
        <v>41</v>
      </c>
      <c r="R53">
        <v>24800</v>
      </c>
      <c r="S53" s="30">
        <v>45526</v>
      </c>
      <c r="T53" t="s">
        <v>43</v>
      </c>
      <c r="U53">
        <v>3</v>
      </c>
      <c r="V53" s="31">
        <v>45517.635416666657</v>
      </c>
      <c r="W53" s="31">
        <v>45525.635416666657</v>
      </c>
      <c r="X53">
        <v>23.25</v>
      </c>
      <c r="Y53">
        <v>-0.1011</v>
      </c>
      <c r="Z53">
        <v>41.95</v>
      </c>
      <c r="AA53">
        <v>-0.41539999999999999</v>
      </c>
      <c r="AB53">
        <v>-3646.5</v>
      </c>
      <c r="AC53" t="s">
        <v>46</v>
      </c>
      <c r="AE53" s="69" t="s">
        <v>40</v>
      </c>
      <c r="AF53" s="69" t="s">
        <v>41</v>
      </c>
      <c r="AG53" s="69">
        <v>25000</v>
      </c>
      <c r="AH53" s="70">
        <v>45505</v>
      </c>
      <c r="AI53" s="69" t="s">
        <v>43</v>
      </c>
      <c r="AJ53" s="69">
        <v>3</v>
      </c>
      <c r="AK53" s="71">
        <v>45497.635416666657</v>
      </c>
      <c r="AL53" s="71">
        <v>45504.635416666657</v>
      </c>
      <c r="AM53" s="69">
        <v>21.75</v>
      </c>
      <c r="AN53" s="69">
        <v>-0.1046</v>
      </c>
      <c r="AO53" s="69">
        <v>61.75</v>
      </c>
      <c r="AP53" s="69">
        <v>-0.41020000000000001</v>
      </c>
      <c r="AQ53" s="69">
        <v>-7800</v>
      </c>
      <c r="AR53" s="69" t="s">
        <v>46</v>
      </c>
    </row>
    <row r="54" spans="1:44" x14ac:dyDescent="0.3">
      <c r="A54" t="s">
        <v>40</v>
      </c>
      <c r="B54" t="s">
        <v>51</v>
      </c>
      <c r="C54">
        <v>24400</v>
      </c>
      <c r="D54" t="s">
        <v>119</v>
      </c>
      <c r="E54" t="s">
        <v>54</v>
      </c>
      <c r="F54">
        <v>1</v>
      </c>
      <c r="G54" t="s">
        <v>110</v>
      </c>
      <c r="H54" t="s">
        <v>120</v>
      </c>
      <c r="I54">
        <v>319.10000000000002</v>
      </c>
      <c r="J54">
        <v>-0.42770000000000002</v>
      </c>
      <c r="K54">
        <v>0.85</v>
      </c>
      <c r="L54">
        <v>-8.9999999999999993E-3</v>
      </c>
      <c r="M54">
        <v>-20686.2</v>
      </c>
      <c r="N54" t="s">
        <v>46</v>
      </c>
      <c r="P54" t="s">
        <v>40</v>
      </c>
      <c r="Q54" t="s">
        <v>51</v>
      </c>
      <c r="R54">
        <v>24400</v>
      </c>
      <c r="S54" s="30">
        <v>45533</v>
      </c>
      <c r="T54" t="s">
        <v>54</v>
      </c>
      <c r="U54">
        <v>1</v>
      </c>
      <c r="V54" s="31">
        <v>45497.635416666657</v>
      </c>
      <c r="W54" s="31">
        <v>45532.635416666657</v>
      </c>
      <c r="X54">
        <v>319.10000000000002</v>
      </c>
      <c r="Y54">
        <v>-0.42770000000000002</v>
      </c>
      <c r="Z54">
        <v>0.85</v>
      </c>
      <c r="AA54">
        <v>-8.9999999999999993E-3</v>
      </c>
      <c r="AB54">
        <v>-20686.2</v>
      </c>
      <c r="AC54" t="s">
        <v>46</v>
      </c>
      <c r="AE54" s="69" t="s">
        <v>40</v>
      </c>
      <c r="AF54" s="69" t="s">
        <v>41</v>
      </c>
      <c r="AG54" s="69">
        <v>25500</v>
      </c>
      <c r="AH54" s="70">
        <v>45512</v>
      </c>
      <c r="AI54" s="69" t="s">
        <v>43</v>
      </c>
      <c r="AJ54" s="69">
        <v>3</v>
      </c>
      <c r="AK54" s="71">
        <v>45504.635416666657</v>
      </c>
      <c r="AL54" s="71">
        <v>45511.635416666657</v>
      </c>
      <c r="AM54" s="69">
        <v>22.8</v>
      </c>
      <c r="AN54" s="69">
        <v>-0.11310000000000001</v>
      </c>
      <c r="AO54" s="69">
        <v>0.5</v>
      </c>
      <c r="AP54" s="69">
        <v>-3.8E-3</v>
      </c>
      <c r="AQ54" s="69">
        <v>4348.5</v>
      </c>
      <c r="AR54" s="69" t="s">
        <v>46</v>
      </c>
    </row>
    <row r="55" spans="1:44" x14ac:dyDescent="0.3">
      <c r="A55" t="s">
        <v>40</v>
      </c>
      <c r="B55" t="s">
        <v>51</v>
      </c>
      <c r="C55">
        <v>25500</v>
      </c>
      <c r="D55" t="s">
        <v>119</v>
      </c>
      <c r="E55" t="s">
        <v>43</v>
      </c>
      <c r="F55">
        <v>1</v>
      </c>
      <c r="G55" t="s">
        <v>110</v>
      </c>
      <c r="H55" t="s">
        <v>120</v>
      </c>
      <c r="I55">
        <v>1050</v>
      </c>
      <c r="J55">
        <v>0.87549999999999994</v>
      </c>
      <c r="K55">
        <v>456</v>
      </c>
      <c r="L55">
        <v>0.9899</v>
      </c>
      <c r="M55">
        <v>38610</v>
      </c>
      <c r="N55" t="s">
        <v>46</v>
      </c>
      <c r="P55" t="s">
        <v>40</v>
      </c>
      <c r="Q55" t="s">
        <v>51</v>
      </c>
      <c r="R55">
        <v>25500</v>
      </c>
      <c r="S55" s="30">
        <v>45533</v>
      </c>
      <c r="T55" t="s">
        <v>43</v>
      </c>
      <c r="U55">
        <v>1</v>
      </c>
      <c r="V55" s="31">
        <v>45497.635416666657</v>
      </c>
      <c r="W55" s="31">
        <v>45532.635416666657</v>
      </c>
      <c r="X55">
        <v>1050</v>
      </c>
      <c r="Y55">
        <v>0.87549999999999994</v>
      </c>
      <c r="Z55">
        <v>456</v>
      </c>
      <c r="AA55">
        <v>0.9899</v>
      </c>
      <c r="AB55">
        <v>38610</v>
      </c>
      <c r="AC55" t="s">
        <v>46</v>
      </c>
      <c r="AE55" s="69" t="s">
        <v>40</v>
      </c>
      <c r="AF55" s="69" t="s">
        <v>41</v>
      </c>
      <c r="AG55" s="69">
        <v>24950</v>
      </c>
      <c r="AH55" s="70">
        <v>45518</v>
      </c>
      <c r="AI55" s="69" t="s">
        <v>43</v>
      </c>
      <c r="AJ55" s="69">
        <v>3</v>
      </c>
      <c r="AK55" s="71">
        <v>45511.635416666657</v>
      </c>
      <c r="AL55" s="71">
        <v>45517.635416666657</v>
      </c>
      <c r="AM55" s="69">
        <v>20.85</v>
      </c>
      <c r="AN55" s="69">
        <v>-9.7500000000000003E-2</v>
      </c>
      <c r="AO55" s="69">
        <v>1.65</v>
      </c>
      <c r="AP55" s="69">
        <v>-1.3100000000000001E-2</v>
      </c>
      <c r="AQ55" s="69">
        <v>3744</v>
      </c>
      <c r="AR55" s="69" t="s">
        <v>46</v>
      </c>
    </row>
    <row r="56" spans="1:44" x14ac:dyDescent="0.3">
      <c r="A56" t="s">
        <v>40</v>
      </c>
      <c r="B56" t="s">
        <v>41</v>
      </c>
      <c r="C56">
        <v>25200</v>
      </c>
      <c r="D56" t="s">
        <v>119</v>
      </c>
      <c r="E56" t="s">
        <v>43</v>
      </c>
      <c r="F56">
        <v>3</v>
      </c>
      <c r="G56" t="s">
        <v>118</v>
      </c>
      <c r="H56" t="s">
        <v>120</v>
      </c>
      <c r="I56">
        <v>23.3</v>
      </c>
      <c r="J56">
        <v>-0.13220000000000001</v>
      </c>
      <c r="K56">
        <v>10.8</v>
      </c>
      <c r="L56">
        <v>-0.15029999999999999</v>
      </c>
      <c r="M56">
        <v>2437.5</v>
      </c>
      <c r="N56" t="s">
        <v>46</v>
      </c>
      <c r="P56" t="s">
        <v>40</v>
      </c>
      <c r="Q56" t="s">
        <v>41</v>
      </c>
      <c r="R56">
        <v>25200</v>
      </c>
      <c r="S56" s="30">
        <v>45533</v>
      </c>
      <c r="T56" t="s">
        <v>43</v>
      </c>
      <c r="U56">
        <v>3</v>
      </c>
      <c r="V56" s="31">
        <v>45525.635416666657</v>
      </c>
      <c r="W56" s="31">
        <v>45532.635416666657</v>
      </c>
      <c r="X56">
        <v>23.3</v>
      </c>
      <c r="Y56">
        <v>-0.13220000000000001</v>
      </c>
      <c r="Z56">
        <v>10.8</v>
      </c>
      <c r="AA56">
        <v>-0.15029999999999999</v>
      </c>
      <c r="AB56">
        <v>2437.5</v>
      </c>
      <c r="AC56" t="s">
        <v>46</v>
      </c>
      <c r="AE56" s="69" t="s">
        <v>40</v>
      </c>
      <c r="AF56" s="69" t="s">
        <v>41</v>
      </c>
      <c r="AG56" s="69">
        <v>24800</v>
      </c>
      <c r="AH56" s="70">
        <v>45526</v>
      </c>
      <c r="AI56" s="69" t="s">
        <v>43</v>
      </c>
      <c r="AJ56" s="69">
        <v>3</v>
      </c>
      <c r="AK56" s="71">
        <v>45517.635416666657</v>
      </c>
      <c r="AL56" s="71">
        <v>45525.635416666657</v>
      </c>
      <c r="AM56" s="69">
        <v>23.25</v>
      </c>
      <c r="AN56" s="69">
        <v>-0.1011</v>
      </c>
      <c r="AO56" s="69">
        <v>41.95</v>
      </c>
      <c r="AP56" s="69">
        <v>-0.41539999999999999</v>
      </c>
      <c r="AQ56" s="69">
        <v>-3646.5</v>
      </c>
      <c r="AR56" s="69" t="s">
        <v>46</v>
      </c>
    </row>
    <row r="57" spans="1:44" x14ac:dyDescent="0.3">
      <c r="A57" t="s">
        <v>40</v>
      </c>
      <c r="B57" t="s">
        <v>41</v>
      </c>
      <c r="C57">
        <v>25500</v>
      </c>
      <c r="D57" t="s">
        <v>121</v>
      </c>
      <c r="E57" t="s">
        <v>43</v>
      </c>
      <c r="F57">
        <v>3</v>
      </c>
      <c r="G57" t="s">
        <v>120</v>
      </c>
      <c r="H57" t="s">
        <v>122</v>
      </c>
      <c r="I57">
        <v>21.65</v>
      </c>
      <c r="J57">
        <v>-0.1244</v>
      </c>
      <c r="K57">
        <v>3.35</v>
      </c>
      <c r="L57">
        <v>-4.7500000000000001E-2</v>
      </c>
      <c r="M57">
        <v>3568.5</v>
      </c>
      <c r="N57" t="s">
        <v>46</v>
      </c>
      <c r="P57" t="s">
        <v>40</v>
      </c>
      <c r="Q57" t="s">
        <v>41</v>
      </c>
      <c r="R57">
        <v>25500</v>
      </c>
      <c r="S57" s="30">
        <v>45540</v>
      </c>
      <c r="T57" t="s">
        <v>43</v>
      </c>
      <c r="U57">
        <v>3</v>
      </c>
      <c r="V57" s="31">
        <v>45532.635416666657</v>
      </c>
      <c r="W57" s="31">
        <v>45539.635416666657</v>
      </c>
      <c r="X57">
        <v>21.65</v>
      </c>
      <c r="Y57">
        <v>-0.1244</v>
      </c>
      <c r="Z57">
        <v>3.35</v>
      </c>
      <c r="AA57">
        <v>-4.7500000000000001E-2</v>
      </c>
      <c r="AB57">
        <v>3568.5</v>
      </c>
      <c r="AC57" t="s">
        <v>46</v>
      </c>
      <c r="AE57" s="69" t="s">
        <v>40</v>
      </c>
      <c r="AF57" s="69" t="s">
        <v>51</v>
      </c>
      <c r="AG57" s="69">
        <v>25500</v>
      </c>
      <c r="AH57" s="70">
        <v>45533</v>
      </c>
      <c r="AI57" s="69" t="s">
        <v>43</v>
      </c>
      <c r="AJ57" s="69">
        <v>1</v>
      </c>
      <c r="AK57" s="71">
        <v>45497.635416666657</v>
      </c>
      <c r="AL57" s="71">
        <v>45532.635416666657</v>
      </c>
      <c r="AM57" s="69">
        <v>1050</v>
      </c>
      <c r="AN57" s="69">
        <v>0.87549999999999994</v>
      </c>
      <c r="AO57" s="69">
        <v>456</v>
      </c>
      <c r="AP57" s="69">
        <v>0.9899</v>
      </c>
      <c r="AQ57" s="69">
        <v>38610</v>
      </c>
      <c r="AR57" s="69" t="s">
        <v>46</v>
      </c>
    </row>
    <row r="58" spans="1:44" x14ac:dyDescent="0.3">
      <c r="A58" t="s">
        <v>40</v>
      </c>
      <c r="B58" t="s">
        <v>41</v>
      </c>
      <c r="C58">
        <v>25650</v>
      </c>
      <c r="D58" t="s">
        <v>123</v>
      </c>
      <c r="E58" t="s">
        <v>43</v>
      </c>
      <c r="F58">
        <v>3</v>
      </c>
      <c r="G58" t="s">
        <v>122</v>
      </c>
      <c r="H58" t="s">
        <v>124</v>
      </c>
      <c r="I58">
        <v>21.4</v>
      </c>
      <c r="J58">
        <v>-0.1249</v>
      </c>
      <c r="K58">
        <v>0.75</v>
      </c>
      <c r="L58">
        <v>-7.7000000000000002E-3</v>
      </c>
      <c r="M58">
        <v>4026.7</v>
      </c>
      <c r="N58" t="s">
        <v>46</v>
      </c>
      <c r="P58" t="s">
        <v>40</v>
      </c>
      <c r="Q58" t="s">
        <v>41</v>
      </c>
      <c r="R58">
        <v>25650</v>
      </c>
      <c r="S58" s="30">
        <v>45547</v>
      </c>
      <c r="T58" t="s">
        <v>43</v>
      </c>
      <c r="U58">
        <v>3</v>
      </c>
      <c r="V58" s="31">
        <v>45539.635416666657</v>
      </c>
      <c r="W58" s="31">
        <v>45546.635416666657</v>
      </c>
      <c r="X58">
        <v>21.4</v>
      </c>
      <c r="Y58">
        <v>-0.1249</v>
      </c>
      <c r="Z58">
        <v>0.75</v>
      </c>
      <c r="AA58">
        <v>-7.7000000000000002E-3</v>
      </c>
      <c r="AB58">
        <v>4026.7</v>
      </c>
      <c r="AC58" t="s">
        <v>46</v>
      </c>
      <c r="AE58" s="69" t="s">
        <v>40</v>
      </c>
      <c r="AF58" s="69" t="s">
        <v>51</v>
      </c>
      <c r="AG58" s="69">
        <v>24400</v>
      </c>
      <c r="AH58" s="70">
        <v>45533</v>
      </c>
      <c r="AI58" s="69" t="s">
        <v>54</v>
      </c>
      <c r="AJ58" s="69">
        <v>1</v>
      </c>
      <c r="AK58" s="71">
        <v>45497.635416666657</v>
      </c>
      <c r="AL58" s="71">
        <v>45532.635416666657</v>
      </c>
      <c r="AM58" s="69">
        <v>319.10000000000002</v>
      </c>
      <c r="AN58" s="69">
        <v>-0.42770000000000002</v>
      </c>
      <c r="AO58" s="69">
        <v>0.85</v>
      </c>
      <c r="AP58" s="69">
        <v>-8.9999999999999993E-3</v>
      </c>
      <c r="AQ58" s="69">
        <v>-20686.2</v>
      </c>
      <c r="AR58" s="69" t="s">
        <v>46</v>
      </c>
    </row>
    <row r="59" spans="1:44" x14ac:dyDescent="0.3">
      <c r="A59" t="s">
        <v>40</v>
      </c>
      <c r="B59" t="s">
        <v>41</v>
      </c>
      <c r="C59">
        <v>25400</v>
      </c>
      <c r="D59" t="s">
        <v>125</v>
      </c>
      <c r="E59" t="s">
        <v>43</v>
      </c>
      <c r="F59">
        <v>3</v>
      </c>
      <c r="G59" t="s">
        <v>124</v>
      </c>
      <c r="H59" t="s">
        <v>126</v>
      </c>
      <c r="I59">
        <v>24.8</v>
      </c>
      <c r="J59">
        <v>-0.12759999999999999</v>
      </c>
      <c r="K59">
        <v>100</v>
      </c>
      <c r="L59">
        <v>-0.4834</v>
      </c>
      <c r="M59">
        <v>-14664</v>
      </c>
      <c r="N59" t="s">
        <v>46</v>
      </c>
      <c r="P59" t="s">
        <v>40</v>
      </c>
      <c r="Q59" t="s">
        <v>41</v>
      </c>
      <c r="R59">
        <v>25400</v>
      </c>
      <c r="S59" s="30">
        <v>45554</v>
      </c>
      <c r="T59" t="s">
        <v>43</v>
      </c>
      <c r="U59">
        <v>3</v>
      </c>
      <c r="V59" s="31">
        <v>45546.635416666657</v>
      </c>
      <c r="W59" s="31">
        <v>45553.635416666657</v>
      </c>
      <c r="X59">
        <v>24.8</v>
      </c>
      <c r="Y59">
        <v>-0.12759999999999999</v>
      </c>
      <c r="Z59">
        <v>100</v>
      </c>
      <c r="AA59">
        <v>-0.4834</v>
      </c>
      <c r="AB59">
        <v>-14664</v>
      </c>
      <c r="AC59" t="s">
        <v>46</v>
      </c>
      <c r="AE59" s="69" t="s">
        <v>40</v>
      </c>
      <c r="AF59" s="69" t="s">
        <v>41</v>
      </c>
      <c r="AG59" s="69">
        <v>25200</v>
      </c>
      <c r="AH59" s="70">
        <v>45533</v>
      </c>
      <c r="AI59" s="69" t="s">
        <v>43</v>
      </c>
      <c r="AJ59" s="69">
        <v>3</v>
      </c>
      <c r="AK59" s="71">
        <v>45525.635416666657</v>
      </c>
      <c r="AL59" s="71">
        <v>45532.635416666657</v>
      </c>
      <c r="AM59" s="69">
        <v>23.3</v>
      </c>
      <c r="AN59" s="69">
        <v>-0.13220000000000001</v>
      </c>
      <c r="AO59" s="69">
        <v>10.8</v>
      </c>
      <c r="AP59" s="69">
        <v>-0.15029999999999999</v>
      </c>
      <c r="AQ59" s="69">
        <v>2437.5</v>
      </c>
      <c r="AR59" s="69" t="s">
        <v>46</v>
      </c>
    </row>
    <row r="60" spans="1:44" x14ac:dyDescent="0.3">
      <c r="A60" t="s">
        <v>40</v>
      </c>
      <c r="B60" t="s">
        <v>51</v>
      </c>
      <c r="C60">
        <v>26000</v>
      </c>
      <c r="D60" t="s">
        <v>127</v>
      </c>
      <c r="E60" t="s">
        <v>43</v>
      </c>
      <c r="F60">
        <v>1</v>
      </c>
      <c r="G60" t="s">
        <v>120</v>
      </c>
      <c r="H60" t="s">
        <v>128</v>
      </c>
      <c r="I60">
        <v>884.25</v>
      </c>
      <c r="J60">
        <v>0.86219999999999997</v>
      </c>
      <c r="K60">
        <v>66.099999999999994</v>
      </c>
      <c r="L60">
        <v>0.43640000000000001</v>
      </c>
      <c r="M60">
        <v>53179.8</v>
      </c>
      <c r="N60" t="s">
        <v>129</v>
      </c>
      <c r="P60" t="s">
        <v>40</v>
      </c>
      <c r="Q60" t="s">
        <v>51</v>
      </c>
      <c r="R60">
        <v>26000</v>
      </c>
      <c r="S60" s="30">
        <v>45561</v>
      </c>
      <c r="T60" t="s">
        <v>43</v>
      </c>
      <c r="U60">
        <v>1</v>
      </c>
      <c r="V60" s="31">
        <v>45532.635416666657</v>
      </c>
      <c r="W60" s="31">
        <v>45560.635416666657</v>
      </c>
      <c r="X60">
        <v>884.25</v>
      </c>
      <c r="Y60">
        <v>0.86219999999999997</v>
      </c>
      <c r="Z60">
        <v>66.099999999999994</v>
      </c>
      <c r="AA60">
        <v>0.43640000000000001</v>
      </c>
      <c r="AB60">
        <v>53179.8</v>
      </c>
      <c r="AC60" t="s">
        <v>129</v>
      </c>
      <c r="AE60" s="69" t="s">
        <v>40</v>
      </c>
      <c r="AF60" s="69" t="s">
        <v>41</v>
      </c>
      <c r="AG60" s="69">
        <v>25500</v>
      </c>
      <c r="AH60" s="70">
        <v>45540</v>
      </c>
      <c r="AI60" s="69" t="s">
        <v>43</v>
      </c>
      <c r="AJ60" s="69">
        <v>3</v>
      </c>
      <c r="AK60" s="71">
        <v>45532.635416666657</v>
      </c>
      <c r="AL60" s="71">
        <v>45539.635416666657</v>
      </c>
      <c r="AM60" s="69">
        <v>21.65</v>
      </c>
      <c r="AN60" s="69">
        <v>-0.1244</v>
      </c>
      <c r="AO60" s="69">
        <v>3.35</v>
      </c>
      <c r="AP60" s="69">
        <v>-4.7500000000000001E-2</v>
      </c>
      <c r="AQ60" s="69">
        <v>3568.5</v>
      </c>
      <c r="AR60" s="69" t="s">
        <v>46</v>
      </c>
    </row>
    <row r="61" spans="1:44" x14ac:dyDescent="0.3">
      <c r="A61" t="s">
        <v>40</v>
      </c>
      <c r="B61" t="s">
        <v>51</v>
      </c>
      <c r="C61">
        <v>25050</v>
      </c>
      <c r="D61" t="s">
        <v>127</v>
      </c>
      <c r="E61" t="s">
        <v>54</v>
      </c>
      <c r="F61">
        <v>1</v>
      </c>
      <c r="G61" t="s">
        <v>120</v>
      </c>
      <c r="H61" t="s">
        <v>128</v>
      </c>
      <c r="I61">
        <v>288.89999999999998</v>
      </c>
      <c r="J61">
        <v>-0.43430000000000002</v>
      </c>
      <c r="K61">
        <v>1.95</v>
      </c>
      <c r="L61">
        <v>-1.2500000000000001E-2</v>
      </c>
      <c r="M61">
        <v>-18651.8</v>
      </c>
      <c r="N61" t="s">
        <v>46</v>
      </c>
      <c r="P61" t="s">
        <v>40</v>
      </c>
      <c r="Q61" t="s">
        <v>51</v>
      </c>
      <c r="R61">
        <v>25050</v>
      </c>
      <c r="S61" s="30">
        <v>45561</v>
      </c>
      <c r="T61" t="s">
        <v>54</v>
      </c>
      <c r="U61">
        <v>1</v>
      </c>
      <c r="V61" s="31">
        <v>45532.635416666657</v>
      </c>
      <c r="W61" s="31">
        <v>45560.635416666657</v>
      </c>
      <c r="X61">
        <v>288.89999999999998</v>
      </c>
      <c r="Y61">
        <v>-0.43430000000000002</v>
      </c>
      <c r="Z61">
        <v>1.95</v>
      </c>
      <c r="AA61">
        <v>-1.2500000000000001E-2</v>
      </c>
      <c r="AB61">
        <v>-18651.8</v>
      </c>
      <c r="AC61" t="s">
        <v>46</v>
      </c>
      <c r="AE61" s="69" t="s">
        <v>40</v>
      </c>
      <c r="AF61" s="69" t="s">
        <v>41</v>
      </c>
      <c r="AG61" s="69">
        <v>25650</v>
      </c>
      <c r="AH61" s="70">
        <v>45547</v>
      </c>
      <c r="AI61" s="69" t="s">
        <v>43</v>
      </c>
      <c r="AJ61" s="69">
        <v>3</v>
      </c>
      <c r="AK61" s="71">
        <v>45539.635416666657</v>
      </c>
      <c r="AL61" s="71">
        <v>45546.635416666657</v>
      </c>
      <c r="AM61" s="69">
        <v>21.4</v>
      </c>
      <c r="AN61" s="69">
        <v>-0.1249</v>
      </c>
      <c r="AO61" s="69">
        <v>0.75</v>
      </c>
      <c r="AP61" s="69">
        <v>-7.7000000000000002E-3</v>
      </c>
      <c r="AQ61" s="69">
        <v>4026.7</v>
      </c>
      <c r="AR61" s="69" t="s">
        <v>46</v>
      </c>
    </row>
    <row r="62" spans="1:44" x14ac:dyDescent="0.3">
      <c r="A62" t="s">
        <v>40</v>
      </c>
      <c r="B62" t="s">
        <v>41</v>
      </c>
      <c r="C62">
        <v>25950</v>
      </c>
      <c r="D62" t="s">
        <v>127</v>
      </c>
      <c r="E62" t="s">
        <v>43</v>
      </c>
      <c r="F62">
        <v>3</v>
      </c>
      <c r="G62" t="s">
        <v>126</v>
      </c>
      <c r="H62" t="s">
        <v>128</v>
      </c>
      <c r="I62">
        <v>24.15</v>
      </c>
      <c r="J62">
        <v>-0.115</v>
      </c>
      <c r="K62">
        <v>102.85</v>
      </c>
      <c r="L62">
        <v>-0.66549999999999998</v>
      </c>
      <c r="M62">
        <v>-15346.5</v>
      </c>
      <c r="N62" t="s">
        <v>46</v>
      </c>
      <c r="P62" t="s">
        <v>40</v>
      </c>
      <c r="Q62" t="s">
        <v>41</v>
      </c>
      <c r="R62">
        <v>25950</v>
      </c>
      <c r="S62" s="30">
        <v>45561</v>
      </c>
      <c r="T62" t="s">
        <v>43</v>
      </c>
      <c r="U62">
        <v>3</v>
      </c>
      <c r="V62" s="31">
        <v>45553.635416666657</v>
      </c>
      <c r="W62" s="31">
        <v>45560.635416666657</v>
      </c>
      <c r="X62">
        <v>24.15</v>
      </c>
      <c r="Y62">
        <v>-0.115</v>
      </c>
      <c r="Z62">
        <v>102.85</v>
      </c>
      <c r="AA62">
        <v>-0.66549999999999998</v>
      </c>
      <c r="AB62">
        <v>-15346.5</v>
      </c>
      <c r="AC62" t="s">
        <v>46</v>
      </c>
      <c r="AE62" s="69" t="s">
        <v>40</v>
      </c>
      <c r="AF62" s="69" t="s">
        <v>41</v>
      </c>
      <c r="AG62" s="69">
        <v>25400</v>
      </c>
      <c r="AH62" s="70">
        <v>45554</v>
      </c>
      <c r="AI62" s="69" t="s">
        <v>43</v>
      </c>
      <c r="AJ62" s="69">
        <v>3</v>
      </c>
      <c r="AK62" s="71">
        <v>45546.635416666657</v>
      </c>
      <c r="AL62" s="71">
        <v>45553.635416666657</v>
      </c>
      <c r="AM62" s="69">
        <v>24.8</v>
      </c>
      <c r="AN62" s="69">
        <v>-0.12759999999999999</v>
      </c>
      <c r="AO62" s="69">
        <v>100</v>
      </c>
      <c r="AP62" s="69">
        <v>-0.4834</v>
      </c>
      <c r="AQ62" s="69">
        <v>-14664</v>
      </c>
      <c r="AR62" s="69" t="s">
        <v>46</v>
      </c>
    </row>
    <row r="63" spans="1:44" x14ac:dyDescent="0.3">
      <c r="A63" t="s">
        <v>40</v>
      </c>
      <c r="B63" t="s">
        <v>41</v>
      </c>
      <c r="C63">
        <v>26550</v>
      </c>
      <c r="D63" t="s">
        <v>130</v>
      </c>
      <c r="E63" t="s">
        <v>43</v>
      </c>
      <c r="F63">
        <v>3</v>
      </c>
      <c r="G63" t="s">
        <v>128</v>
      </c>
      <c r="H63" t="s">
        <v>131</v>
      </c>
      <c r="I63">
        <v>19.850000000000001</v>
      </c>
      <c r="J63">
        <v>-0.1072</v>
      </c>
      <c r="K63">
        <v>0.85</v>
      </c>
      <c r="L63">
        <v>-8.3999999999999995E-3</v>
      </c>
      <c r="M63">
        <v>3705</v>
      </c>
      <c r="N63" t="s">
        <v>46</v>
      </c>
      <c r="P63" t="s">
        <v>40</v>
      </c>
      <c r="Q63" t="s">
        <v>41</v>
      </c>
      <c r="R63">
        <v>26550</v>
      </c>
      <c r="S63" s="30">
        <v>45568</v>
      </c>
      <c r="T63" t="s">
        <v>43</v>
      </c>
      <c r="U63">
        <v>3</v>
      </c>
      <c r="V63" s="31">
        <v>45560.635416666657</v>
      </c>
      <c r="W63" s="31">
        <v>45566.635416666657</v>
      </c>
      <c r="X63">
        <v>19.850000000000001</v>
      </c>
      <c r="Y63">
        <v>-0.1072</v>
      </c>
      <c r="Z63">
        <v>0.85</v>
      </c>
      <c r="AA63">
        <v>-8.3999999999999995E-3</v>
      </c>
      <c r="AB63">
        <v>3705</v>
      </c>
      <c r="AC63" t="s">
        <v>46</v>
      </c>
      <c r="AE63" s="69" t="s">
        <v>40</v>
      </c>
      <c r="AF63" s="69" t="s">
        <v>51</v>
      </c>
      <c r="AG63" s="69">
        <v>26000</v>
      </c>
      <c r="AH63" s="70">
        <v>45561</v>
      </c>
      <c r="AI63" s="69" t="s">
        <v>43</v>
      </c>
      <c r="AJ63" s="69">
        <v>1</v>
      </c>
      <c r="AK63" s="71">
        <v>45532.635416666657</v>
      </c>
      <c r="AL63" s="71">
        <v>45560.635416666657</v>
      </c>
      <c r="AM63" s="69">
        <v>884.25</v>
      </c>
      <c r="AN63" s="69">
        <v>0.86219999999999997</v>
      </c>
      <c r="AO63" s="69">
        <v>66.099999999999994</v>
      </c>
      <c r="AP63" s="69">
        <v>0.43640000000000001</v>
      </c>
      <c r="AQ63" s="69">
        <v>53179.8</v>
      </c>
      <c r="AR63" s="69" t="s">
        <v>129</v>
      </c>
    </row>
    <row r="64" spans="1:44" x14ac:dyDescent="0.3">
      <c r="A64" t="s">
        <v>40</v>
      </c>
      <c r="B64" t="s">
        <v>41</v>
      </c>
      <c r="C64">
        <v>26350</v>
      </c>
      <c r="D64" t="s">
        <v>132</v>
      </c>
      <c r="E64" t="s">
        <v>43</v>
      </c>
      <c r="F64">
        <v>3</v>
      </c>
      <c r="G64" t="s">
        <v>131</v>
      </c>
      <c r="H64" t="s">
        <v>133</v>
      </c>
      <c r="I64">
        <v>23.5</v>
      </c>
      <c r="J64">
        <v>-0.1152</v>
      </c>
      <c r="K64">
        <v>0.55000000000000004</v>
      </c>
      <c r="L64">
        <v>-3.5999999999999999E-3</v>
      </c>
      <c r="M64">
        <v>4475.2</v>
      </c>
      <c r="N64" t="s">
        <v>46</v>
      </c>
      <c r="P64" t="s">
        <v>40</v>
      </c>
      <c r="Q64" t="s">
        <v>41</v>
      </c>
      <c r="R64">
        <v>26350</v>
      </c>
      <c r="S64" s="30">
        <v>45575</v>
      </c>
      <c r="T64" t="s">
        <v>43</v>
      </c>
      <c r="U64">
        <v>3</v>
      </c>
      <c r="V64" s="31">
        <v>45566.635416666657</v>
      </c>
      <c r="W64" s="31">
        <v>45574.635416666657</v>
      </c>
      <c r="X64">
        <v>23.5</v>
      </c>
      <c r="Y64">
        <v>-0.1152</v>
      </c>
      <c r="Z64">
        <v>0.55000000000000004</v>
      </c>
      <c r="AA64">
        <v>-3.5999999999999999E-3</v>
      </c>
      <c r="AB64">
        <v>4475.2</v>
      </c>
      <c r="AC64" t="s">
        <v>46</v>
      </c>
      <c r="AE64" s="69" t="s">
        <v>40</v>
      </c>
      <c r="AF64" s="69" t="s">
        <v>51</v>
      </c>
      <c r="AG64" s="69">
        <v>25050</v>
      </c>
      <c r="AH64" s="70">
        <v>45561</v>
      </c>
      <c r="AI64" s="69" t="s">
        <v>54</v>
      </c>
      <c r="AJ64" s="69">
        <v>1</v>
      </c>
      <c r="AK64" s="71">
        <v>45532.635416666657</v>
      </c>
      <c r="AL64" s="71">
        <v>45560.635416666657</v>
      </c>
      <c r="AM64" s="69">
        <v>288.89999999999998</v>
      </c>
      <c r="AN64" s="69">
        <v>-0.43430000000000002</v>
      </c>
      <c r="AO64" s="69">
        <v>1.95</v>
      </c>
      <c r="AP64" s="69">
        <v>-1.2500000000000001E-2</v>
      </c>
      <c r="AQ64" s="69">
        <v>-18651.8</v>
      </c>
      <c r="AR64" s="69" t="s">
        <v>129</v>
      </c>
    </row>
    <row r="65" spans="1:44" x14ac:dyDescent="0.3">
      <c r="A65" t="s">
        <v>40</v>
      </c>
      <c r="B65" t="s">
        <v>41</v>
      </c>
      <c r="C65">
        <v>25650</v>
      </c>
      <c r="D65" t="s">
        <v>134</v>
      </c>
      <c r="E65" t="s">
        <v>43</v>
      </c>
      <c r="F65">
        <v>3</v>
      </c>
      <c r="G65" t="s">
        <v>133</v>
      </c>
      <c r="H65" t="s">
        <v>135</v>
      </c>
      <c r="I65">
        <v>23</v>
      </c>
      <c r="J65">
        <v>-0.1</v>
      </c>
      <c r="K65">
        <v>0.9</v>
      </c>
      <c r="L65">
        <v>-9.4000000000000004E-3</v>
      </c>
      <c r="M65">
        <v>4309.5</v>
      </c>
      <c r="N65" t="s">
        <v>46</v>
      </c>
      <c r="P65" t="s">
        <v>40</v>
      </c>
      <c r="Q65" t="s">
        <v>41</v>
      </c>
      <c r="R65">
        <v>25650</v>
      </c>
      <c r="S65" s="30">
        <v>45582</v>
      </c>
      <c r="T65" t="s">
        <v>43</v>
      </c>
      <c r="U65">
        <v>3</v>
      </c>
      <c r="V65" s="31">
        <v>45574.635416666657</v>
      </c>
      <c r="W65" s="31">
        <v>45581.635416666657</v>
      </c>
      <c r="X65">
        <v>23</v>
      </c>
      <c r="Y65">
        <v>-0.1</v>
      </c>
      <c r="Z65">
        <v>0.9</v>
      </c>
      <c r="AA65">
        <v>-9.4000000000000004E-3</v>
      </c>
      <c r="AB65">
        <v>4309.5</v>
      </c>
      <c r="AC65" t="s">
        <v>46</v>
      </c>
      <c r="AE65" s="69" t="s">
        <v>40</v>
      </c>
      <c r="AF65" s="69" t="s">
        <v>41</v>
      </c>
      <c r="AG65" s="69">
        <v>25950</v>
      </c>
      <c r="AH65" s="70">
        <v>45561</v>
      </c>
      <c r="AI65" s="69" t="s">
        <v>43</v>
      </c>
      <c r="AJ65" s="69">
        <v>3</v>
      </c>
      <c r="AK65" s="71">
        <v>45553.635416666657</v>
      </c>
      <c r="AL65" s="71">
        <v>45560.635416666657</v>
      </c>
      <c r="AM65" s="69">
        <v>24.15</v>
      </c>
      <c r="AN65" s="69">
        <v>-0.115</v>
      </c>
      <c r="AO65" s="69">
        <v>102.85</v>
      </c>
      <c r="AP65" s="69">
        <v>-0.66549999999999998</v>
      </c>
      <c r="AQ65" s="69">
        <v>-15346.5</v>
      </c>
      <c r="AR65" s="69" t="s">
        <v>46</v>
      </c>
    </row>
    <row r="66" spans="1:44" x14ac:dyDescent="0.3">
      <c r="A66" t="s">
        <v>40</v>
      </c>
      <c r="B66" t="s">
        <v>41</v>
      </c>
      <c r="C66">
        <v>25500</v>
      </c>
      <c r="D66" t="s">
        <v>136</v>
      </c>
      <c r="E66" t="s">
        <v>43</v>
      </c>
      <c r="F66">
        <v>3</v>
      </c>
      <c r="G66" t="s">
        <v>135</v>
      </c>
      <c r="H66" t="s">
        <v>137</v>
      </c>
      <c r="I66">
        <v>20.8</v>
      </c>
      <c r="J66">
        <v>-0.1091</v>
      </c>
      <c r="K66">
        <v>0.55000000000000004</v>
      </c>
      <c r="L66">
        <v>-4.4000000000000003E-3</v>
      </c>
      <c r="M66">
        <v>3948.8</v>
      </c>
      <c r="N66" t="s">
        <v>46</v>
      </c>
      <c r="P66" t="s">
        <v>40</v>
      </c>
      <c r="Q66" t="s">
        <v>41</v>
      </c>
      <c r="R66">
        <v>25500</v>
      </c>
      <c r="S66" s="30">
        <v>45589</v>
      </c>
      <c r="T66" t="s">
        <v>43</v>
      </c>
      <c r="U66">
        <v>3</v>
      </c>
      <c r="V66" s="31">
        <v>45581.635416666657</v>
      </c>
      <c r="W66" s="31">
        <v>45588.635416666657</v>
      </c>
      <c r="X66">
        <v>20.8</v>
      </c>
      <c r="Y66">
        <v>-0.1091</v>
      </c>
      <c r="Z66">
        <v>0.55000000000000004</v>
      </c>
      <c r="AA66">
        <v>-4.4000000000000003E-3</v>
      </c>
      <c r="AB66">
        <v>3948.8</v>
      </c>
      <c r="AC66" t="s">
        <v>46</v>
      </c>
      <c r="AE66" s="69" t="s">
        <v>40</v>
      </c>
      <c r="AF66" s="69" t="s">
        <v>41</v>
      </c>
      <c r="AG66" s="69">
        <v>26550</v>
      </c>
      <c r="AH66" s="70">
        <v>45568</v>
      </c>
      <c r="AI66" s="69" t="s">
        <v>43</v>
      </c>
      <c r="AJ66" s="69">
        <v>3</v>
      </c>
      <c r="AK66" s="71">
        <v>45560.635416666657</v>
      </c>
      <c r="AL66" s="71">
        <v>45566.635416666657</v>
      </c>
      <c r="AM66" s="69">
        <v>19.850000000000001</v>
      </c>
      <c r="AN66" s="69">
        <v>-0.1072</v>
      </c>
      <c r="AO66" s="69">
        <v>0.85</v>
      </c>
      <c r="AP66" s="69">
        <v>-8.3999999999999995E-3</v>
      </c>
      <c r="AQ66" s="69">
        <v>3705</v>
      </c>
      <c r="AR66" s="69" t="s">
        <v>46</v>
      </c>
    </row>
    <row r="67" spans="1:44" x14ac:dyDescent="0.3">
      <c r="A67" t="s">
        <v>40</v>
      </c>
      <c r="B67" t="s">
        <v>51</v>
      </c>
      <c r="C67">
        <v>26000</v>
      </c>
      <c r="D67" t="s">
        <v>138</v>
      </c>
      <c r="E67" t="s">
        <v>54</v>
      </c>
      <c r="F67">
        <v>1</v>
      </c>
      <c r="G67" t="s">
        <v>128</v>
      </c>
      <c r="H67" t="s">
        <v>139</v>
      </c>
      <c r="I67">
        <v>328.95</v>
      </c>
      <c r="J67">
        <v>-0.42009999999999997</v>
      </c>
      <c r="K67">
        <v>1633.95</v>
      </c>
      <c r="L67">
        <v>-0.99709999999999999</v>
      </c>
      <c r="M67">
        <v>84825</v>
      </c>
      <c r="N67" t="s">
        <v>46</v>
      </c>
      <c r="P67" t="s">
        <v>40</v>
      </c>
      <c r="Q67" t="s">
        <v>51</v>
      </c>
      <c r="R67">
        <v>26000</v>
      </c>
      <c r="S67" s="30">
        <v>45596</v>
      </c>
      <c r="T67" t="s">
        <v>54</v>
      </c>
      <c r="U67">
        <v>1</v>
      </c>
      <c r="V67" s="31">
        <v>45560.635416666657</v>
      </c>
      <c r="W67" s="31">
        <v>45595.635416666657</v>
      </c>
      <c r="X67">
        <v>328.95</v>
      </c>
      <c r="Y67">
        <v>-0.42009999999999997</v>
      </c>
      <c r="Z67">
        <v>1633.95</v>
      </c>
      <c r="AA67">
        <v>-0.99709999999999999</v>
      </c>
      <c r="AB67">
        <v>84825</v>
      </c>
      <c r="AC67" t="s">
        <v>46</v>
      </c>
      <c r="AE67" s="69" t="s">
        <v>40</v>
      </c>
      <c r="AF67" s="69" t="s">
        <v>41</v>
      </c>
      <c r="AG67" s="69">
        <v>26350</v>
      </c>
      <c r="AH67" s="70">
        <v>45575</v>
      </c>
      <c r="AI67" s="69" t="s">
        <v>43</v>
      </c>
      <c r="AJ67" s="69">
        <v>3</v>
      </c>
      <c r="AK67" s="71">
        <v>45566.635416666657</v>
      </c>
      <c r="AL67" s="71">
        <v>45574.635416666657</v>
      </c>
      <c r="AM67" s="69">
        <v>23.5</v>
      </c>
      <c r="AN67" s="69">
        <v>-0.1152</v>
      </c>
      <c r="AO67" s="69">
        <v>0.55000000000000004</v>
      </c>
      <c r="AP67" s="69">
        <v>-3.5999999999999999E-3</v>
      </c>
      <c r="AQ67" s="69">
        <v>4475.2</v>
      </c>
      <c r="AR67" s="69" t="s">
        <v>46</v>
      </c>
    </row>
    <row r="68" spans="1:44" x14ac:dyDescent="0.3">
      <c r="A68" t="s">
        <v>40</v>
      </c>
      <c r="B68" t="s">
        <v>51</v>
      </c>
      <c r="C68">
        <v>27000</v>
      </c>
      <c r="D68" t="s">
        <v>138</v>
      </c>
      <c r="E68" t="s">
        <v>43</v>
      </c>
      <c r="F68">
        <v>1</v>
      </c>
      <c r="G68" t="s">
        <v>128</v>
      </c>
      <c r="H68" t="s">
        <v>139</v>
      </c>
      <c r="I68">
        <v>922</v>
      </c>
      <c r="J68">
        <v>0.83140000000000003</v>
      </c>
      <c r="K68">
        <v>2640</v>
      </c>
      <c r="L68">
        <v>0.99819999999999998</v>
      </c>
      <c r="M68">
        <v>-111670</v>
      </c>
      <c r="N68" t="s">
        <v>46</v>
      </c>
      <c r="P68" t="s">
        <v>40</v>
      </c>
      <c r="Q68" t="s">
        <v>51</v>
      </c>
      <c r="R68">
        <v>26700</v>
      </c>
      <c r="S68" s="30">
        <v>45596</v>
      </c>
      <c r="T68" t="s">
        <v>43</v>
      </c>
      <c r="U68">
        <v>1</v>
      </c>
      <c r="V68" s="31">
        <v>45560.635416666657</v>
      </c>
      <c r="W68" s="31">
        <v>45595.635416666657</v>
      </c>
      <c r="X68">
        <v>700.35</v>
      </c>
      <c r="Y68">
        <v>0.72170000000000001</v>
      </c>
      <c r="Z68">
        <v>2338.75</v>
      </c>
      <c r="AA68">
        <v>0.99780000000000002</v>
      </c>
      <c r="AB68">
        <v>-106496</v>
      </c>
      <c r="AC68" t="s">
        <v>46</v>
      </c>
      <c r="AE68" s="69" t="s">
        <v>40</v>
      </c>
      <c r="AF68" s="69" t="s">
        <v>41</v>
      </c>
      <c r="AG68" s="69">
        <v>25650</v>
      </c>
      <c r="AH68" s="70">
        <v>45582</v>
      </c>
      <c r="AI68" s="69" t="s">
        <v>43</v>
      </c>
      <c r="AJ68" s="69">
        <v>3</v>
      </c>
      <c r="AK68" s="71">
        <v>45574.635416666657</v>
      </c>
      <c r="AL68" s="71">
        <v>45581.635416666657</v>
      </c>
      <c r="AM68" s="69">
        <v>23</v>
      </c>
      <c r="AN68" s="69">
        <v>-0.1</v>
      </c>
      <c r="AO68" s="69">
        <v>0.9</v>
      </c>
      <c r="AP68" s="69">
        <v>-9.4000000000000004E-3</v>
      </c>
      <c r="AQ68" s="69">
        <v>4309.5</v>
      </c>
      <c r="AR68" s="69" t="s">
        <v>46</v>
      </c>
    </row>
    <row r="69" spans="1:44" x14ac:dyDescent="0.3">
      <c r="A69" t="s">
        <v>40</v>
      </c>
      <c r="B69" t="s">
        <v>41</v>
      </c>
      <c r="C69">
        <v>25050</v>
      </c>
      <c r="D69" t="s">
        <v>138</v>
      </c>
      <c r="E69" t="s">
        <v>43</v>
      </c>
      <c r="F69">
        <v>3</v>
      </c>
      <c r="G69" t="s">
        <v>137</v>
      </c>
      <c r="H69" t="s">
        <v>139</v>
      </c>
      <c r="I69">
        <v>21.4</v>
      </c>
      <c r="J69">
        <v>-0.10100000000000001</v>
      </c>
      <c r="K69">
        <v>0.7</v>
      </c>
      <c r="L69">
        <v>-7.4999999999999997E-3</v>
      </c>
      <c r="M69">
        <v>4036.5</v>
      </c>
      <c r="N69" t="s">
        <v>46</v>
      </c>
      <c r="P69" t="s">
        <v>40</v>
      </c>
      <c r="Q69" t="s">
        <v>41</v>
      </c>
      <c r="R69">
        <v>25050</v>
      </c>
      <c r="S69" s="30">
        <v>45596</v>
      </c>
      <c r="T69" t="s">
        <v>43</v>
      </c>
      <c r="U69">
        <v>3</v>
      </c>
      <c r="V69" s="31">
        <v>45588.635416666657</v>
      </c>
      <c r="W69" s="31">
        <v>45595.635416666657</v>
      </c>
      <c r="X69">
        <v>21.4</v>
      </c>
      <c r="Y69">
        <v>-0.10100000000000001</v>
      </c>
      <c r="Z69">
        <v>0.7</v>
      </c>
      <c r="AA69">
        <v>-7.4999999999999997E-3</v>
      </c>
      <c r="AB69">
        <v>4036.5</v>
      </c>
      <c r="AC69" t="s">
        <v>46</v>
      </c>
      <c r="AE69" s="69" t="s">
        <v>40</v>
      </c>
      <c r="AF69" s="69" t="s">
        <v>41</v>
      </c>
      <c r="AG69" s="69">
        <v>25500</v>
      </c>
      <c r="AH69" s="70">
        <v>45589</v>
      </c>
      <c r="AI69" s="69" t="s">
        <v>43</v>
      </c>
      <c r="AJ69" s="69">
        <v>3</v>
      </c>
      <c r="AK69" s="71">
        <v>45581.635416666657</v>
      </c>
      <c r="AL69" s="71">
        <v>45588.635416666657</v>
      </c>
      <c r="AM69" s="69">
        <v>20.8</v>
      </c>
      <c r="AN69" s="69">
        <v>-0.1091</v>
      </c>
      <c r="AO69" s="69">
        <v>0.55000000000000004</v>
      </c>
      <c r="AP69" s="69">
        <v>-4.4000000000000003E-3</v>
      </c>
      <c r="AQ69" s="69">
        <v>3948.8</v>
      </c>
      <c r="AR69" s="69" t="s">
        <v>46</v>
      </c>
    </row>
    <row r="70" spans="1:44" s="28" customFormat="1" x14ac:dyDescent="0.3">
      <c r="A70" t="s">
        <v>40</v>
      </c>
      <c r="B70" t="s">
        <v>41</v>
      </c>
      <c r="C70">
        <v>25050</v>
      </c>
      <c r="D70" t="s">
        <v>140</v>
      </c>
      <c r="E70" t="s">
        <v>43</v>
      </c>
      <c r="F70">
        <v>3</v>
      </c>
      <c r="G70" t="s">
        <v>139</v>
      </c>
      <c r="H70" t="s">
        <v>141</v>
      </c>
      <c r="I70">
        <v>27.9</v>
      </c>
      <c r="J70">
        <v>-0.1086</v>
      </c>
      <c r="K70">
        <v>1.45</v>
      </c>
      <c r="L70">
        <v>-1.5699999999999999E-2</v>
      </c>
      <c r="M70">
        <v>5157.8</v>
      </c>
      <c r="N70" t="s">
        <v>46</v>
      </c>
      <c r="P70" t="s">
        <v>40</v>
      </c>
      <c r="Q70" t="s">
        <v>41</v>
      </c>
      <c r="R70">
        <v>25050</v>
      </c>
      <c r="S70" s="30">
        <v>45603</v>
      </c>
      <c r="T70" t="s">
        <v>43</v>
      </c>
      <c r="U70">
        <v>3</v>
      </c>
      <c r="V70" s="31">
        <v>45595.635416666657</v>
      </c>
      <c r="W70" s="31">
        <v>45602.635416666657</v>
      </c>
      <c r="X70">
        <v>27.9</v>
      </c>
      <c r="Y70">
        <v>-0.1086</v>
      </c>
      <c r="Z70">
        <v>1.45</v>
      </c>
      <c r="AA70">
        <v>-1.5699999999999999E-2</v>
      </c>
      <c r="AB70">
        <v>5157.8</v>
      </c>
      <c r="AC70" t="s">
        <v>46</v>
      </c>
      <c r="AE70" s="69" t="s">
        <v>40</v>
      </c>
      <c r="AF70" s="69" t="s">
        <v>51</v>
      </c>
      <c r="AG70" s="69">
        <v>26700</v>
      </c>
      <c r="AH70" s="70">
        <v>45596</v>
      </c>
      <c r="AI70" s="69" t="s">
        <v>43</v>
      </c>
      <c r="AJ70" s="69">
        <v>1</v>
      </c>
      <c r="AK70" s="71">
        <v>45560.635416666657</v>
      </c>
      <c r="AL70" s="71">
        <v>45595.635416666657</v>
      </c>
      <c r="AM70" s="69">
        <v>700.35</v>
      </c>
      <c r="AN70" s="69">
        <v>0.72170000000000001</v>
      </c>
      <c r="AO70" s="69">
        <v>2338.75</v>
      </c>
      <c r="AP70" s="69">
        <v>0.99780000000000002</v>
      </c>
      <c r="AQ70" s="69">
        <v>-106496</v>
      </c>
      <c r="AR70" s="69" t="s">
        <v>46</v>
      </c>
    </row>
    <row r="71" spans="1:44" s="28" customFormat="1" x14ac:dyDescent="0.3">
      <c r="A71" t="s">
        <v>40</v>
      </c>
      <c r="B71" t="s">
        <v>41</v>
      </c>
      <c r="C71">
        <v>25050</v>
      </c>
      <c r="D71" t="s">
        <v>142</v>
      </c>
      <c r="E71" t="s">
        <v>43</v>
      </c>
      <c r="F71">
        <v>3</v>
      </c>
      <c r="G71" t="s">
        <v>141</v>
      </c>
      <c r="H71" t="s">
        <v>143</v>
      </c>
      <c r="I71">
        <v>31.5</v>
      </c>
      <c r="J71">
        <v>-0.13339999999999999</v>
      </c>
      <c r="K71">
        <v>0.95</v>
      </c>
      <c r="L71">
        <v>-5.4000000000000003E-3</v>
      </c>
      <c r="M71">
        <v>5957.2</v>
      </c>
      <c r="N71" t="s">
        <v>46</v>
      </c>
      <c r="P71" t="s">
        <v>40</v>
      </c>
      <c r="Q71" t="s">
        <v>41</v>
      </c>
      <c r="R71">
        <v>25050</v>
      </c>
      <c r="S71" s="30">
        <v>45610</v>
      </c>
      <c r="T71" t="s">
        <v>43</v>
      </c>
      <c r="U71">
        <v>3</v>
      </c>
      <c r="V71" s="31">
        <v>45602.635416666657</v>
      </c>
      <c r="W71" s="31">
        <v>45609.635416666657</v>
      </c>
      <c r="X71">
        <v>31.5</v>
      </c>
      <c r="Y71">
        <v>-0.13339999999999999</v>
      </c>
      <c r="Z71">
        <v>0.95</v>
      </c>
      <c r="AA71">
        <v>-5.4000000000000003E-3</v>
      </c>
      <c r="AB71">
        <v>5957.2</v>
      </c>
      <c r="AC71" t="s">
        <v>46</v>
      </c>
      <c r="AE71" s="69" t="s">
        <v>40</v>
      </c>
      <c r="AF71" s="69" t="s">
        <v>51</v>
      </c>
      <c r="AG71" s="69">
        <v>26000</v>
      </c>
      <c r="AH71" s="70">
        <v>45596</v>
      </c>
      <c r="AI71" s="69" t="s">
        <v>54</v>
      </c>
      <c r="AJ71" s="69">
        <v>1</v>
      </c>
      <c r="AK71" s="71">
        <v>45560.635416666657</v>
      </c>
      <c r="AL71" s="71">
        <v>45595.635416666657</v>
      </c>
      <c r="AM71" s="69">
        <v>328.95</v>
      </c>
      <c r="AN71" s="69">
        <v>-0.42009999999999997</v>
      </c>
      <c r="AO71" s="69">
        <v>1633.95</v>
      </c>
      <c r="AP71" s="69">
        <v>-0.99709999999999999</v>
      </c>
      <c r="AQ71" s="69">
        <v>84825</v>
      </c>
      <c r="AR71" s="69" t="s">
        <v>46</v>
      </c>
    </row>
    <row r="72" spans="1:44" s="28" customFormat="1" x14ac:dyDescent="0.3">
      <c r="A72" t="s">
        <v>40</v>
      </c>
      <c r="B72" t="s">
        <v>41</v>
      </c>
      <c r="C72">
        <v>24150</v>
      </c>
      <c r="D72" t="s">
        <v>144</v>
      </c>
      <c r="E72" t="s">
        <v>43</v>
      </c>
      <c r="F72">
        <v>3</v>
      </c>
      <c r="G72" t="s">
        <v>143</v>
      </c>
      <c r="H72" t="s">
        <v>145</v>
      </c>
      <c r="I72">
        <v>30.65</v>
      </c>
      <c r="J72">
        <v>-0.1295</v>
      </c>
      <c r="K72">
        <v>1.6</v>
      </c>
      <c r="L72">
        <v>-1.5100000000000001E-2</v>
      </c>
      <c r="M72">
        <v>5664.7</v>
      </c>
      <c r="N72" t="s">
        <v>46</v>
      </c>
      <c r="P72" t="s">
        <v>40</v>
      </c>
      <c r="Q72" t="s">
        <v>41</v>
      </c>
      <c r="R72">
        <v>24150</v>
      </c>
      <c r="S72" s="30">
        <v>45617</v>
      </c>
      <c r="T72" t="s">
        <v>43</v>
      </c>
      <c r="U72">
        <v>3</v>
      </c>
      <c r="V72" s="31">
        <v>45609.635416666657</v>
      </c>
      <c r="W72" s="31">
        <v>45615.635416666657</v>
      </c>
      <c r="X72">
        <v>30.65</v>
      </c>
      <c r="Y72">
        <v>-0.1295</v>
      </c>
      <c r="Z72">
        <v>1.6</v>
      </c>
      <c r="AA72">
        <v>-1.5100000000000001E-2</v>
      </c>
      <c r="AB72">
        <v>5664.7</v>
      </c>
      <c r="AC72" t="s">
        <v>46</v>
      </c>
      <c r="AE72" s="69" t="s">
        <v>40</v>
      </c>
      <c r="AF72" s="69" t="s">
        <v>41</v>
      </c>
      <c r="AG72" s="69">
        <v>25050</v>
      </c>
      <c r="AH72" s="70">
        <v>45596</v>
      </c>
      <c r="AI72" s="69" t="s">
        <v>43</v>
      </c>
      <c r="AJ72" s="69">
        <v>3</v>
      </c>
      <c r="AK72" s="71">
        <v>45588.635416666657</v>
      </c>
      <c r="AL72" s="71">
        <v>45595.635416666657</v>
      </c>
      <c r="AM72" s="69">
        <v>21.4</v>
      </c>
      <c r="AN72" s="69">
        <v>-0.10100000000000001</v>
      </c>
      <c r="AO72" s="69">
        <v>0.7</v>
      </c>
      <c r="AP72" s="69">
        <v>-7.4999999999999997E-3</v>
      </c>
      <c r="AQ72" s="69">
        <v>4036.5</v>
      </c>
      <c r="AR72" s="69" t="s">
        <v>46</v>
      </c>
    </row>
    <row r="73" spans="1:44" s="28" customFormat="1" x14ac:dyDescent="0.3">
      <c r="A73" t="s">
        <v>40</v>
      </c>
      <c r="B73" t="s">
        <v>51</v>
      </c>
      <c r="C73">
        <v>24350</v>
      </c>
      <c r="D73" t="s">
        <v>146</v>
      </c>
      <c r="E73" t="s">
        <v>54</v>
      </c>
      <c r="F73">
        <v>1</v>
      </c>
      <c r="G73" t="s">
        <v>139</v>
      </c>
      <c r="H73" t="s">
        <v>147</v>
      </c>
      <c r="I73">
        <v>345.55</v>
      </c>
      <c r="J73">
        <v>-0.44790000000000002</v>
      </c>
      <c r="K73">
        <v>98.35</v>
      </c>
      <c r="L73">
        <v>-0.64539999999999997</v>
      </c>
      <c r="M73">
        <v>-16068</v>
      </c>
      <c r="N73" t="s">
        <v>46</v>
      </c>
      <c r="P73" t="s">
        <v>40</v>
      </c>
      <c r="Q73" t="s">
        <v>51</v>
      </c>
      <c r="R73">
        <v>24350</v>
      </c>
      <c r="S73" s="30">
        <v>45624</v>
      </c>
      <c r="T73" t="s">
        <v>54</v>
      </c>
      <c r="U73">
        <v>1</v>
      </c>
      <c r="V73" s="31">
        <v>45595.635416666657</v>
      </c>
      <c r="W73" s="31">
        <v>45623.635416666657</v>
      </c>
      <c r="X73">
        <v>345.55</v>
      </c>
      <c r="Y73">
        <v>-0.44790000000000002</v>
      </c>
      <c r="Z73">
        <v>98.35</v>
      </c>
      <c r="AA73">
        <v>-0.64539999999999997</v>
      </c>
      <c r="AB73">
        <v>-16068</v>
      </c>
      <c r="AC73" t="s">
        <v>46</v>
      </c>
      <c r="AE73" s="69" t="s">
        <v>40</v>
      </c>
      <c r="AF73" s="69" t="s">
        <v>41</v>
      </c>
      <c r="AG73" s="69">
        <v>25050</v>
      </c>
      <c r="AH73" s="70">
        <v>45603</v>
      </c>
      <c r="AI73" s="69" t="s">
        <v>43</v>
      </c>
      <c r="AJ73" s="69">
        <v>3</v>
      </c>
      <c r="AK73" s="71">
        <v>45595.635416666657</v>
      </c>
      <c r="AL73" s="71">
        <v>45602.635416666657</v>
      </c>
      <c r="AM73" s="69">
        <v>27.9</v>
      </c>
      <c r="AN73" s="69">
        <v>-0.1086</v>
      </c>
      <c r="AO73" s="69">
        <v>1.45</v>
      </c>
      <c r="AP73" s="69">
        <v>-1.5699999999999999E-2</v>
      </c>
      <c r="AQ73" s="69">
        <v>5157.8</v>
      </c>
      <c r="AR73" s="69" t="s">
        <v>46</v>
      </c>
    </row>
    <row r="74" spans="1:44" s="28" customFormat="1" x14ac:dyDescent="0.3">
      <c r="A74" t="s">
        <v>40</v>
      </c>
      <c r="B74" t="s">
        <v>51</v>
      </c>
      <c r="C74">
        <v>25000</v>
      </c>
      <c r="D74" t="s">
        <v>146</v>
      </c>
      <c r="E74" t="s">
        <v>43</v>
      </c>
      <c r="F74">
        <v>1</v>
      </c>
      <c r="G74" t="s">
        <v>139</v>
      </c>
      <c r="H74" t="s">
        <v>147</v>
      </c>
      <c r="I74">
        <v>682.15</v>
      </c>
      <c r="J74">
        <v>0.69840000000000002</v>
      </c>
      <c r="K74">
        <v>700</v>
      </c>
      <c r="L74">
        <v>0.99309999999999998</v>
      </c>
      <c r="M74">
        <v>-1160.3</v>
      </c>
      <c r="N74" t="s">
        <v>46</v>
      </c>
      <c r="P74" t="s">
        <v>40</v>
      </c>
      <c r="Q74" t="s">
        <v>51</v>
      </c>
      <c r="R74">
        <v>25000</v>
      </c>
      <c r="S74" s="30">
        <v>45624</v>
      </c>
      <c r="T74" t="s">
        <v>43</v>
      </c>
      <c r="U74">
        <v>1</v>
      </c>
      <c r="V74" s="31">
        <v>45595.635416666657</v>
      </c>
      <c r="W74" s="31">
        <v>45623.635416666657</v>
      </c>
      <c r="X74">
        <v>682.15</v>
      </c>
      <c r="Y74">
        <v>0.69840000000000002</v>
      </c>
      <c r="Z74">
        <v>700</v>
      </c>
      <c r="AA74">
        <v>0.99309999999999998</v>
      </c>
      <c r="AB74">
        <v>-1160.3</v>
      </c>
      <c r="AC74" t="s">
        <v>46</v>
      </c>
      <c r="AE74" s="69" t="s">
        <v>40</v>
      </c>
      <c r="AF74" s="69" t="s">
        <v>41</v>
      </c>
      <c r="AG74" s="69">
        <v>25050</v>
      </c>
      <c r="AH74" s="70">
        <v>45610</v>
      </c>
      <c r="AI74" s="69" t="s">
        <v>43</v>
      </c>
      <c r="AJ74" s="69">
        <v>3</v>
      </c>
      <c r="AK74" s="71">
        <v>45602.635416666657</v>
      </c>
      <c r="AL74" s="71">
        <v>45609.635416666657</v>
      </c>
      <c r="AM74" s="69">
        <v>31.5</v>
      </c>
      <c r="AN74" s="69">
        <v>-0.13339999999999999</v>
      </c>
      <c r="AO74" s="69">
        <v>0.95</v>
      </c>
      <c r="AP74" s="69">
        <v>-5.4000000000000003E-3</v>
      </c>
      <c r="AQ74" s="69">
        <v>5957.2</v>
      </c>
      <c r="AR74" s="69" t="s">
        <v>46</v>
      </c>
    </row>
    <row r="75" spans="1:44" s="28" customFormat="1" x14ac:dyDescent="0.3">
      <c r="A75" t="s">
        <v>40</v>
      </c>
      <c r="B75" t="s">
        <v>41</v>
      </c>
      <c r="C75">
        <v>24050</v>
      </c>
      <c r="D75" t="s">
        <v>146</v>
      </c>
      <c r="E75" t="s">
        <v>43</v>
      </c>
      <c r="F75">
        <v>3</v>
      </c>
      <c r="G75" t="s">
        <v>145</v>
      </c>
      <c r="H75" t="s">
        <v>147</v>
      </c>
      <c r="I75">
        <v>29.95</v>
      </c>
      <c r="J75">
        <v>-0.13020000000000001</v>
      </c>
      <c r="K75">
        <v>265.8</v>
      </c>
      <c r="L75">
        <v>-0.87119999999999997</v>
      </c>
      <c r="M75">
        <v>-45990.8</v>
      </c>
      <c r="N75" t="s">
        <v>46</v>
      </c>
      <c r="P75" t="s">
        <v>40</v>
      </c>
      <c r="Q75" t="s">
        <v>41</v>
      </c>
      <c r="R75">
        <v>24050</v>
      </c>
      <c r="S75" s="30">
        <v>45624</v>
      </c>
      <c r="T75" t="s">
        <v>43</v>
      </c>
      <c r="U75">
        <v>3</v>
      </c>
      <c r="V75" s="31">
        <v>45615.635416666657</v>
      </c>
      <c r="W75" s="31">
        <v>45623.635416666657</v>
      </c>
      <c r="X75">
        <v>29.95</v>
      </c>
      <c r="Y75">
        <v>-0.13020000000000001</v>
      </c>
      <c r="Z75">
        <v>265.8</v>
      </c>
      <c r="AA75">
        <v>-0.87119999999999997</v>
      </c>
      <c r="AB75">
        <v>-45990.8</v>
      </c>
      <c r="AC75" t="s">
        <v>46</v>
      </c>
      <c r="AE75" s="69" t="s">
        <v>40</v>
      </c>
      <c r="AF75" s="69" t="s">
        <v>41</v>
      </c>
      <c r="AG75" s="69">
        <v>24150</v>
      </c>
      <c r="AH75" s="70">
        <v>45617</v>
      </c>
      <c r="AI75" s="69" t="s">
        <v>43</v>
      </c>
      <c r="AJ75" s="69">
        <v>3</v>
      </c>
      <c r="AK75" s="71">
        <v>45609.635416666657</v>
      </c>
      <c r="AL75" s="71">
        <v>45615.635416666657</v>
      </c>
      <c r="AM75" s="69">
        <v>30.65</v>
      </c>
      <c r="AN75" s="69">
        <v>-0.1295</v>
      </c>
      <c r="AO75" s="69">
        <v>1.6</v>
      </c>
      <c r="AP75" s="69">
        <v>-1.5100000000000001E-2</v>
      </c>
      <c r="AQ75" s="69">
        <v>5664.7</v>
      </c>
      <c r="AR75" s="69" t="s">
        <v>46</v>
      </c>
    </row>
    <row r="76" spans="1:44" x14ac:dyDescent="0.3">
      <c r="A76" t="s">
        <v>40</v>
      </c>
      <c r="B76" t="s">
        <v>41</v>
      </c>
      <c r="C76">
        <v>24850</v>
      </c>
      <c r="D76" t="s">
        <v>148</v>
      </c>
      <c r="E76" t="s">
        <v>43</v>
      </c>
      <c r="F76">
        <v>3</v>
      </c>
      <c r="G76" t="s">
        <v>147</v>
      </c>
      <c r="H76" t="s">
        <v>149</v>
      </c>
      <c r="I76">
        <v>22.4</v>
      </c>
      <c r="J76">
        <v>-0.1086</v>
      </c>
      <c r="K76">
        <v>7.4</v>
      </c>
      <c r="L76">
        <v>-6.7900000000000002E-2</v>
      </c>
      <c r="M76">
        <v>2925</v>
      </c>
      <c r="N76" t="s">
        <v>46</v>
      </c>
      <c r="P76" t="s">
        <v>40</v>
      </c>
      <c r="Q76" t="s">
        <v>41</v>
      </c>
      <c r="R76">
        <v>24850</v>
      </c>
      <c r="S76" s="30">
        <v>45631</v>
      </c>
      <c r="T76" t="s">
        <v>43</v>
      </c>
      <c r="U76">
        <v>3</v>
      </c>
      <c r="V76" s="31">
        <v>45623.635416666657</v>
      </c>
      <c r="W76" s="31">
        <v>45630.635416666657</v>
      </c>
      <c r="X76">
        <v>22.4</v>
      </c>
      <c r="Y76">
        <v>-0.1086</v>
      </c>
      <c r="Z76">
        <v>7.4</v>
      </c>
      <c r="AA76">
        <v>-6.7900000000000002E-2</v>
      </c>
      <c r="AB76">
        <v>2925</v>
      </c>
      <c r="AC76" t="s">
        <v>46</v>
      </c>
      <c r="AE76" s="69" t="s">
        <v>40</v>
      </c>
      <c r="AF76" s="69" t="s">
        <v>51</v>
      </c>
      <c r="AG76" s="69">
        <v>25000</v>
      </c>
      <c r="AH76" s="70">
        <v>45624</v>
      </c>
      <c r="AI76" s="69" t="s">
        <v>43</v>
      </c>
      <c r="AJ76" s="69">
        <v>1</v>
      </c>
      <c r="AK76" s="71">
        <v>45595.635416666657</v>
      </c>
      <c r="AL76" s="71">
        <v>45623.635416666657</v>
      </c>
      <c r="AM76" s="69">
        <v>682.15</v>
      </c>
      <c r="AN76" s="69">
        <v>0.69840000000000002</v>
      </c>
      <c r="AO76" s="69">
        <v>700</v>
      </c>
      <c r="AP76" s="69">
        <v>0.99309999999999998</v>
      </c>
      <c r="AQ76" s="69">
        <v>-1160.3</v>
      </c>
      <c r="AR76" s="69" t="s">
        <v>46</v>
      </c>
    </row>
    <row r="77" spans="1:44" x14ac:dyDescent="0.3">
      <c r="A77" t="s">
        <v>40</v>
      </c>
      <c r="B77" t="s">
        <v>41</v>
      </c>
      <c r="C77">
        <v>25150</v>
      </c>
      <c r="D77" t="s">
        <v>150</v>
      </c>
      <c r="E77" t="s">
        <v>43</v>
      </c>
      <c r="F77">
        <v>3</v>
      </c>
      <c r="G77" t="s">
        <v>149</v>
      </c>
      <c r="H77" t="s">
        <v>151</v>
      </c>
      <c r="I77">
        <v>23.9</v>
      </c>
      <c r="J77">
        <v>-0.1021</v>
      </c>
      <c r="K77">
        <v>2.9</v>
      </c>
      <c r="L77">
        <v>-2.92E-2</v>
      </c>
      <c r="M77">
        <v>4095</v>
      </c>
      <c r="N77" t="s">
        <v>46</v>
      </c>
      <c r="P77" t="s">
        <v>40</v>
      </c>
      <c r="Q77" t="s">
        <v>51</v>
      </c>
      <c r="R77">
        <v>24700</v>
      </c>
      <c r="S77" s="30">
        <v>45652</v>
      </c>
      <c r="T77" t="s">
        <v>43</v>
      </c>
      <c r="U77">
        <v>1</v>
      </c>
      <c r="V77" s="31">
        <v>45623.635416666657</v>
      </c>
      <c r="W77" s="31">
        <v>45631.635416666657</v>
      </c>
      <c r="X77">
        <v>471.85</v>
      </c>
      <c r="Y77">
        <v>0.62749999999999995</v>
      </c>
      <c r="Z77">
        <v>275.2</v>
      </c>
      <c r="AA77">
        <v>0.42970000000000003</v>
      </c>
      <c r="AB77">
        <v>12782.3</v>
      </c>
      <c r="AC77" t="s">
        <v>63</v>
      </c>
      <c r="AE77" s="69" t="s">
        <v>40</v>
      </c>
      <c r="AF77" s="69" t="s">
        <v>51</v>
      </c>
      <c r="AG77" s="69">
        <v>24350</v>
      </c>
      <c r="AH77" s="70">
        <v>45624</v>
      </c>
      <c r="AI77" s="69" t="s">
        <v>54</v>
      </c>
      <c r="AJ77" s="69">
        <v>1</v>
      </c>
      <c r="AK77" s="71">
        <v>45595.635416666657</v>
      </c>
      <c r="AL77" s="71">
        <v>45623.635416666657</v>
      </c>
      <c r="AM77" s="69">
        <v>345.55</v>
      </c>
      <c r="AN77" s="69">
        <v>-0.44790000000000002</v>
      </c>
      <c r="AO77" s="69">
        <v>98.35</v>
      </c>
      <c r="AP77" s="69">
        <v>-0.64539999999999997</v>
      </c>
      <c r="AQ77" s="69">
        <v>-16068</v>
      </c>
      <c r="AR77" s="69" t="s">
        <v>46</v>
      </c>
    </row>
    <row r="78" spans="1:44" x14ac:dyDescent="0.3">
      <c r="A78" t="s">
        <v>40</v>
      </c>
      <c r="B78" t="s">
        <v>41</v>
      </c>
      <c r="C78">
        <v>25250</v>
      </c>
      <c r="D78" t="s">
        <v>152</v>
      </c>
      <c r="E78" t="s">
        <v>43</v>
      </c>
      <c r="F78">
        <v>3</v>
      </c>
      <c r="G78" t="s">
        <v>151</v>
      </c>
      <c r="H78" t="s">
        <v>153</v>
      </c>
      <c r="I78">
        <v>20.149999999999999</v>
      </c>
      <c r="J78">
        <v>-9.9500000000000005E-2</v>
      </c>
      <c r="K78">
        <v>4.75</v>
      </c>
      <c r="L78">
        <v>-2.4500000000000001E-2</v>
      </c>
      <c r="M78">
        <v>3003</v>
      </c>
      <c r="N78" t="s">
        <v>46</v>
      </c>
      <c r="P78" t="s">
        <v>40</v>
      </c>
      <c r="Q78" t="s">
        <v>41</v>
      </c>
      <c r="R78">
        <v>25150</v>
      </c>
      <c r="S78" s="30">
        <v>45638</v>
      </c>
      <c r="T78" t="s">
        <v>43</v>
      </c>
      <c r="U78">
        <v>3</v>
      </c>
      <c r="V78" s="31">
        <v>45630.635416666657</v>
      </c>
      <c r="W78" s="31">
        <v>45637.635416666657</v>
      </c>
      <c r="X78">
        <v>23.9</v>
      </c>
      <c r="Y78">
        <v>-0.1021</v>
      </c>
      <c r="Z78">
        <v>2.9</v>
      </c>
      <c r="AA78">
        <v>-2.92E-2</v>
      </c>
      <c r="AB78">
        <v>4095</v>
      </c>
      <c r="AC78" t="s">
        <v>46</v>
      </c>
      <c r="AE78" s="69" t="s">
        <v>40</v>
      </c>
      <c r="AF78" s="69" t="s">
        <v>41</v>
      </c>
      <c r="AG78" s="69">
        <v>24050</v>
      </c>
      <c r="AH78" s="70">
        <v>45624</v>
      </c>
      <c r="AI78" s="69" t="s">
        <v>43</v>
      </c>
      <c r="AJ78" s="69">
        <v>3</v>
      </c>
      <c r="AK78" s="71">
        <v>45615.635416666657</v>
      </c>
      <c r="AL78" s="71">
        <v>45623.635416666657</v>
      </c>
      <c r="AM78" s="69">
        <v>29.95</v>
      </c>
      <c r="AN78" s="69">
        <v>-0.13020000000000001</v>
      </c>
      <c r="AO78" s="69">
        <v>265.8</v>
      </c>
      <c r="AP78" s="69">
        <v>-0.87119999999999997</v>
      </c>
      <c r="AQ78" s="69">
        <v>-45990.8</v>
      </c>
      <c r="AR78" s="69" t="s">
        <v>46</v>
      </c>
    </row>
    <row r="79" spans="1:44" x14ac:dyDescent="0.3">
      <c r="A79" t="s">
        <v>40</v>
      </c>
      <c r="B79" t="s">
        <v>51</v>
      </c>
      <c r="C79">
        <v>24250</v>
      </c>
      <c r="D79" t="s">
        <v>154</v>
      </c>
      <c r="E79" t="s">
        <v>54</v>
      </c>
      <c r="F79">
        <v>1</v>
      </c>
      <c r="G79" t="s">
        <v>147</v>
      </c>
      <c r="H79" t="s">
        <v>155</v>
      </c>
      <c r="I79">
        <v>263.39999999999998</v>
      </c>
      <c r="J79">
        <v>-0.4229</v>
      </c>
      <c r="K79">
        <v>480.35</v>
      </c>
      <c r="L79">
        <v>-0.9768</v>
      </c>
      <c r="M79">
        <v>14101.8</v>
      </c>
      <c r="N79" t="s">
        <v>46</v>
      </c>
      <c r="P79" t="s">
        <v>40</v>
      </c>
      <c r="Q79" t="s">
        <v>41</v>
      </c>
      <c r="R79">
        <v>25250</v>
      </c>
      <c r="S79" s="30">
        <v>45645</v>
      </c>
      <c r="T79" t="s">
        <v>43</v>
      </c>
      <c r="U79">
        <v>3</v>
      </c>
      <c r="V79" s="31">
        <v>45637.635416666657</v>
      </c>
      <c r="W79" s="31">
        <v>45644.635416666657</v>
      </c>
      <c r="X79">
        <v>20.149999999999999</v>
      </c>
      <c r="Y79">
        <v>-9.9500000000000005E-2</v>
      </c>
      <c r="Z79">
        <v>4.75</v>
      </c>
      <c r="AA79">
        <v>-2.4500000000000001E-2</v>
      </c>
      <c r="AB79">
        <v>3003</v>
      </c>
      <c r="AC79" t="s">
        <v>46</v>
      </c>
      <c r="AE79" s="69" t="s">
        <v>40</v>
      </c>
      <c r="AF79" s="69" t="s">
        <v>41</v>
      </c>
      <c r="AG79" s="69">
        <v>24850</v>
      </c>
      <c r="AH79" s="70">
        <v>45631</v>
      </c>
      <c r="AI79" s="69" t="s">
        <v>43</v>
      </c>
      <c r="AJ79" s="69">
        <v>3</v>
      </c>
      <c r="AK79" s="71">
        <v>45623.635416666657</v>
      </c>
      <c r="AL79" s="71">
        <v>45630.635416666657</v>
      </c>
      <c r="AM79" s="69">
        <v>22.4</v>
      </c>
      <c r="AN79" s="69">
        <v>-0.1086</v>
      </c>
      <c r="AO79" s="69">
        <v>7.4</v>
      </c>
      <c r="AP79" s="69">
        <v>-6.7900000000000002E-2</v>
      </c>
      <c r="AQ79" s="69">
        <v>2925</v>
      </c>
      <c r="AR79" s="69" t="s">
        <v>46</v>
      </c>
    </row>
    <row r="80" spans="1:44" x14ac:dyDescent="0.3">
      <c r="A80" t="s">
        <v>40</v>
      </c>
      <c r="B80" t="s">
        <v>51</v>
      </c>
      <c r="C80">
        <v>25000</v>
      </c>
      <c r="D80" t="s">
        <v>154</v>
      </c>
      <c r="E80" t="s">
        <v>43</v>
      </c>
      <c r="F80">
        <v>1</v>
      </c>
      <c r="G80" t="s">
        <v>147</v>
      </c>
      <c r="H80" t="s">
        <v>155</v>
      </c>
      <c r="I80">
        <v>670</v>
      </c>
      <c r="J80">
        <v>0.75309999999999999</v>
      </c>
      <c r="K80">
        <v>1230.3</v>
      </c>
      <c r="L80">
        <v>0.99450000000000005</v>
      </c>
      <c r="M80">
        <v>-36419.5</v>
      </c>
      <c r="N80" t="s">
        <v>46</v>
      </c>
      <c r="P80" t="s">
        <v>40</v>
      </c>
      <c r="Q80" t="s">
        <v>51</v>
      </c>
      <c r="R80">
        <v>24250</v>
      </c>
      <c r="S80" s="30">
        <v>45652</v>
      </c>
      <c r="T80" t="s">
        <v>54</v>
      </c>
      <c r="U80">
        <v>1</v>
      </c>
      <c r="V80" s="31">
        <v>45623.635416666657</v>
      </c>
      <c r="W80" s="31">
        <v>45650.635416666657</v>
      </c>
      <c r="X80">
        <v>263.39999999999998</v>
      </c>
      <c r="Y80">
        <v>-0.4229</v>
      </c>
      <c r="Z80">
        <v>480.35</v>
      </c>
      <c r="AA80">
        <v>-0.9768</v>
      </c>
      <c r="AB80">
        <v>14101.8</v>
      </c>
      <c r="AC80" t="s">
        <v>46</v>
      </c>
      <c r="AE80" s="69" t="s">
        <v>40</v>
      </c>
      <c r="AF80" s="69" t="s">
        <v>51</v>
      </c>
      <c r="AG80" s="69">
        <v>24700</v>
      </c>
      <c r="AH80" s="70">
        <v>45652</v>
      </c>
      <c r="AI80" s="69" t="s">
        <v>43</v>
      </c>
      <c r="AJ80" s="69">
        <v>1</v>
      </c>
      <c r="AK80" s="71">
        <v>45623.635416666657</v>
      </c>
      <c r="AL80" s="71">
        <v>45631.635416666657</v>
      </c>
      <c r="AM80" s="69">
        <v>471.85</v>
      </c>
      <c r="AN80" s="69">
        <v>0.62749999999999995</v>
      </c>
      <c r="AO80" s="69">
        <v>275.2</v>
      </c>
      <c r="AP80" s="69">
        <v>0.42970000000000003</v>
      </c>
      <c r="AQ80" s="69">
        <v>12782.3</v>
      </c>
      <c r="AR80" s="69" t="s">
        <v>63</v>
      </c>
    </row>
    <row r="81" spans="1:44" x14ac:dyDescent="0.3">
      <c r="A81" t="s">
        <v>40</v>
      </c>
      <c r="B81" t="s">
        <v>41</v>
      </c>
      <c r="C81">
        <v>25200</v>
      </c>
      <c r="D81" t="s">
        <v>154</v>
      </c>
      <c r="E81" t="s">
        <v>43</v>
      </c>
      <c r="F81">
        <v>3</v>
      </c>
      <c r="G81" t="s">
        <v>153</v>
      </c>
      <c r="H81" t="s">
        <v>155</v>
      </c>
      <c r="I81">
        <v>23.05</v>
      </c>
      <c r="J81">
        <v>-7.8100000000000003E-2</v>
      </c>
      <c r="K81">
        <v>0.8</v>
      </c>
      <c r="L81">
        <v>-4.7000000000000002E-3</v>
      </c>
      <c r="M81">
        <v>4338.8</v>
      </c>
      <c r="N81" t="s">
        <v>46</v>
      </c>
      <c r="P81" t="s">
        <v>40</v>
      </c>
      <c r="Q81" t="s">
        <v>51</v>
      </c>
      <c r="R81">
        <v>25500</v>
      </c>
      <c r="S81" s="30">
        <v>45652</v>
      </c>
      <c r="T81" t="s">
        <v>43</v>
      </c>
      <c r="U81">
        <v>1</v>
      </c>
      <c r="V81" s="31">
        <v>45631.635416666657</v>
      </c>
      <c r="W81" s="31">
        <v>45650.635416666657</v>
      </c>
      <c r="X81">
        <v>760</v>
      </c>
      <c r="Y81">
        <v>0.83079999999999998</v>
      </c>
      <c r="Z81">
        <v>1731.05</v>
      </c>
      <c r="AA81">
        <v>0.99609999999999999</v>
      </c>
      <c r="AB81">
        <v>-63118.2</v>
      </c>
      <c r="AC81" t="s">
        <v>46</v>
      </c>
      <c r="AE81" s="69" t="s">
        <v>40</v>
      </c>
      <c r="AF81" s="69" t="s">
        <v>51</v>
      </c>
      <c r="AG81" s="69">
        <v>24250</v>
      </c>
      <c r="AH81" s="70">
        <v>45652</v>
      </c>
      <c r="AI81" s="69" t="s">
        <v>54</v>
      </c>
      <c r="AJ81" s="69">
        <v>1</v>
      </c>
      <c r="AK81" s="71">
        <v>45623.635416666657</v>
      </c>
      <c r="AL81" s="71">
        <v>45631.635416666657</v>
      </c>
      <c r="AM81" s="69">
        <v>263.39999999999998</v>
      </c>
      <c r="AN81" s="69">
        <v>-0.4229</v>
      </c>
      <c r="AO81" s="69">
        <v>144.6</v>
      </c>
      <c r="AP81" s="69">
        <v>-0.25540000000000002</v>
      </c>
      <c r="AQ81" s="69">
        <v>-7722</v>
      </c>
      <c r="AR81" s="69" t="s">
        <v>63</v>
      </c>
    </row>
    <row r="82" spans="1:44" x14ac:dyDescent="0.3">
      <c r="A82" t="s">
        <v>40</v>
      </c>
      <c r="B82" t="s">
        <v>41</v>
      </c>
      <c r="C82">
        <v>24350</v>
      </c>
      <c r="D82" t="s">
        <v>156</v>
      </c>
      <c r="E82" t="s">
        <v>43</v>
      </c>
      <c r="F82">
        <v>3</v>
      </c>
      <c r="G82" t="s">
        <v>155</v>
      </c>
      <c r="H82" t="s">
        <v>157</v>
      </c>
      <c r="I82">
        <v>21.1</v>
      </c>
      <c r="J82">
        <v>-0.1003</v>
      </c>
      <c r="K82">
        <v>1.45</v>
      </c>
      <c r="L82">
        <v>-1.49E-2</v>
      </c>
      <c r="M82">
        <v>3831.8</v>
      </c>
      <c r="N82" t="s">
        <v>46</v>
      </c>
      <c r="P82" t="s">
        <v>40</v>
      </c>
      <c r="Q82" t="s">
        <v>41</v>
      </c>
      <c r="R82">
        <v>25200</v>
      </c>
      <c r="S82" s="30">
        <v>45652</v>
      </c>
      <c r="T82" t="s">
        <v>43</v>
      </c>
      <c r="U82">
        <v>3</v>
      </c>
      <c r="V82" s="31">
        <v>45644.635416666657</v>
      </c>
      <c r="W82" s="31">
        <v>45650.635416666657</v>
      </c>
      <c r="X82">
        <v>23.05</v>
      </c>
      <c r="Y82">
        <v>-7.8100000000000003E-2</v>
      </c>
      <c r="Z82">
        <v>0.8</v>
      </c>
      <c r="AA82">
        <v>-4.7000000000000002E-3</v>
      </c>
      <c r="AB82">
        <v>4338.8</v>
      </c>
      <c r="AC82" t="s">
        <v>46</v>
      </c>
      <c r="AE82" s="69" t="s">
        <v>40</v>
      </c>
      <c r="AF82" s="69" t="s">
        <v>41</v>
      </c>
      <c r="AG82" s="69">
        <v>25150</v>
      </c>
      <c r="AH82" s="70">
        <v>45638</v>
      </c>
      <c r="AI82" s="69" t="s">
        <v>43</v>
      </c>
      <c r="AJ82" s="69">
        <v>3</v>
      </c>
      <c r="AK82" s="71">
        <v>45630.635416666657</v>
      </c>
      <c r="AL82" s="71">
        <v>45637.635416666657</v>
      </c>
      <c r="AM82" s="69">
        <v>23.9</v>
      </c>
      <c r="AN82" s="69">
        <v>-0.1021</v>
      </c>
      <c r="AO82" s="69">
        <v>2.9</v>
      </c>
      <c r="AP82" s="69">
        <v>-2.92E-2</v>
      </c>
      <c r="AQ82" s="69">
        <v>4095</v>
      </c>
      <c r="AR82" s="69" t="s">
        <v>46</v>
      </c>
    </row>
    <row r="83" spans="1:44" x14ac:dyDescent="0.3">
      <c r="A83" t="s">
        <v>40</v>
      </c>
      <c r="B83" t="s">
        <v>41</v>
      </c>
      <c r="C83">
        <v>24500</v>
      </c>
      <c r="D83" t="s">
        <v>158</v>
      </c>
      <c r="E83" t="s">
        <v>43</v>
      </c>
      <c r="F83">
        <v>3</v>
      </c>
      <c r="G83" t="s">
        <v>157</v>
      </c>
      <c r="H83" t="s">
        <v>159</v>
      </c>
      <c r="I83">
        <v>22</v>
      </c>
      <c r="J83">
        <v>-9.0300000000000005E-2</v>
      </c>
      <c r="K83">
        <v>1</v>
      </c>
      <c r="L83">
        <v>-8.9999999999999993E-3</v>
      </c>
      <c r="M83">
        <v>4095</v>
      </c>
      <c r="N83" t="s">
        <v>46</v>
      </c>
      <c r="P83" t="s">
        <v>40</v>
      </c>
      <c r="Q83" t="s">
        <v>41</v>
      </c>
      <c r="R83">
        <v>24350</v>
      </c>
      <c r="S83" s="30">
        <v>45659</v>
      </c>
      <c r="T83" t="s">
        <v>43</v>
      </c>
      <c r="U83">
        <v>3</v>
      </c>
      <c r="V83" s="31">
        <v>45650.635416666657</v>
      </c>
      <c r="W83" s="31">
        <v>45658.635416666657</v>
      </c>
      <c r="X83">
        <v>21.1</v>
      </c>
      <c r="Y83">
        <v>-0.1003</v>
      </c>
      <c r="Z83">
        <v>1.45</v>
      </c>
      <c r="AA83">
        <v>-1.49E-2</v>
      </c>
      <c r="AB83">
        <v>3831.8</v>
      </c>
      <c r="AC83" t="s">
        <v>46</v>
      </c>
      <c r="AE83" s="69" t="s">
        <v>40</v>
      </c>
      <c r="AF83" s="69" t="s">
        <v>41</v>
      </c>
      <c r="AG83" s="69">
        <v>25200</v>
      </c>
      <c r="AH83" s="70">
        <v>45645</v>
      </c>
      <c r="AI83" s="69" t="s">
        <v>43</v>
      </c>
      <c r="AJ83" s="69">
        <v>3</v>
      </c>
      <c r="AK83" s="71">
        <v>45637.635416666657</v>
      </c>
      <c r="AL83" s="71">
        <v>45644.635416666657</v>
      </c>
      <c r="AM83" s="69">
        <v>25.5</v>
      </c>
      <c r="AN83" s="69">
        <v>-0.1208</v>
      </c>
      <c r="AO83" s="69">
        <v>5.05</v>
      </c>
      <c r="AP83" s="69">
        <v>-2.6599999999999999E-2</v>
      </c>
      <c r="AQ83" s="69">
        <v>3987.8</v>
      </c>
      <c r="AR83" s="69" t="s">
        <v>46</v>
      </c>
    </row>
    <row r="84" spans="1:44" x14ac:dyDescent="0.3">
      <c r="A84" t="s">
        <v>40</v>
      </c>
      <c r="B84" t="s">
        <v>41</v>
      </c>
      <c r="C84">
        <v>24350</v>
      </c>
      <c r="D84" t="s">
        <v>160</v>
      </c>
      <c r="E84" t="s">
        <v>43</v>
      </c>
      <c r="F84">
        <v>3</v>
      </c>
      <c r="G84" t="s">
        <v>159</v>
      </c>
      <c r="H84" t="s">
        <v>161</v>
      </c>
      <c r="I84">
        <v>20.75</v>
      </c>
      <c r="J84">
        <v>-9.5399999999999999E-2</v>
      </c>
      <c r="K84">
        <v>0.85</v>
      </c>
      <c r="L84">
        <v>-6.0000000000000001E-3</v>
      </c>
      <c r="M84">
        <v>3880.5</v>
      </c>
      <c r="N84" t="s">
        <v>46</v>
      </c>
      <c r="P84" t="s">
        <v>40</v>
      </c>
      <c r="Q84" t="s">
        <v>41</v>
      </c>
      <c r="R84">
        <v>24500</v>
      </c>
      <c r="S84" s="30">
        <v>45666</v>
      </c>
      <c r="T84" t="s">
        <v>43</v>
      </c>
      <c r="U84">
        <v>3</v>
      </c>
      <c r="V84" s="31">
        <v>45658.635416666657</v>
      </c>
      <c r="W84" s="31">
        <v>45665.635416666657</v>
      </c>
      <c r="X84">
        <v>22</v>
      </c>
      <c r="Y84">
        <v>-9.0300000000000005E-2</v>
      </c>
      <c r="Z84">
        <v>1</v>
      </c>
      <c r="AA84">
        <v>-8.9999999999999993E-3</v>
      </c>
      <c r="AB84">
        <v>4095</v>
      </c>
      <c r="AC84" t="s">
        <v>46</v>
      </c>
      <c r="AE84" s="69" t="s">
        <v>40</v>
      </c>
      <c r="AF84" s="69" t="s">
        <v>51</v>
      </c>
      <c r="AG84" s="69">
        <v>25500</v>
      </c>
      <c r="AH84" s="70">
        <v>45652</v>
      </c>
      <c r="AI84" s="69" t="s">
        <v>43</v>
      </c>
      <c r="AJ84" s="69">
        <v>1</v>
      </c>
      <c r="AK84" s="71">
        <v>45631.635416666657</v>
      </c>
      <c r="AL84" s="71">
        <v>45650.635416666657</v>
      </c>
      <c r="AM84" s="69">
        <v>760</v>
      </c>
      <c r="AN84" s="69">
        <v>0.83079999999999998</v>
      </c>
      <c r="AO84" s="69">
        <v>1731.05</v>
      </c>
      <c r="AP84" s="69">
        <v>0.99609999999999999</v>
      </c>
      <c r="AQ84" s="69">
        <v>-63118.2</v>
      </c>
      <c r="AR84" s="69" t="s">
        <v>46</v>
      </c>
    </row>
    <row r="85" spans="1:44" x14ac:dyDescent="0.3">
      <c r="A85" t="s">
        <v>40</v>
      </c>
      <c r="B85" t="s">
        <v>41</v>
      </c>
      <c r="C85">
        <v>23800</v>
      </c>
      <c r="D85" t="s">
        <v>162</v>
      </c>
      <c r="E85" t="s">
        <v>43</v>
      </c>
      <c r="F85">
        <v>3</v>
      </c>
      <c r="G85" t="s">
        <v>161</v>
      </c>
      <c r="H85" t="s">
        <v>163</v>
      </c>
      <c r="I85">
        <v>19.05</v>
      </c>
      <c r="J85">
        <v>-9.6299999999999997E-2</v>
      </c>
      <c r="K85">
        <v>1.35</v>
      </c>
      <c r="L85">
        <v>-1.35E-2</v>
      </c>
      <c r="M85">
        <v>3451.5</v>
      </c>
      <c r="N85" t="s">
        <v>46</v>
      </c>
      <c r="P85" t="s">
        <v>40</v>
      </c>
      <c r="Q85" t="s">
        <v>41</v>
      </c>
      <c r="R85">
        <v>24350</v>
      </c>
      <c r="S85" s="30">
        <v>45673</v>
      </c>
      <c r="T85" t="s">
        <v>43</v>
      </c>
      <c r="U85">
        <v>3</v>
      </c>
      <c r="V85" s="31">
        <v>45665.635416666657</v>
      </c>
      <c r="W85" s="31">
        <v>45672.635416666657</v>
      </c>
      <c r="X85">
        <v>20.75</v>
      </c>
      <c r="Y85">
        <v>-9.5399999999999999E-2</v>
      </c>
      <c r="Z85">
        <v>0.85</v>
      </c>
      <c r="AA85">
        <v>-6.0000000000000001E-3</v>
      </c>
      <c r="AB85">
        <v>3880.5</v>
      </c>
      <c r="AC85" t="s">
        <v>46</v>
      </c>
      <c r="AE85" s="69" t="s">
        <v>40</v>
      </c>
      <c r="AF85" s="69" t="s">
        <v>51</v>
      </c>
      <c r="AG85" s="69">
        <v>24750</v>
      </c>
      <c r="AH85" s="70">
        <v>45652</v>
      </c>
      <c r="AI85" s="69" t="s">
        <v>54</v>
      </c>
      <c r="AJ85" s="69">
        <v>1</v>
      </c>
      <c r="AK85" s="71">
        <v>45631.635416666657</v>
      </c>
      <c r="AL85" s="71">
        <v>45650.635416666657</v>
      </c>
      <c r="AM85" s="69">
        <v>294.35000000000002</v>
      </c>
      <c r="AN85" s="69">
        <v>-0.45190000000000002</v>
      </c>
      <c r="AO85" s="69">
        <v>978.05</v>
      </c>
      <c r="AP85" s="69">
        <v>-0.99339999999999995</v>
      </c>
      <c r="AQ85" s="69">
        <v>44440.5</v>
      </c>
      <c r="AR85" s="69" t="s">
        <v>46</v>
      </c>
    </row>
    <row r="86" spans="1:44" x14ac:dyDescent="0.3">
      <c r="A86" t="s">
        <v>40</v>
      </c>
      <c r="B86" t="s">
        <v>51</v>
      </c>
      <c r="C86">
        <v>23750</v>
      </c>
      <c r="D86" t="s">
        <v>164</v>
      </c>
      <c r="E86" t="s">
        <v>54</v>
      </c>
      <c r="F86">
        <v>1</v>
      </c>
      <c r="G86" t="s">
        <v>155</v>
      </c>
      <c r="H86" t="s">
        <v>165</v>
      </c>
      <c r="I86">
        <v>303.10000000000002</v>
      </c>
      <c r="J86">
        <v>-0.43490000000000001</v>
      </c>
      <c r="K86">
        <v>605</v>
      </c>
      <c r="L86">
        <v>-0.97260000000000002</v>
      </c>
      <c r="M86">
        <v>19623.5</v>
      </c>
      <c r="N86" t="s">
        <v>46</v>
      </c>
      <c r="P86" t="s">
        <v>40</v>
      </c>
      <c r="Q86" t="s">
        <v>41</v>
      </c>
      <c r="R86">
        <v>23800</v>
      </c>
      <c r="S86" s="30">
        <v>45680</v>
      </c>
      <c r="T86" t="s">
        <v>43</v>
      </c>
      <c r="U86">
        <v>3</v>
      </c>
      <c r="V86" s="31">
        <v>45672.635416666657</v>
      </c>
      <c r="W86" s="31">
        <v>45679.635416666657</v>
      </c>
      <c r="X86">
        <v>19.05</v>
      </c>
      <c r="Y86">
        <v>-9.6299999999999997E-2</v>
      </c>
      <c r="Z86">
        <v>1.35</v>
      </c>
      <c r="AA86">
        <v>-1.35E-2</v>
      </c>
      <c r="AB86">
        <v>3451.5</v>
      </c>
      <c r="AC86" t="s">
        <v>46</v>
      </c>
      <c r="AE86" s="69" t="s">
        <v>40</v>
      </c>
      <c r="AF86" s="69" t="s">
        <v>41</v>
      </c>
      <c r="AG86" s="69">
        <v>25150</v>
      </c>
      <c r="AH86" s="70">
        <v>45652</v>
      </c>
      <c r="AI86" s="69" t="s">
        <v>43</v>
      </c>
      <c r="AJ86" s="69">
        <v>3</v>
      </c>
      <c r="AK86" s="71">
        <v>45644.635416666657</v>
      </c>
      <c r="AL86" s="71">
        <v>45650.635416666657</v>
      </c>
      <c r="AM86" s="69">
        <v>25.4</v>
      </c>
      <c r="AN86" s="69">
        <v>-8.5900000000000004E-2</v>
      </c>
      <c r="AO86" s="69">
        <v>0.65</v>
      </c>
      <c r="AP86" s="69">
        <v>-4.1000000000000003E-3</v>
      </c>
      <c r="AQ86" s="69">
        <v>4826.2</v>
      </c>
      <c r="AR86" s="69" t="s">
        <v>46</v>
      </c>
    </row>
    <row r="87" spans="1:44" x14ac:dyDescent="0.3">
      <c r="A87" t="s">
        <v>40</v>
      </c>
      <c r="B87" t="s">
        <v>51</v>
      </c>
      <c r="C87">
        <v>24500</v>
      </c>
      <c r="D87" t="s">
        <v>164</v>
      </c>
      <c r="E87" t="s">
        <v>43</v>
      </c>
      <c r="F87">
        <v>1</v>
      </c>
      <c r="G87" t="s">
        <v>155</v>
      </c>
      <c r="H87" t="s">
        <v>165</v>
      </c>
      <c r="I87">
        <v>709</v>
      </c>
      <c r="J87">
        <v>0.73229999999999995</v>
      </c>
      <c r="K87">
        <v>1365</v>
      </c>
      <c r="L87">
        <v>0.99709999999999999</v>
      </c>
      <c r="M87">
        <v>-42640</v>
      </c>
      <c r="N87" t="s">
        <v>46</v>
      </c>
      <c r="P87" t="s">
        <v>40</v>
      </c>
      <c r="Q87" t="s">
        <v>51</v>
      </c>
      <c r="R87">
        <v>23750</v>
      </c>
      <c r="S87" s="30">
        <v>45687</v>
      </c>
      <c r="T87" t="s">
        <v>54</v>
      </c>
      <c r="U87">
        <v>1</v>
      </c>
      <c r="V87" s="31">
        <v>45650.635416666657</v>
      </c>
      <c r="W87" s="31">
        <v>45686.635416666657</v>
      </c>
      <c r="X87">
        <v>303.10000000000002</v>
      </c>
      <c r="Y87">
        <v>-0.43490000000000001</v>
      </c>
      <c r="Z87">
        <v>605</v>
      </c>
      <c r="AA87">
        <v>-0.97260000000000002</v>
      </c>
      <c r="AB87">
        <v>19623.5</v>
      </c>
      <c r="AC87" t="s">
        <v>46</v>
      </c>
      <c r="AE87" s="69" t="s">
        <v>40</v>
      </c>
      <c r="AF87" s="69" t="s">
        <v>41</v>
      </c>
      <c r="AG87" s="69">
        <v>24350</v>
      </c>
      <c r="AH87" s="70">
        <v>45659</v>
      </c>
      <c r="AI87" s="69" t="s">
        <v>43</v>
      </c>
      <c r="AJ87" s="69">
        <v>3</v>
      </c>
      <c r="AK87" s="71">
        <v>45650.635416666657</v>
      </c>
      <c r="AL87" s="71">
        <v>45658.635416666657</v>
      </c>
      <c r="AM87" s="69">
        <v>21.1</v>
      </c>
      <c r="AN87" s="69">
        <v>-0.1003</v>
      </c>
      <c r="AO87" s="69">
        <v>1.45</v>
      </c>
      <c r="AP87" s="69">
        <v>-1.49E-2</v>
      </c>
      <c r="AQ87" s="69">
        <v>3831.8</v>
      </c>
      <c r="AR87" s="69" t="s">
        <v>46</v>
      </c>
    </row>
    <row r="88" spans="1:44" x14ac:dyDescent="0.3">
      <c r="A88" t="s">
        <v>40</v>
      </c>
      <c r="B88" t="s">
        <v>41</v>
      </c>
      <c r="C88">
        <v>23800</v>
      </c>
      <c r="D88" t="s">
        <v>164</v>
      </c>
      <c r="E88" t="s">
        <v>43</v>
      </c>
      <c r="F88">
        <v>3</v>
      </c>
      <c r="G88" t="s">
        <v>163</v>
      </c>
      <c r="H88" t="s">
        <v>165</v>
      </c>
      <c r="I88">
        <v>21.8</v>
      </c>
      <c r="J88">
        <v>-9.9599999999999994E-2</v>
      </c>
      <c r="K88">
        <v>2.0499999999999998</v>
      </c>
      <c r="L88">
        <v>-1.8700000000000001E-2</v>
      </c>
      <c r="M88">
        <v>3851.2</v>
      </c>
      <c r="N88" t="s">
        <v>46</v>
      </c>
      <c r="P88" t="s">
        <v>40</v>
      </c>
      <c r="Q88" t="s">
        <v>51</v>
      </c>
      <c r="R88">
        <v>24300</v>
      </c>
      <c r="S88" s="30">
        <v>45687</v>
      </c>
      <c r="T88" t="s">
        <v>43</v>
      </c>
      <c r="U88">
        <v>1</v>
      </c>
      <c r="V88" s="31">
        <v>45650.635416666657</v>
      </c>
      <c r="W88" s="31">
        <v>45686.635416666657</v>
      </c>
      <c r="X88">
        <v>574.25</v>
      </c>
      <c r="Y88">
        <v>0.65790000000000004</v>
      </c>
      <c r="Z88">
        <v>1159</v>
      </c>
      <c r="AA88">
        <v>0.99609999999999999</v>
      </c>
      <c r="AB88">
        <v>-38008.800000000003</v>
      </c>
      <c r="AC88" t="s">
        <v>46</v>
      </c>
      <c r="AE88" s="69" t="s">
        <v>40</v>
      </c>
      <c r="AF88" s="69" t="s">
        <v>41</v>
      </c>
      <c r="AG88" s="69">
        <v>24500</v>
      </c>
      <c r="AH88" s="70">
        <v>45666</v>
      </c>
      <c r="AI88" s="69" t="s">
        <v>43</v>
      </c>
      <c r="AJ88" s="69">
        <v>3</v>
      </c>
      <c r="AK88" s="71">
        <v>45658.635416666657</v>
      </c>
      <c r="AL88" s="71">
        <v>45665.635416666657</v>
      </c>
      <c r="AM88" s="69">
        <v>22</v>
      </c>
      <c r="AN88" s="69">
        <v>-9.0300000000000005E-2</v>
      </c>
      <c r="AO88" s="69">
        <v>1</v>
      </c>
      <c r="AP88" s="69">
        <v>-8.9999999999999993E-3</v>
      </c>
      <c r="AQ88" s="69">
        <v>4095</v>
      </c>
      <c r="AR88" s="69" t="s">
        <v>46</v>
      </c>
    </row>
    <row r="89" spans="1:44" x14ac:dyDescent="0.3">
      <c r="A89" t="s">
        <v>40</v>
      </c>
      <c r="B89" t="s">
        <v>41</v>
      </c>
      <c r="C89">
        <v>23950</v>
      </c>
      <c r="D89" t="s">
        <v>166</v>
      </c>
      <c r="E89" t="s">
        <v>43</v>
      </c>
      <c r="F89">
        <v>3</v>
      </c>
      <c r="G89" t="s">
        <v>165</v>
      </c>
      <c r="H89" t="s">
        <v>167</v>
      </c>
      <c r="I89">
        <v>78.2</v>
      </c>
      <c r="J89">
        <v>-0.18140000000000001</v>
      </c>
      <c r="K89">
        <v>14.5</v>
      </c>
      <c r="L89">
        <v>-0.13089999999999999</v>
      </c>
      <c r="M89">
        <v>12421.5</v>
      </c>
      <c r="N89" t="s">
        <v>46</v>
      </c>
      <c r="P89" t="s">
        <v>40</v>
      </c>
      <c r="Q89" t="s">
        <v>41</v>
      </c>
      <c r="R89">
        <v>23800</v>
      </c>
      <c r="S89" s="30">
        <v>45687</v>
      </c>
      <c r="T89" t="s">
        <v>43</v>
      </c>
      <c r="U89">
        <v>3</v>
      </c>
      <c r="V89" s="31">
        <v>45679.635416666657</v>
      </c>
      <c r="W89" s="31">
        <v>45686.635416666657</v>
      </c>
      <c r="X89">
        <v>21.8</v>
      </c>
      <c r="Y89">
        <v>-9.9599999999999994E-2</v>
      </c>
      <c r="Z89">
        <v>2.0499999999999998</v>
      </c>
      <c r="AA89">
        <v>-1.8700000000000001E-2</v>
      </c>
      <c r="AB89">
        <v>3851.2</v>
      </c>
      <c r="AC89" t="s">
        <v>46</v>
      </c>
      <c r="AE89" s="69" t="s">
        <v>40</v>
      </c>
      <c r="AF89" s="69" t="s">
        <v>41</v>
      </c>
      <c r="AG89" s="69">
        <v>24350</v>
      </c>
      <c r="AH89" s="70">
        <v>45673</v>
      </c>
      <c r="AI89" s="69" t="s">
        <v>43</v>
      </c>
      <c r="AJ89" s="69">
        <v>3</v>
      </c>
      <c r="AK89" s="71">
        <v>45665.635416666657</v>
      </c>
      <c r="AL89" s="71">
        <v>45672.635416666657</v>
      </c>
      <c r="AM89" s="69">
        <v>20.75</v>
      </c>
      <c r="AN89" s="69">
        <v>-9.5399999999999999E-2</v>
      </c>
      <c r="AO89" s="69">
        <v>0.85</v>
      </c>
      <c r="AP89" s="69">
        <v>-6.0000000000000001E-3</v>
      </c>
      <c r="AQ89" s="69">
        <v>3880.5</v>
      </c>
      <c r="AR89" s="69" t="s">
        <v>46</v>
      </c>
    </row>
    <row r="90" spans="1:44" x14ac:dyDescent="0.3">
      <c r="A90" t="s">
        <v>40</v>
      </c>
      <c r="B90" t="s">
        <v>41</v>
      </c>
      <c r="C90">
        <v>24250</v>
      </c>
      <c r="D90" t="s">
        <v>168</v>
      </c>
      <c r="E90" t="s">
        <v>43</v>
      </c>
      <c r="F90">
        <v>3</v>
      </c>
      <c r="G90" t="s">
        <v>167</v>
      </c>
      <c r="H90" t="s">
        <v>169</v>
      </c>
      <c r="I90">
        <v>34.6</v>
      </c>
      <c r="J90">
        <v>-0.14269999999999999</v>
      </c>
      <c r="K90">
        <v>0.7</v>
      </c>
      <c r="L90">
        <v>-5.0000000000000001E-3</v>
      </c>
      <c r="M90">
        <v>6610.5</v>
      </c>
      <c r="N90" t="s">
        <v>46</v>
      </c>
      <c r="P90" t="s">
        <v>40</v>
      </c>
      <c r="Q90" t="s">
        <v>41</v>
      </c>
      <c r="R90">
        <v>23950</v>
      </c>
      <c r="S90" s="30">
        <v>45694</v>
      </c>
      <c r="T90" t="s">
        <v>43</v>
      </c>
      <c r="U90">
        <v>3</v>
      </c>
      <c r="V90" s="31">
        <v>45686.635416666657</v>
      </c>
      <c r="W90" s="31">
        <v>45693.635416666657</v>
      </c>
      <c r="X90">
        <v>78.2</v>
      </c>
      <c r="Y90">
        <v>-0.18140000000000001</v>
      </c>
      <c r="Z90">
        <v>14.5</v>
      </c>
      <c r="AA90">
        <v>-0.13089999999999999</v>
      </c>
      <c r="AB90">
        <v>12421.5</v>
      </c>
      <c r="AC90" t="s">
        <v>46</v>
      </c>
      <c r="AE90" s="69" t="s">
        <v>40</v>
      </c>
      <c r="AF90" s="69" t="s">
        <v>41</v>
      </c>
      <c r="AG90" s="69">
        <v>23800</v>
      </c>
      <c r="AH90" s="70">
        <v>45680</v>
      </c>
      <c r="AI90" s="69" t="s">
        <v>43</v>
      </c>
      <c r="AJ90" s="69">
        <v>3</v>
      </c>
      <c r="AK90" s="71">
        <v>45672.635416666657</v>
      </c>
      <c r="AL90" s="71">
        <v>45679.635416666657</v>
      </c>
      <c r="AM90" s="69">
        <v>19.05</v>
      </c>
      <c r="AN90" s="69">
        <v>-9.6299999999999997E-2</v>
      </c>
      <c r="AO90" s="69">
        <v>1.35</v>
      </c>
      <c r="AP90" s="69">
        <v>-1.35E-2</v>
      </c>
      <c r="AQ90" s="69">
        <v>3451.5</v>
      </c>
      <c r="AR90" s="69" t="s">
        <v>46</v>
      </c>
    </row>
    <row r="91" spans="1:44" x14ac:dyDescent="0.3">
      <c r="A91" t="s">
        <v>40</v>
      </c>
      <c r="B91" t="s">
        <v>41</v>
      </c>
      <c r="C91">
        <v>23600</v>
      </c>
      <c r="D91" t="s">
        <v>170</v>
      </c>
      <c r="E91" t="s">
        <v>43</v>
      </c>
      <c r="F91">
        <v>3</v>
      </c>
      <c r="G91" t="s">
        <v>169</v>
      </c>
      <c r="H91" t="s">
        <v>171</v>
      </c>
      <c r="I91">
        <v>35.25</v>
      </c>
      <c r="J91">
        <v>-0.14560000000000001</v>
      </c>
      <c r="K91">
        <v>1</v>
      </c>
      <c r="L91">
        <v>-1.0500000000000001E-2</v>
      </c>
      <c r="M91">
        <v>6678.8</v>
      </c>
      <c r="N91" t="s">
        <v>46</v>
      </c>
      <c r="P91" t="s">
        <v>40</v>
      </c>
      <c r="Q91" t="s">
        <v>41</v>
      </c>
      <c r="R91">
        <v>24250</v>
      </c>
      <c r="S91" s="30">
        <v>45701</v>
      </c>
      <c r="T91" t="s">
        <v>43</v>
      </c>
      <c r="U91">
        <v>3</v>
      </c>
      <c r="V91" s="31">
        <v>45693.635416666657</v>
      </c>
      <c r="W91" s="31">
        <v>45700.635416666657</v>
      </c>
      <c r="X91">
        <v>34.6</v>
      </c>
      <c r="Y91">
        <v>-0.14269999999999999</v>
      </c>
      <c r="Z91">
        <v>0.7</v>
      </c>
      <c r="AA91">
        <v>-5.0000000000000001E-3</v>
      </c>
      <c r="AB91">
        <v>6610.5</v>
      </c>
      <c r="AC91" t="s">
        <v>46</v>
      </c>
      <c r="AE91" s="69" t="s">
        <v>40</v>
      </c>
      <c r="AF91" s="69" t="s">
        <v>51</v>
      </c>
      <c r="AG91" s="69">
        <v>24300</v>
      </c>
      <c r="AH91" s="70">
        <v>45687</v>
      </c>
      <c r="AI91" s="69" t="s">
        <v>43</v>
      </c>
      <c r="AJ91" s="69">
        <v>1</v>
      </c>
      <c r="AK91" s="71">
        <v>45650.635416666657</v>
      </c>
      <c r="AL91" s="71">
        <v>45686.635416666657</v>
      </c>
      <c r="AM91" s="69">
        <v>574.25</v>
      </c>
      <c r="AN91" s="69">
        <v>0.65790000000000004</v>
      </c>
      <c r="AO91" s="69">
        <v>1159</v>
      </c>
      <c r="AP91" s="69">
        <v>0.99609999999999999</v>
      </c>
      <c r="AQ91" s="69">
        <v>-38008.800000000003</v>
      </c>
      <c r="AR91" s="69" t="s">
        <v>46</v>
      </c>
    </row>
    <row r="92" spans="1:44" x14ac:dyDescent="0.3">
      <c r="A92" t="s">
        <v>40</v>
      </c>
      <c r="B92" t="s">
        <v>51</v>
      </c>
      <c r="C92">
        <v>23150</v>
      </c>
      <c r="D92" t="s">
        <v>172</v>
      </c>
      <c r="E92" t="s">
        <v>54</v>
      </c>
      <c r="F92">
        <v>1</v>
      </c>
      <c r="G92" t="s">
        <v>165</v>
      </c>
      <c r="H92" t="s">
        <v>173</v>
      </c>
      <c r="I92">
        <v>429</v>
      </c>
      <c r="J92">
        <v>-0.44869999999999999</v>
      </c>
      <c r="K92">
        <v>563</v>
      </c>
      <c r="L92">
        <v>-0.9798</v>
      </c>
      <c r="M92">
        <v>8710</v>
      </c>
      <c r="N92" t="s">
        <v>46</v>
      </c>
      <c r="P92" t="s">
        <v>40</v>
      </c>
      <c r="Q92" t="s">
        <v>41</v>
      </c>
      <c r="R92">
        <v>23600</v>
      </c>
      <c r="S92" s="30">
        <v>45708</v>
      </c>
      <c r="T92" t="s">
        <v>43</v>
      </c>
      <c r="U92">
        <v>3</v>
      </c>
      <c r="V92" s="31">
        <v>45700.635416666657</v>
      </c>
      <c r="W92" s="31">
        <v>45707.635416666657</v>
      </c>
      <c r="X92">
        <v>35.25</v>
      </c>
      <c r="Y92">
        <v>-0.14560000000000001</v>
      </c>
      <c r="Z92">
        <v>1</v>
      </c>
      <c r="AA92">
        <v>-1.0500000000000001E-2</v>
      </c>
      <c r="AB92">
        <v>6678.8</v>
      </c>
      <c r="AC92" t="s">
        <v>46</v>
      </c>
      <c r="AE92" s="69" t="s">
        <v>40</v>
      </c>
      <c r="AF92" s="69" t="s">
        <v>51</v>
      </c>
      <c r="AG92" s="69">
        <v>23750</v>
      </c>
      <c r="AH92" s="70">
        <v>45687</v>
      </c>
      <c r="AI92" s="69" t="s">
        <v>54</v>
      </c>
      <c r="AJ92" s="69">
        <v>1</v>
      </c>
      <c r="AK92" s="71">
        <v>45650.635416666657</v>
      </c>
      <c r="AL92" s="71">
        <v>45686.635416666657</v>
      </c>
      <c r="AM92" s="69">
        <v>303.10000000000002</v>
      </c>
      <c r="AN92" s="69">
        <v>-0.43490000000000001</v>
      </c>
      <c r="AO92" s="69">
        <v>605</v>
      </c>
      <c r="AP92" s="69">
        <v>-0.97260000000000002</v>
      </c>
      <c r="AQ92" s="69">
        <v>19623.5</v>
      </c>
      <c r="AR92" s="69" t="s">
        <v>46</v>
      </c>
    </row>
    <row r="93" spans="1:44" x14ac:dyDescent="0.3">
      <c r="A93" t="s">
        <v>40</v>
      </c>
      <c r="B93" t="s">
        <v>51</v>
      </c>
      <c r="C93">
        <v>24500</v>
      </c>
      <c r="D93" t="s">
        <v>172</v>
      </c>
      <c r="E93" t="s">
        <v>43</v>
      </c>
      <c r="F93">
        <v>1</v>
      </c>
      <c r="G93" t="s">
        <v>165</v>
      </c>
      <c r="H93" t="s">
        <v>173</v>
      </c>
      <c r="I93">
        <v>1294</v>
      </c>
      <c r="J93">
        <v>0.85399999999999998</v>
      </c>
      <c r="K93">
        <v>1910</v>
      </c>
      <c r="L93">
        <v>0.99660000000000004</v>
      </c>
      <c r="M93">
        <v>-40040</v>
      </c>
      <c r="N93" t="s">
        <v>46</v>
      </c>
      <c r="P93" t="s">
        <v>40</v>
      </c>
      <c r="Q93" t="s">
        <v>51</v>
      </c>
      <c r="R93">
        <v>23150</v>
      </c>
      <c r="S93" s="30">
        <v>45715</v>
      </c>
      <c r="T93" t="s">
        <v>54</v>
      </c>
      <c r="U93">
        <v>1</v>
      </c>
      <c r="V93" s="31">
        <v>45686.635416666657</v>
      </c>
      <c r="W93" s="31">
        <v>45713.635416666657</v>
      </c>
      <c r="X93">
        <v>429</v>
      </c>
      <c r="Y93">
        <v>-0.44869999999999999</v>
      </c>
      <c r="Z93">
        <v>563</v>
      </c>
      <c r="AA93">
        <v>-0.9798</v>
      </c>
      <c r="AB93">
        <v>8710</v>
      </c>
      <c r="AC93" t="s">
        <v>46</v>
      </c>
      <c r="AE93" s="69" t="s">
        <v>40</v>
      </c>
      <c r="AF93" s="69" t="s">
        <v>41</v>
      </c>
      <c r="AG93" s="69">
        <v>23800</v>
      </c>
      <c r="AH93" s="70">
        <v>45687</v>
      </c>
      <c r="AI93" s="69" t="s">
        <v>43</v>
      </c>
      <c r="AJ93" s="69">
        <v>3</v>
      </c>
      <c r="AK93" s="71">
        <v>45679.635416666657</v>
      </c>
      <c r="AL93" s="71">
        <v>45686.635416666657</v>
      </c>
      <c r="AM93" s="69">
        <v>21.8</v>
      </c>
      <c r="AN93" s="69">
        <v>-9.9599999999999994E-2</v>
      </c>
      <c r="AO93" s="69">
        <v>2.0499999999999998</v>
      </c>
      <c r="AP93" s="69">
        <v>-1.8700000000000001E-2</v>
      </c>
      <c r="AQ93" s="69">
        <v>3851.2</v>
      </c>
      <c r="AR93" s="69" t="s">
        <v>46</v>
      </c>
    </row>
    <row r="94" spans="1:44" x14ac:dyDescent="0.3">
      <c r="A94" t="s">
        <v>40</v>
      </c>
      <c r="B94" t="s">
        <v>41</v>
      </c>
      <c r="C94">
        <v>23450</v>
      </c>
      <c r="D94" t="s">
        <v>172</v>
      </c>
      <c r="E94" t="s">
        <v>43</v>
      </c>
      <c r="F94">
        <v>3</v>
      </c>
      <c r="G94" t="s">
        <v>171</v>
      </c>
      <c r="H94" t="s">
        <v>173</v>
      </c>
      <c r="I94">
        <v>33.75</v>
      </c>
      <c r="J94">
        <v>-0.14680000000000001</v>
      </c>
      <c r="K94">
        <v>1.4</v>
      </c>
      <c r="L94">
        <v>-1.0800000000000001E-2</v>
      </c>
      <c r="M94">
        <v>6308.2</v>
      </c>
      <c r="N94" t="s">
        <v>46</v>
      </c>
      <c r="P94" t="s">
        <v>40</v>
      </c>
      <c r="Q94" t="s">
        <v>51</v>
      </c>
      <c r="R94">
        <v>24300</v>
      </c>
      <c r="S94" s="30">
        <v>45715</v>
      </c>
      <c r="T94" t="s">
        <v>43</v>
      </c>
      <c r="U94">
        <v>1</v>
      </c>
      <c r="V94" s="31">
        <v>45686.635416666657</v>
      </c>
      <c r="W94" s="31">
        <v>45713.635416666657</v>
      </c>
      <c r="X94">
        <v>1125.6500000000001</v>
      </c>
      <c r="Y94">
        <v>0.80889999999999995</v>
      </c>
      <c r="Z94">
        <v>1711.75</v>
      </c>
      <c r="AA94">
        <v>0.99650000000000005</v>
      </c>
      <c r="AB94">
        <v>-38096.5</v>
      </c>
      <c r="AC94" t="s">
        <v>46</v>
      </c>
      <c r="AE94" s="69" t="s">
        <v>40</v>
      </c>
      <c r="AF94" s="69" t="s">
        <v>41</v>
      </c>
      <c r="AG94" s="69">
        <v>23950</v>
      </c>
      <c r="AH94" s="70">
        <v>45694</v>
      </c>
      <c r="AI94" s="69" t="s">
        <v>43</v>
      </c>
      <c r="AJ94" s="69">
        <v>3</v>
      </c>
      <c r="AK94" s="71">
        <v>45686.635416666657</v>
      </c>
      <c r="AL94" s="71">
        <v>45693.635416666657</v>
      </c>
      <c r="AM94" s="69">
        <v>78.2</v>
      </c>
      <c r="AN94" s="69">
        <v>-0.18140000000000001</v>
      </c>
      <c r="AO94" s="69">
        <v>14.5</v>
      </c>
      <c r="AP94" s="69">
        <v>-0.13089999999999999</v>
      </c>
      <c r="AQ94" s="69">
        <v>12421.5</v>
      </c>
      <c r="AR94" s="69" t="s">
        <v>46</v>
      </c>
    </row>
    <row r="95" spans="1:44" x14ac:dyDescent="0.3">
      <c r="A95" t="s">
        <v>40</v>
      </c>
      <c r="B95" t="s">
        <v>41</v>
      </c>
      <c r="C95">
        <v>23100</v>
      </c>
      <c r="D95" t="s">
        <v>174</v>
      </c>
      <c r="E95" t="s">
        <v>43</v>
      </c>
      <c r="F95">
        <v>3</v>
      </c>
      <c r="G95" t="s">
        <v>173</v>
      </c>
      <c r="H95" t="s">
        <v>175</v>
      </c>
      <c r="I95">
        <v>18.75</v>
      </c>
      <c r="J95">
        <v>-0.1008</v>
      </c>
      <c r="K95">
        <v>0.4</v>
      </c>
      <c r="L95">
        <v>-4.4999999999999997E-3</v>
      </c>
      <c r="M95">
        <v>3578.3</v>
      </c>
      <c r="N95" t="s">
        <v>46</v>
      </c>
      <c r="P95" t="s">
        <v>40</v>
      </c>
      <c r="Q95" t="s">
        <v>41</v>
      </c>
      <c r="R95">
        <v>23450</v>
      </c>
      <c r="S95" s="30">
        <v>45715</v>
      </c>
      <c r="T95" t="s">
        <v>43</v>
      </c>
      <c r="U95">
        <v>3</v>
      </c>
      <c r="V95" s="31">
        <v>45707.635416666657</v>
      </c>
      <c r="W95" s="31">
        <v>45713.635416666657</v>
      </c>
      <c r="X95">
        <v>33.75</v>
      </c>
      <c r="Y95">
        <v>-0.14680000000000001</v>
      </c>
      <c r="Z95">
        <v>1.4</v>
      </c>
      <c r="AA95">
        <v>-1.0800000000000001E-2</v>
      </c>
      <c r="AB95">
        <v>6308.2</v>
      </c>
      <c r="AC95" t="s">
        <v>46</v>
      </c>
      <c r="AE95" s="69" t="s">
        <v>40</v>
      </c>
      <c r="AF95" s="69" t="s">
        <v>41</v>
      </c>
      <c r="AG95" s="69">
        <v>24250</v>
      </c>
      <c r="AH95" s="70">
        <v>45701</v>
      </c>
      <c r="AI95" s="69" t="s">
        <v>43</v>
      </c>
      <c r="AJ95" s="69">
        <v>3</v>
      </c>
      <c r="AK95" s="71">
        <v>45693.635416666657</v>
      </c>
      <c r="AL95" s="71">
        <v>45700.635416666657</v>
      </c>
      <c r="AM95" s="69">
        <v>34.6</v>
      </c>
      <c r="AN95" s="69">
        <v>-0.14269999999999999</v>
      </c>
      <c r="AO95" s="69">
        <v>0.7</v>
      </c>
      <c r="AP95" s="69">
        <v>-5.0000000000000001E-3</v>
      </c>
      <c r="AQ95" s="69">
        <v>6610.5</v>
      </c>
      <c r="AR95" s="69" t="s">
        <v>46</v>
      </c>
    </row>
    <row r="96" spans="1:44" x14ac:dyDescent="0.3">
      <c r="A96" t="s">
        <v>40</v>
      </c>
      <c r="B96" t="s">
        <v>41</v>
      </c>
      <c r="C96">
        <v>22900</v>
      </c>
      <c r="D96" t="s">
        <v>176</v>
      </c>
      <c r="E96" t="s">
        <v>43</v>
      </c>
      <c r="F96">
        <v>3</v>
      </c>
      <c r="G96" t="s">
        <v>175</v>
      </c>
      <c r="H96" t="s">
        <v>177</v>
      </c>
      <c r="I96">
        <v>19</v>
      </c>
      <c r="J96">
        <v>-9.9000000000000005E-2</v>
      </c>
      <c r="K96">
        <v>1.85</v>
      </c>
      <c r="L96">
        <v>-2.3099999999999999E-2</v>
      </c>
      <c r="M96">
        <v>3344.2</v>
      </c>
      <c r="N96" t="s">
        <v>46</v>
      </c>
      <c r="P96" t="s">
        <v>40</v>
      </c>
      <c r="Q96" t="s">
        <v>41</v>
      </c>
      <c r="R96">
        <v>23100</v>
      </c>
      <c r="S96" s="30">
        <v>45722</v>
      </c>
      <c r="T96" t="s">
        <v>43</v>
      </c>
      <c r="U96">
        <v>3</v>
      </c>
      <c r="V96" s="31">
        <v>45713.635416666657</v>
      </c>
      <c r="W96" s="31">
        <v>45721.635416666657</v>
      </c>
      <c r="X96">
        <v>18.75</v>
      </c>
      <c r="Y96">
        <v>-0.1008</v>
      </c>
      <c r="Z96">
        <v>0.4</v>
      </c>
      <c r="AA96">
        <v>-4.4999999999999997E-3</v>
      </c>
      <c r="AB96">
        <v>3578.3</v>
      </c>
      <c r="AC96" t="s">
        <v>46</v>
      </c>
      <c r="AE96" s="69" t="s">
        <v>40</v>
      </c>
      <c r="AF96" s="69" t="s">
        <v>41</v>
      </c>
      <c r="AG96" s="69">
        <v>23600</v>
      </c>
      <c r="AH96" s="70">
        <v>45708</v>
      </c>
      <c r="AI96" s="69" t="s">
        <v>43</v>
      </c>
      <c r="AJ96" s="69">
        <v>3</v>
      </c>
      <c r="AK96" s="71">
        <v>45700.635416666657</v>
      </c>
      <c r="AL96" s="71">
        <v>45707.635416666657</v>
      </c>
      <c r="AM96" s="69">
        <v>35.25</v>
      </c>
      <c r="AN96" s="69">
        <v>-0.14560000000000001</v>
      </c>
      <c r="AO96" s="69">
        <v>1</v>
      </c>
      <c r="AP96" s="69">
        <v>-1.0500000000000001E-2</v>
      </c>
      <c r="AQ96" s="69">
        <v>6678.8</v>
      </c>
      <c r="AR96" s="69" t="s">
        <v>46</v>
      </c>
    </row>
    <row r="97" spans="1:44" x14ac:dyDescent="0.3">
      <c r="A97" t="s">
        <v>40</v>
      </c>
      <c r="B97" t="s">
        <v>41</v>
      </c>
      <c r="C97">
        <v>22950</v>
      </c>
      <c r="D97" t="s">
        <v>178</v>
      </c>
      <c r="E97" t="s">
        <v>43</v>
      </c>
      <c r="F97">
        <v>3</v>
      </c>
      <c r="G97" t="s">
        <v>177</v>
      </c>
      <c r="H97" t="s">
        <v>179</v>
      </c>
      <c r="I97">
        <v>20.05</v>
      </c>
      <c r="J97">
        <v>-0.11269999999999999</v>
      </c>
      <c r="K97">
        <v>69.8</v>
      </c>
      <c r="L97">
        <v>-0.42909999999999998</v>
      </c>
      <c r="M97">
        <v>-9701.2000000000007</v>
      </c>
      <c r="N97" t="s">
        <v>46</v>
      </c>
      <c r="P97" t="s">
        <v>40</v>
      </c>
      <c r="Q97" t="s">
        <v>41</v>
      </c>
      <c r="R97">
        <v>22900</v>
      </c>
      <c r="S97" s="30">
        <v>45729</v>
      </c>
      <c r="T97" t="s">
        <v>43</v>
      </c>
      <c r="U97">
        <v>3</v>
      </c>
      <c r="V97" s="31">
        <v>45721.635416666657</v>
      </c>
      <c r="W97" s="31">
        <v>45728.635416666657</v>
      </c>
      <c r="X97">
        <v>19</v>
      </c>
      <c r="Y97">
        <v>-9.9000000000000005E-2</v>
      </c>
      <c r="Z97">
        <v>1.85</v>
      </c>
      <c r="AA97">
        <v>-2.3099999999999999E-2</v>
      </c>
      <c r="AB97">
        <v>3344.2</v>
      </c>
      <c r="AC97" t="s">
        <v>46</v>
      </c>
      <c r="AE97" s="69" t="s">
        <v>40</v>
      </c>
      <c r="AF97" s="69" t="s">
        <v>51</v>
      </c>
      <c r="AG97" s="69">
        <v>24300</v>
      </c>
      <c r="AH97" s="70">
        <v>45715</v>
      </c>
      <c r="AI97" s="69" t="s">
        <v>43</v>
      </c>
      <c r="AJ97" s="69">
        <v>1</v>
      </c>
      <c r="AK97" s="71">
        <v>45686.635416666657</v>
      </c>
      <c r="AL97" s="71">
        <v>45713.635416666657</v>
      </c>
      <c r="AM97" s="69">
        <v>1125.6500000000001</v>
      </c>
      <c r="AN97" s="69">
        <v>0.80889999999999995</v>
      </c>
      <c r="AO97" s="69">
        <v>1711.75</v>
      </c>
      <c r="AP97" s="69">
        <v>0.99650000000000005</v>
      </c>
      <c r="AQ97" s="69">
        <v>-38096.5</v>
      </c>
      <c r="AR97" s="69" t="s">
        <v>46</v>
      </c>
    </row>
    <row r="98" spans="1:44" x14ac:dyDescent="0.3">
      <c r="A98" t="s">
        <v>40</v>
      </c>
      <c r="B98" t="s">
        <v>51</v>
      </c>
      <c r="C98">
        <v>23000</v>
      </c>
      <c r="D98" t="s">
        <v>180</v>
      </c>
      <c r="E98" t="s">
        <v>43</v>
      </c>
      <c r="F98">
        <v>1</v>
      </c>
      <c r="G98" t="s">
        <v>173</v>
      </c>
      <c r="H98" t="s">
        <v>181</v>
      </c>
      <c r="I98">
        <v>471.6</v>
      </c>
      <c r="J98">
        <v>0.64380000000000004</v>
      </c>
      <c r="K98">
        <v>63.1</v>
      </c>
      <c r="L98">
        <v>0.27629999999999999</v>
      </c>
      <c r="M98">
        <v>26552.5</v>
      </c>
      <c r="N98" t="s">
        <v>63</v>
      </c>
      <c r="P98" t="s">
        <v>40</v>
      </c>
      <c r="Q98" t="s">
        <v>41</v>
      </c>
      <c r="R98">
        <v>22950</v>
      </c>
      <c r="S98" s="30">
        <v>45736</v>
      </c>
      <c r="T98" t="s">
        <v>43</v>
      </c>
      <c r="U98">
        <v>3</v>
      </c>
      <c r="V98" s="31">
        <v>45728.635416666657</v>
      </c>
      <c r="W98" s="31">
        <v>45735.635416666657</v>
      </c>
      <c r="X98">
        <v>20.05</v>
      </c>
      <c r="Y98">
        <v>-0.11269999999999999</v>
      </c>
      <c r="Z98">
        <v>69.8</v>
      </c>
      <c r="AA98">
        <v>-0.42909999999999998</v>
      </c>
      <c r="AB98">
        <v>-9701.2000000000007</v>
      </c>
      <c r="AC98" t="s">
        <v>46</v>
      </c>
      <c r="AE98" s="69" t="s">
        <v>40</v>
      </c>
      <c r="AF98" s="69" t="s">
        <v>51</v>
      </c>
      <c r="AG98" s="69">
        <v>23150</v>
      </c>
      <c r="AH98" s="70">
        <v>45715</v>
      </c>
      <c r="AI98" s="69" t="s">
        <v>54</v>
      </c>
      <c r="AJ98" s="69">
        <v>1</v>
      </c>
      <c r="AK98" s="71">
        <v>45686.635416666657</v>
      </c>
      <c r="AL98" s="71">
        <v>45713.635416666657</v>
      </c>
      <c r="AM98" s="69">
        <v>429</v>
      </c>
      <c r="AN98" s="69">
        <v>-0.44869999999999999</v>
      </c>
      <c r="AO98" s="69">
        <v>563</v>
      </c>
      <c r="AP98" s="69">
        <v>-0.9798</v>
      </c>
      <c r="AQ98" s="69">
        <v>8710</v>
      </c>
      <c r="AR98" s="69" t="s">
        <v>46</v>
      </c>
    </row>
    <row r="99" spans="1:44" x14ac:dyDescent="0.3">
      <c r="A99" t="s">
        <v>40</v>
      </c>
      <c r="B99" t="s">
        <v>51</v>
      </c>
      <c r="C99">
        <v>22550</v>
      </c>
      <c r="D99" t="s">
        <v>180</v>
      </c>
      <c r="E99" t="s">
        <v>54</v>
      </c>
      <c r="F99">
        <v>1</v>
      </c>
      <c r="G99" t="s">
        <v>173</v>
      </c>
      <c r="H99" t="s">
        <v>182</v>
      </c>
      <c r="I99">
        <v>255.55</v>
      </c>
      <c r="J99">
        <v>-0.43240000000000001</v>
      </c>
      <c r="K99">
        <v>1.75</v>
      </c>
      <c r="L99">
        <v>-1.18E-2</v>
      </c>
      <c r="M99">
        <v>-16497</v>
      </c>
      <c r="N99" t="s">
        <v>46</v>
      </c>
      <c r="P99" t="s">
        <v>40</v>
      </c>
      <c r="Q99" t="s">
        <v>51</v>
      </c>
      <c r="R99">
        <v>23100</v>
      </c>
      <c r="S99" s="30">
        <v>45743</v>
      </c>
      <c r="T99" t="s">
        <v>43</v>
      </c>
      <c r="U99">
        <v>1</v>
      </c>
      <c r="V99" s="31">
        <v>45713.635416666657</v>
      </c>
      <c r="W99" s="31">
        <v>45736.635416666657</v>
      </c>
      <c r="X99">
        <v>532</v>
      </c>
      <c r="Y99">
        <v>0.69010000000000005</v>
      </c>
      <c r="Z99">
        <v>94.45</v>
      </c>
      <c r="AA99">
        <v>0.373</v>
      </c>
      <c r="AB99">
        <v>28440.799999999999</v>
      </c>
      <c r="AC99" t="s">
        <v>63</v>
      </c>
      <c r="AE99" s="69" t="s">
        <v>40</v>
      </c>
      <c r="AF99" s="69" t="s">
        <v>41</v>
      </c>
      <c r="AG99" s="69">
        <v>23450</v>
      </c>
      <c r="AH99" s="70">
        <v>45715</v>
      </c>
      <c r="AI99" s="69" t="s">
        <v>43</v>
      </c>
      <c r="AJ99" s="69">
        <v>3</v>
      </c>
      <c r="AK99" s="71">
        <v>45707.635416666657</v>
      </c>
      <c r="AL99" s="71">
        <v>45713.635416666657</v>
      </c>
      <c r="AM99" s="69">
        <v>33.75</v>
      </c>
      <c r="AN99" s="69">
        <v>-0.14680000000000001</v>
      </c>
      <c r="AO99" s="69">
        <v>1.4</v>
      </c>
      <c r="AP99" s="69">
        <v>-1.0800000000000001E-2</v>
      </c>
      <c r="AQ99" s="69">
        <v>6308.2</v>
      </c>
      <c r="AR99" s="69" t="s">
        <v>46</v>
      </c>
    </row>
    <row r="100" spans="1:44" x14ac:dyDescent="0.3">
      <c r="A100" t="s">
        <v>40</v>
      </c>
      <c r="B100" t="s">
        <v>51</v>
      </c>
      <c r="C100">
        <v>24000</v>
      </c>
      <c r="D100" t="s">
        <v>180</v>
      </c>
      <c r="E100" t="s">
        <v>43</v>
      </c>
      <c r="F100">
        <v>1</v>
      </c>
      <c r="G100" t="s">
        <v>181</v>
      </c>
      <c r="H100" t="s">
        <v>182</v>
      </c>
      <c r="I100">
        <v>808</v>
      </c>
      <c r="J100">
        <v>0.97940000000000005</v>
      </c>
      <c r="K100">
        <v>480.35</v>
      </c>
      <c r="L100">
        <v>0.96140000000000003</v>
      </c>
      <c r="M100">
        <v>21297.200000000001</v>
      </c>
      <c r="N100" t="s">
        <v>46</v>
      </c>
      <c r="P100" t="s">
        <v>40</v>
      </c>
      <c r="Q100" t="s">
        <v>51</v>
      </c>
      <c r="R100">
        <v>22550</v>
      </c>
      <c r="S100" s="30">
        <v>45743</v>
      </c>
      <c r="T100" t="s">
        <v>54</v>
      </c>
      <c r="U100">
        <v>1</v>
      </c>
      <c r="V100" s="31">
        <v>45713.635416666657</v>
      </c>
      <c r="W100" s="31">
        <v>45742.635416666657</v>
      </c>
      <c r="X100">
        <v>255.55</v>
      </c>
      <c r="Y100">
        <v>-0.43240000000000001</v>
      </c>
      <c r="Z100">
        <v>1.75</v>
      </c>
      <c r="AA100">
        <v>-1.18E-2</v>
      </c>
      <c r="AB100">
        <v>-16497</v>
      </c>
      <c r="AC100" t="s">
        <v>46</v>
      </c>
      <c r="AE100" s="69" t="s">
        <v>40</v>
      </c>
      <c r="AF100" s="69" t="s">
        <v>41</v>
      </c>
      <c r="AG100" s="69">
        <v>23100</v>
      </c>
      <c r="AH100" s="70">
        <v>45722</v>
      </c>
      <c r="AI100" s="69" t="s">
        <v>43</v>
      </c>
      <c r="AJ100" s="69">
        <v>3</v>
      </c>
      <c r="AK100" s="71">
        <v>45713.635416666657</v>
      </c>
      <c r="AL100" s="71">
        <v>45721.635416666657</v>
      </c>
      <c r="AM100" s="69">
        <v>18.75</v>
      </c>
      <c r="AN100" s="69">
        <v>-0.1008</v>
      </c>
      <c r="AO100" s="69">
        <v>0.4</v>
      </c>
      <c r="AP100" s="69">
        <v>-4.4999999999999997E-3</v>
      </c>
      <c r="AQ100" s="69">
        <v>3578.3</v>
      </c>
      <c r="AR100" s="69" t="s">
        <v>46</v>
      </c>
    </row>
    <row r="101" spans="1:44" x14ac:dyDescent="0.3">
      <c r="A101" t="s">
        <v>40</v>
      </c>
      <c r="B101" t="s">
        <v>41</v>
      </c>
      <c r="C101">
        <v>23450</v>
      </c>
      <c r="D101" t="s">
        <v>180</v>
      </c>
      <c r="E101" t="s">
        <v>43</v>
      </c>
      <c r="F101">
        <v>3</v>
      </c>
      <c r="G101" t="s">
        <v>179</v>
      </c>
      <c r="H101" t="s">
        <v>182</v>
      </c>
      <c r="I101">
        <v>21.4</v>
      </c>
      <c r="J101">
        <v>-0.1099</v>
      </c>
      <c r="K101">
        <v>123.6</v>
      </c>
      <c r="L101">
        <v>-0.58840000000000003</v>
      </c>
      <c r="M101">
        <v>-19929</v>
      </c>
      <c r="N101" t="s">
        <v>46</v>
      </c>
      <c r="P101" t="s">
        <v>40</v>
      </c>
      <c r="Q101" t="s">
        <v>51</v>
      </c>
      <c r="R101">
        <v>23700</v>
      </c>
      <c r="S101" s="30">
        <v>45743</v>
      </c>
      <c r="T101" t="s">
        <v>43</v>
      </c>
      <c r="U101">
        <v>1</v>
      </c>
      <c r="V101" s="31">
        <v>45736.635416666657</v>
      </c>
      <c r="W101" s="31">
        <v>45742.635416666657</v>
      </c>
      <c r="X101">
        <v>516.1</v>
      </c>
      <c r="Y101">
        <v>0.92920000000000003</v>
      </c>
      <c r="Z101">
        <v>202</v>
      </c>
      <c r="AA101">
        <v>0.81130000000000002</v>
      </c>
      <c r="AB101">
        <v>20416.5</v>
      </c>
      <c r="AC101" t="s">
        <v>46</v>
      </c>
      <c r="AE101" s="69" t="s">
        <v>40</v>
      </c>
      <c r="AF101" s="69" t="s">
        <v>41</v>
      </c>
      <c r="AG101" s="69">
        <v>22900</v>
      </c>
      <c r="AH101" s="70">
        <v>45729</v>
      </c>
      <c r="AI101" s="69" t="s">
        <v>43</v>
      </c>
      <c r="AJ101" s="69">
        <v>3</v>
      </c>
      <c r="AK101" s="71">
        <v>45721.635416666657</v>
      </c>
      <c r="AL101" s="71">
        <v>45728.635416666657</v>
      </c>
      <c r="AM101" s="69">
        <v>19</v>
      </c>
      <c r="AN101" s="69">
        <v>-9.9000000000000005E-2</v>
      </c>
      <c r="AO101" s="69">
        <v>1.85</v>
      </c>
      <c r="AP101" s="69">
        <v>-2.3099999999999999E-2</v>
      </c>
      <c r="AQ101" s="69">
        <v>3344.2</v>
      </c>
      <c r="AR101" s="69" t="s">
        <v>46</v>
      </c>
    </row>
    <row r="102" spans="1:44" x14ac:dyDescent="0.3">
      <c r="A102" t="s">
        <v>40</v>
      </c>
      <c r="B102" t="s">
        <v>41</v>
      </c>
      <c r="C102">
        <v>24200</v>
      </c>
      <c r="D102" t="s">
        <v>183</v>
      </c>
      <c r="E102" t="s">
        <v>43</v>
      </c>
      <c r="F102">
        <v>3</v>
      </c>
      <c r="G102" t="s">
        <v>182</v>
      </c>
      <c r="H102" t="s">
        <v>184</v>
      </c>
      <c r="I102">
        <v>22.2</v>
      </c>
      <c r="J102">
        <v>-9.4899999999999998E-2</v>
      </c>
      <c r="K102">
        <v>1.2</v>
      </c>
      <c r="L102">
        <v>-9.7999999999999997E-3</v>
      </c>
      <c r="M102">
        <v>4095</v>
      </c>
      <c r="N102" t="s">
        <v>46</v>
      </c>
      <c r="P102" t="s">
        <v>40</v>
      </c>
      <c r="Q102" t="s">
        <v>41</v>
      </c>
      <c r="R102">
        <v>23450</v>
      </c>
      <c r="S102" s="30">
        <v>45743</v>
      </c>
      <c r="T102" t="s">
        <v>43</v>
      </c>
      <c r="U102">
        <v>3</v>
      </c>
      <c r="V102" s="31">
        <v>45735.635416666657</v>
      </c>
      <c r="W102" s="31">
        <v>45742.635416666657</v>
      </c>
      <c r="X102">
        <v>21.4</v>
      </c>
      <c r="Y102">
        <v>-0.1099</v>
      </c>
      <c r="Z102">
        <v>123.6</v>
      </c>
      <c r="AA102">
        <v>-0.58840000000000003</v>
      </c>
      <c r="AB102">
        <v>-19929</v>
      </c>
      <c r="AC102" t="s">
        <v>46</v>
      </c>
      <c r="AE102" s="69" t="s">
        <v>40</v>
      </c>
      <c r="AF102" s="69" t="s">
        <v>41</v>
      </c>
      <c r="AG102" s="69">
        <v>22950</v>
      </c>
      <c r="AH102" s="70">
        <v>45736</v>
      </c>
      <c r="AI102" s="69" t="s">
        <v>43</v>
      </c>
      <c r="AJ102" s="69">
        <v>3</v>
      </c>
      <c r="AK102" s="71">
        <v>45728.635416666657</v>
      </c>
      <c r="AL102" s="71">
        <v>45735.635416666657</v>
      </c>
      <c r="AM102" s="69">
        <v>20.05</v>
      </c>
      <c r="AN102" s="69">
        <v>-0.11269999999999999</v>
      </c>
      <c r="AO102" s="69">
        <v>69.8</v>
      </c>
      <c r="AP102" s="69">
        <v>-0.42909999999999998</v>
      </c>
      <c r="AQ102" s="69">
        <v>-9701.2000000000007</v>
      </c>
      <c r="AR102" s="69" t="s">
        <v>46</v>
      </c>
    </row>
    <row r="103" spans="1:44" x14ac:dyDescent="0.3">
      <c r="A103" t="s">
        <v>40</v>
      </c>
      <c r="B103" t="s">
        <v>41</v>
      </c>
      <c r="C103">
        <v>23950</v>
      </c>
      <c r="D103" t="s">
        <v>185</v>
      </c>
      <c r="E103" t="s">
        <v>43</v>
      </c>
      <c r="F103">
        <v>3</v>
      </c>
      <c r="G103" t="s">
        <v>184</v>
      </c>
      <c r="H103" t="s">
        <v>186</v>
      </c>
      <c r="I103">
        <v>20.3</v>
      </c>
      <c r="J103">
        <v>-9.7500000000000003E-2</v>
      </c>
      <c r="K103">
        <v>1.8</v>
      </c>
      <c r="L103">
        <v>-9.2999999999999992E-3</v>
      </c>
      <c r="M103">
        <v>3607.5</v>
      </c>
      <c r="N103" t="s">
        <v>46</v>
      </c>
      <c r="P103" t="s">
        <v>40</v>
      </c>
      <c r="Q103" t="s">
        <v>41</v>
      </c>
      <c r="R103">
        <v>24200</v>
      </c>
      <c r="S103" s="30">
        <v>45750</v>
      </c>
      <c r="T103" t="s">
        <v>43</v>
      </c>
      <c r="U103">
        <v>3</v>
      </c>
      <c r="V103" s="31">
        <v>45742.635416666657</v>
      </c>
      <c r="W103" s="31">
        <v>45749.635416666657</v>
      </c>
      <c r="X103">
        <v>22.2</v>
      </c>
      <c r="Y103">
        <v>-9.4899999999999998E-2</v>
      </c>
      <c r="Z103">
        <v>1.2</v>
      </c>
      <c r="AA103">
        <v>-9.7999999999999997E-3</v>
      </c>
      <c r="AB103">
        <v>4095</v>
      </c>
      <c r="AC103" t="s">
        <v>46</v>
      </c>
      <c r="AE103" s="69" t="s">
        <v>40</v>
      </c>
      <c r="AF103" s="69" t="s">
        <v>51</v>
      </c>
      <c r="AG103" s="69">
        <v>23100</v>
      </c>
      <c r="AH103" s="70">
        <v>45743</v>
      </c>
      <c r="AI103" s="69" t="s">
        <v>43</v>
      </c>
      <c r="AJ103" s="69">
        <v>1</v>
      </c>
      <c r="AK103" s="71">
        <v>45713.635416666657</v>
      </c>
      <c r="AL103" s="71">
        <v>45736.635416666657</v>
      </c>
      <c r="AM103" s="69">
        <v>532</v>
      </c>
      <c r="AN103" s="69">
        <v>0.69010000000000005</v>
      </c>
      <c r="AO103" s="69">
        <v>94.45</v>
      </c>
      <c r="AP103" s="69">
        <v>0.373</v>
      </c>
      <c r="AQ103" s="69">
        <v>28440.799999999999</v>
      </c>
      <c r="AR103" s="69" t="s">
        <v>63</v>
      </c>
    </row>
    <row r="104" spans="1:44" x14ac:dyDescent="0.3">
      <c r="A104" t="s">
        <v>40</v>
      </c>
      <c r="B104" t="s">
        <v>41</v>
      </c>
      <c r="C104">
        <v>23850</v>
      </c>
      <c r="D104" t="s">
        <v>187</v>
      </c>
      <c r="E104" t="s">
        <v>43</v>
      </c>
      <c r="F104">
        <v>3</v>
      </c>
      <c r="G104" t="s">
        <v>186</v>
      </c>
      <c r="H104" t="s">
        <v>188</v>
      </c>
      <c r="I104">
        <v>21.4</v>
      </c>
      <c r="J104">
        <v>-6.2199999999999998E-2</v>
      </c>
      <c r="K104">
        <v>4.95</v>
      </c>
      <c r="L104">
        <v>-4.8099999999999997E-2</v>
      </c>
      <c r="M104">
        <v>3207.8</v>
      </c>
      <c r="N104" t="s">
        <v>46</v>
      </c>
      <c r="P104" t="s">
        <v>40</v>
      </c>
      <c r="Q104" t="s">
        <v>41</v>
      </c>
      <c r="R104">
        <v>23950</v>
      </c>
      <c r="S104" s="30">
        <v>45756</v>
      </c>
      <c r="T104" t="s">
        <v>43</v>
      </c>
      <c r="U104">
        <v>3</v>
      </c>
      <c r="V104" s="31">
        <v>45749.635416666657</v>
      </c>
      <c r="W104" s="31">
        <v>45755.635416666657</v>
      </c>
      <c r="X104">
        <v>20.3</v>
      </c>
      <c r="Y104">
        <v>-9.7500000000000003E-2</v>
      </c>
      <c r="Z104">
        <v>1.8</v>
      </c>
      <c r="AA104">
        <v>-9.2999999999999992E-3</v>
      </c>
      <c r="AB104">
        <v>3607.5</v>
      </c>
      <c r="AC104" t="s">
        <v>46</v>
      </c>
      <c r="AE104" s="69" t="s">
        <v>40</v>
      </c>
      <c r="AF104" s="69" t="s">
        <v>51</v>
      </c>
      <c r="AG104" s="69">
        <v>22550</v>
      </c>
      <c r="AH104" s="70">
        <v>45743</v>
      </c>
      <c r="AI104" s="69" t="s">
        <v>54</v>
      </c>
      <c r="AJ104" s="69">
        <v>1</v>
      </c>
      <c r="AK104" s="71">
        <v>45713.635416666657</v>
      </c>
      <c r="AL104" s="71">
        <v>45736.635416666657</v>
      </c>
      <c r="AM104" s="69">
        <v>255.55</v>
      </c>
      <c r="AN104" s="69">
        <v>-0.43240000000000001</v>
      </c>
      <c r="AO104" s="69">
        <v>12.85</v>
      </c>
      <c r="AP104" s="69">
        <v>-6.5199999999999994E-2</v>
      </c>
      <c r="AQ104" s="69">
        <v>-15775.5</v>
      </c>
      <c r="AR104" s="69" t="s">
        <v>63</v>
      </c>
    </row>
    <row r="105" spans="1:44" x14ac:dyDescent="0.3">
      <c r="A105" t="s">
        <v>40</v>
      </c>
      <c r="B105" t="s">
        <v>51</v>
      </c>
      <c r="C105">
        <v>24000</v>
      </c>
      <c r="D105" t="s">
        <v>189</v>
      </c>
      <c r="E105" t="s">
        <v>43</v>
      </c>
      <c r="F105">
        <v>1</v>
      </c>
      <c r="G105" t="s">
        <v>182</v>
      </c>
      <c r="H105" t="s">
        <v>190</v>
      </c>
      <c r="I105">
        <v>499</v>
      </c>
      <c r="J105">
        <v>0.66810000000000003</v>
      </c>
      <c r="K105">
        <v>70.5</v>
      </c>
      <c r="L105">
        <v>0.3286</v>
      </c>
      <c r="M105">
        <v>27852.5</v>
      </c>
      <c r="N105" t="s">
        <v>63</v>
      </c>
      <c r="P105" t="s">
        <v>40</v>
      </c>
      <c r="Q105" t="s">
        <v>41</v>
      </c>
      <c r="R105">
        <v>23850</v>
      </c>
      <c r="S105" s="30">
        <v>45764</v>
      </c>
      <c r="T105" t="s">
        <v>43</v>
      </c>
      <c r="U105">
        <v>3</v>
      </c>
      <c r="V105" s="31">
        <v>45755.635416666657</v>
      </c>
      <c r="W105" s="31">
        <v>45763.635416666657</v>
      </c>
      <c r="X105">
        <v>21.4</v>
      </c>
      <c r="Y105">
        <v>-6.2199999999999998E-2</v>
      </c>
      <c r="Z105">
        <v>4.95</v>
      </c>
      <c r="AA105">
        <v>-4.8099999999999997E-2</v>
      </c>
      <c r="AB105">
        <v>3207.8</v>
      </c>
      <c r="AC105" t="s">
        <v>46</v>
      </c>
      <c r="AE105" s="69" t="s">
        <v>40</v>
      </c>
      <c r="AF105" s="69" t="s">
        <v>51</v>
      </c>
      <c r="AG105" s="69">
        <v>23700</v>
      </c>
      <c r="AH105" s="70">
        <v>45743</v>
      </c>
      <c r="AI105" s="69" t="s">
        <v>43</v>
      </c>
      <c r="AJ105" s="69">
        <v>1</v>
      </c>
      <c r="AK105" s="71">
        <v>45736.635416666657</v>
      </c>
      <c r="AL105" s="71">
        <v>45742.635416666657</v>
      </c>
      <c r="AM105" s="69">
        <v>516.1</v>
      </c>
      <c r="AN105" s="69">
        <v>0.92920000000000003</v>
      </c>
      <c r="AO105" s="69">
        <v>202</v>
      </c>
      <c r="AP105" s="69">
        <v>0.81130000000000002</v>
      </c>
      <c r="AQ105" s="69">
        <v>20416.5</v>
      </c>
      <c r="AR105" s="69" t="s">
        <v>46</v>
      </c>
    </row>
    <row r="106" spans="1:44" x14ac:dyDescent="0.3">
      <c r="A106" t="s">
        <v>40</v>
      </c>
      <c r="B106" t="s">
        <v>51</v>
      </c>
      <c r="C106">
        <v>23500</v>
      </c>
      <c r="D106" t="s">
        <v>189</v>
      </c>
      <c r="E106" t="s">
        <v>54</v>
      </c>
      <c r="F106">
        <v>1</v>
      </c>
      <c r="G106" t="s">
        <v>182</v>
      </c>
      <c r="H106" t="s">
        <v>191</v>
      </c>
      <c r="I106">
        <v>253.75</v>
      </c>
      <c r="J106">
        <v>-0.43640000000000001</v>
      </c>
      <c r="K106">
        <v>6</v>
      </c>
      <c r="L106">
        <v>-3.3000000000000002E-2</v>
      </c>
      <c r="M106">
        <v>-16103.8</v>
      </c>
      <c r="N106" t="s">
        <v>46</v>
      </c>
      <c r="P106" t="s">
        <v>40</v>
      </c>
      <c r="Q106" t="s">
        <v>51</v>
      </c>
      <c r="R106">
        <v>24000</v>
      </c>
      <c r="S106" s="30">
        <v>45771</v>
      </c>
      <c r="T106" t="s">
        <v>43</v>
      </c>
      <c r="U106">
        <v>1</v>
      </c>
      <c r="V106" s="31">
        <v>45742.635416666657</v>
      </c>
      <c r="W106" s="31">
        <v>45768.635416666657</v>
      </c>
      <c r="X106">
        <v>499</v>
      </c>
      <c r="Y106">
        <v>0.66810000000000003</v>
      </c>
      <c r="Z106">
        <v>70.5</v>
      </c>
      <c r="AA106">
        <v>0.3286</v>
      </c>
      <c r="AB106">
        <v>27852.5</v>
      </c>
      <c r="AC106" t="s">
        <v>63</v>
      </c>
      <c r="AE106" s="69" t="s">
        <v>40</v>
      </c>
      <c r="AF106" s="69" t="s">
        <v>51</v>
      </c>
      <c r="AG106" s="69">
        <v>23200</v>
      </c>
      <c r="AH106" s="70">
        <v>45743</v>
      </c>
      <c r="AI106" s="69" t="s">
        <v>54</v>
      </c>
      <c r="AJ106" s="69">
        <v>1</v>
      </c>
      <c r="AK106" s="71">
        <v>45736.635416666657</v>
      </c>
      <c r="AL106" s="71">
        <v>45742.635416666657</v>
      </c>
      <c r="AM106" s="69">
        <v>137</v>
      </c>
      <c r="AN106" s="69">
        <v>-0.48010000000000003</v>
      </c>
      <c r="AO106" s="69">
        <v>10.6</v>
      </c>
      <c r="AP106" s="69">
        <v>-9.7699999999999995E-2</v>
      </c>
      <c r="AQ106" s="69">
        <v>-8216</v>
      </c>
      <c r="AR106" s="69" t="s">
        <v>46</v>
      </c>
    </row>
    <row r="107" spans="1:44" x14ac:dyDescent="0.3">
      <c r="A107" t="s">
        <v>40</v>
      </c>
      <c r="B107" t="s">
        <v>51</v>
      </c>
      <c r="C107">
        <v>25500</v>
      </c>
      <c r="D107" t="s">
        <v>189</v>
      </c>
      <c r="E107" t="s">
        <v>43</v>
      </c>
      <c r="F107">
        <v>1</v>
      </c>
      <c r="G107" t="s">
        <v>190</v>
      </c>
      <c r="H107" t="s">
        <v>191</v>
      </c>
      <c r="I107">
        <v>1365</v>
      </c>
      <c r="J107">
        <v>0.98939999999999995</v>
      </c>
      <c r="K107">
        <v>1203</v>
      </c>
      <c r="L107">
        <v>0.99099999999999999</v>
      </c>
      <c r="M107">
        <v>10530</v>
      </c>
      <c r="N107" t="s">
        <v>46</v>
      </c>
      <c r="P107" t="s">
        <v>40</v>
      </c>
      <c r="Q107" t="s">
        <v>51</v>
      </c>
      <c r="R107">
        <v>23500</v>
      </c>
      <c r="S107" s="30">
        <v>45771</v>
      </c>
      <c r="T107" t="s">
        <v>54</v>
      </c>
      <c r="U107">
        <v>1</v>
      </c>
      <c r="V107" s="31">
        <v>45742.635416666657</v>
      </c>
      <c r="W107" s="31">
        <v>45770.635416666657</v>
      </c>
      <c r="X107">
        <v>253.75</v>
      </c>
      <c r="Y107">
        <v>-0.43640000000000001</v>
      </c>
      <c r="Z107">
        <v>6</v>
      </c>
      <c r="AA107">
        <v>-3.3000000000000002E-2</v>
      </c>
      <c r="AB107">
        <v>-16103.8</v>
      </c>
      <c r="AC107" t="s">
        <v>46</v>
      </c>
      <c r="AE107" s="69" t="s">
        <v>40</v>
      </c>
      <c r="AF107" s="69" t="s">
        <v>41</v>
      </c>
      <c r="AG107" s="69">
        <v>23450</v>
      </c>
      <c r="AH107" s="70">
        <v>45743</v>
      </c>
      <c r="AI107" s="69" t="s">
        <v>43</v>
      </c>
      <c r="AJ107" s="69">
        <v>3</v>
      </c>
      <c r="AK107" s="71">
        <v>45735.635416666657</v>
      </c>
      <c r="AL107" s="71">
        <v>45742.635416666657</v>
      </c>
      <c r="AM107" s="69">
        <v>21.4</v>
      </c>
      <c r="AN107" s="69">
        <v>-0.1099</v>
      </c>
      <c r="AO107" s="69">
        <v>123.6</v>
      </c>
      <c r="AP107" s="69">
        <v>-0.58840000000000003</v>
      </c>
      <c r="AQ107" s="69">
        <v>-19929</v>
      </c>
      <c r="AR107" s="69" t="s">
        <v>46</v>
      </c>
    </row>
    <row r="108" spans="1:44" x14ac:dyDescent="0.3">
      <c r="A108" t="s">
        <v>40</v>
      </c>
      <c r="B108" t="s">
        <v>41</v>
      </c>
      <c r="C108">
        <v>24150</v>
      </c>
      <c r="D108" t="s">
        <v>189</v>
      </c>
      <c r="E108" t="s">
        <v>43</v>
      </c>
      <c r="F108">
        <v>3</v>
      </c>
      <c r="G108" t="s">
        <v>188</v>
      </c>
      <c r="H108" t="s">
        <v>191</v>
      </c>
      <c r="I108">
        <v>22.25</v>
      </c>
      <c r="J108">
        <v>-9.3899999999999997E-2</v>
      </c>
      <c r="K108">
        <v>167.25</v>
      </c>
      <c r="L108">
        <v>-0.82030000000000003</v>
      </c>
      <c r="M108">
        <v>-28275</v>
      </c>
      <c r="N108" t="s">
        <v>46</v>
      </c>
      <c r="P108" t="s">
        <v>40</v>
      </c>
      <c r="Q108" t="s">
        <v>51</v>
      </c>
      <c r="R108">
        <v>24600</v>
      </c>
      <c r="S108" s="30">
        <v>45771</v>
      </c>
      <c r="T108" t="s">
        <v>43</v>
      </c>
      <c r="U108">
        <v>1</v>
      </c>
      <c r="V108" s="31">
        <v>45768.635416666657</v>
      </c>
      <c r="W108" s="31">
        <v>45770.635416666657</v>
      </c>
      <c r="X108">
        <v>466.75</v>
      </c>
      <c r="Y108">
        <v>0.89580000000000004</v>
      </c>
      <c r="Z108">
        <v>314.8</v>
      </c>
      <c r="AA108">
        <v>0.87960000000000005</v>
      </c>
      <c r="AB108">
        <v>9876.7999999999993</v>
      </c>
      <c r="AC108" t="s">
        <v>46</v>
      </c>
      <c r="AE108" s="69" t="s">
        <v>40</v>
      </c>
      <c r="AF108" s="69" t="s">
        <v>41</v>
      </c>
      <c r="AG108" s="69">
        <v>24200</v>
      </c>
      <c r="AH108" s="70">
        <v>45750</v>
      </c>
      <c r="AI108" s="69" t="s">
        <v>43</v>
      </c>
      <c r="AJ108" s="69">
        <v>3</v>
      </c>
      <c r="AK108" s="71">
        <v>45742.635416666657</v>
      </c>
      <c r="AL108" s="71">
        <v>45749.635416666657</v>
      </c>
      <c r="AM108" s="69">
        <v>22.2</v>
      </c>
      <c r="AN108" s="69">
        <v>-9.4899999999999998E-2</v>
      </c>
      <c r="AO108" s="69">
        <v>1.2</v>
      </c>
      <c r="AP108" s="69">
        <v>-9.7999999999999997E-3</v>
      </c>
      <c r="AQ108" s="69">
        <v>4095</v>
      </c>
      <c r="AR108" s="69" t="s">
        <v>46</v>
      </c>
    </row>
    <row r="109" spans="1:44" x14ac:dyDescent="0.3">
      <c r="A109" t="s">
        <v>40</v>
      </c>
      <c r="B109" t="s">
        <v>41</v>
      </c>
      <c r="C109">
        <v>25100</v>
      </c>
      <c r="D109" t="s">
        <v>192</v>
      </c>
      <c r="E109" t="s">
        <v>43</v>
      </c>
      <c r="F109">
        <v>3</v>
      </c>
      <c r="G109" t="s">
        <v>191</v>
      </c>
      <c r="H109" t="s">
        <v>193</v>
      </c>
      <c r="I109">
        <v>25.45</v>
      </c>
      <c r="J109">
        <v>-9.7199999999999995E-2</v>
      </c>
      <c r="K109">
        <v>1.3</v>
      </c>
      <c r="L109">
        <v>-1.14E-2</v>
      </c>
      <c r="M109">
        <v>4709.2</v>
      </c>
      <c r="N109" t="s">
        <v>46</v>
      </c>
      <c r="P109" t="s">
        <v>40</v>
      </c>
      <c r="Q109" t="s">
        <v>41</v>
      </c>
      <c r="R109">
        <v>24150</v>
      </c>
      <c r="S109" s="30">
        <v>45771</v>
      </c>
      <c r="T109" t="s">
        <v>43</v>
      </c>
      <c r="U109">
        <v>3</v>
      </c>
      <c r="V109" s="31">
        <v>45763.635416666657</v>
      </c>
      <c r="W109" s="31">
        <v>45770.635416666657</v>
      </c>
      <c r="X109">
        <v>22.25</v>
      </c>
      <c r="Y109">
        <v>-9.3899999999999997E-2</v>
      </c>
      <c r="Z109">
        <v>167.25</v>
      </c>
      <c r="AA109">
        <v>-0.82030000000000003</v>
      </c>
      <c r="AB109">
        <v>-28275</v>
      </c>
      <c r="AC109" t="s">
        <v>46</v>
      </c>
      <c r="AE109" s="69" t="s">
        <v>40</v>
      </c>
      <c r="AF109" s="69" t="s">
        <v>41</v>
      </c>
      <c r="AG109" s="69">
        <v>23950</v>
      </c>
      <c r="AH109" s="70">
        <v>45756</v>
      </c>
      <c r="AI109" s="69" t="s">
        <v>43</v>
      </c>
      <c r="AJ109" s="69">
        <v>3</v>
      </c>
      <c r="AK109" s="71">
        <v>45749.635416666657</v>
      </c>
      <c r="AL109" s="71">
        <v>45755.635416666657</v>
      </c>
      <c r="AM109" s="69">
        <v>20.3</v>
      </c>
      <c r="AN109" s="69">
        <v>-9.7500000000000003E-2</v>
      </c>
      <c r="AO109" s="69">
        <v>1.8</v>
      </c>
      <c r="AP109" s="69">
        <v>-9.2999999999999992E-3</v>
      </c>
      <c r="AQ109" s="69">
        <v>3607.5</v>
      </c>
      <c r="AR109" s="69" t="s">
        <v>46</v>
      </c>
    </row>
    <row r="110" spans="1:44" x14ac:dyDescent="0.3">
      <c r="A110" t="s">
        <v>40</v>
      </c>
      <c r="B110" t="s">
        <v>41</v>
      </c>
      <c r="C110">
        <v>25050</v>
      </c>
      <c r="D110" t="s">
        <v>194</v>
      </c>
      <c r="E110" t="s">
        <v>43</v>
      </c>
      <c r="F110">
        <v>3</v>
      </c>
      <c r="G110" t="s">
        <v>193</v>
      </c>
      <c r="H110" t="s">
        <v>195</v>
      </c>
      <c r="I110">
        <v>25</v>
      </c>
      <c r="J110">
        <v>-0.1008</v>
      </c>
      <c r="K110">
        <v>1.85</v>
      </c>
      <c r="L110">
        <v>-1.7600000000000001E-2</v>
      </c>
      <c r="M110">
        <v>4514.2</v>
      </c>
      <c r="N110" t="s">
        <v>46</v>
      </c>
      <c r="P110" t="s">
        <v>40</v>
      </c>
      <c r="Q110" t="s">
        <v>41</v>
      </c>
      <c r="R110">
        <v>25100</v>
      </c>
      <c r="S110" s="30">
        <v>45777</v>
      </c>
      <c r="T110" t="s">
        <v>43</v>
      </c>
      <c r="U110">
        <v>3</v>
      </c>
      <c r="V110" s="31">
        <v>45770.635416666657</v>
      </c>
      <c r="W110" s="31">
        <v>45776.635416666657</v>
      </c>
      <c r="X110">
        <v>25.45</v>
      </c>
      <c r="Y110">
        <v>-9.7199999999999995E-2</v>
      </c>
      <c r="Z110">
        <v>1.3</v>
      </c>
      <c r="AA110">
        <v>-1.14E-2</v>
      </c>
      <c r="AB110">
        <v>4709.2</v>
      </c>
      <c r="AC110" t="s">
        <v>46</v>
      </c>
      <c r="AE110" s="69" t="s">
        <v>40</v>
      </c>
      <c r="AF110" s="69" t="s">
        <v>41</v>
      </c>
      <c r="AG110" s="69">
        <v>23850</v>
      </c>
      <c r="AH110" s="70">
        <v>45764</v>
      </c>
      <c r="AI110" s="69" t="s">
        <v>43</v>
      </c>
      <c r="AJ110" s="69">
        <v>3</v>
      </c>
      <c r="AK110" s="71">
        <v>45755.635416666657</v>
      </c>
      <c r="AL110" s="71">
        <v>45763.635416666657</v>
      </c>
      <c r="AM110" s="69">
        <v>21.4</v>
      </c>
      <c r="AN110" s="69">
        <v>-6.2199999999999998E-2</v>
      </c>
      <c r="AO110" s="69">
        <v>4.95</v>
      </c>
      <c r="AP110" s="69">
        <v>-4.8099999999999997E-2</v>
      </c>
      <c r="AQ110" s="69">
        <v>3207.8</v>
      </c>
      <c r="AR110" s="69" t="s">
        <v>46</v>
      </c>
    </row>
    <row r="111" spans="1:44" x14ac:dyDescent="0.3">
      <c r="A111" t="s">
        <v>40</v>
      </c>
      <c r="B111" t="s">
        <v>41</v>
      </c>
      <c r="C111">
        <v>25050</v>
      </c>
      <c r="D111" t="s">
        <v>196</v>
      </c>
      <c r="E111" t="s">
        <v>43</v>
      </c>
      <c r="F111">
        <v>3</v>
      </c>
      <c r="G111" t="s">
        <v>195</v>
      </c>
      <c r="H111" t="s">
        <v>197</v>
      </c>
      <c r="I111">
        <v>25.45</v>
      </c>
      <c r="J111">
        <v>-0.1113</v>
      </c>
      <c r="K111">
        <v>7.6</v>
      </c>
      <c r="L111">
        <v>-6.7500000000000004E-2</v>
      </c>
      <c r="M111">
        <v>3480.8</v>
      </c>
      <c r="N111" t="s">
        <v>46</v>
      </c>
      <c r="P111" t="s">
        <v>40</v>
      </c>
      <c r="Q111" t="s">
        <v>41</v>
      </c>
      <c r="R111">
        <v>25050</v>
      </c>
      <c r="S111" s="30">
        <v>45785</v>
      </c>
      <c r="T111" t="s">
        <v>43</v>
      </c>
      <c r="U111">
        <v>3</v>
      </c>
      <c r="V111" s="31">
        <v>45776.635416666657</v>
      </c>
      <c r="W111" s="31">
        <v>45784.635416666657</v>
      </c>
      <c r="X111">
        <v>25</v>
      </c>
      <c r="Y111">
        <v>-0.1008</v>
      </c>
      <c r="Z111">
        <v>1.85</v>
      </c>
      <c r="AA111">
        <v>-1.7600000000000001E-2</v>
      </c>
      <c r="AB111">
        <v>4514.2</v>
      </c>
      <c r="AC111" t="s">
        <v>46</v>
      </c>
      <c r="AE111" s="69" t="s">
        <v>40</v>
      </c>
      <c r="AF111" s="69" t="s">
        <v>51</v>
      </c>
      <c r="AG111" s="69">
        <v>24000</v>
      </c>
      <c r="AH111" s="70">
        <v>45771</v>
      </c>
      <c r="AI111" s="69" t="s">
        <v>43</v>
      </c>
      <c r="AJ111" s="69">
        <v>1</v>
      </c>
      <c r="AK111" s="71">
        <v>45742.635416666657</v>
      </c>
      <c r="AL111" s="71">
        <v>45768.635416666657</v>
      </c>
      <c r="AM111" s="69">
        <v>499</v>
      </c>
      <c r="AN111" s="69">
        <v>0.66810000000000003</v>
      </c>
      <c r="AO111" s="69">
        <v>70.5</v>
      </c>
      <c r="AP111" s="69">
        <v>0.3286</v>
      </c>
      <c r="AQ111" s="69">
        <v>27852.5</v>
      </c>
      <c r="AR111" s="69" t="s">
        <v>63</v>
      </c>
    </row>
    <row r="112" spans="1:44" x14ac:dyDescent="0.3">
      <c r="A112" t="s">
        <v>40</v>
      </c>
      <c r="B112" t="s">
        <v>41</v>
      </c>
      <c r="C112">
        <v>25400</v>
      </c>
      <c r="D112" t="s">
        <v>198</v>
      </c>
      <c r="E112" t="s">
        <v>43</v>
      </c>
      <c r="F112">
        <v>3</v>
      </c>
      <c r="G112" t="s">
        <v>197</v>
      </c>
      <c r="H112" t="s">
        <v>199</v>
      </c>
      <c r="I112">
        <v>24.9</v>
      </c>
      <c r="J112">
        <v>-9.9000000000000005E-2</v>
      </c>
      <c r="K112">
        <v>4.2</v>
      </c>
      <c r="L112">
        <v>-3.3799999999999997E-2</v>
      </c>
      <c r="M112">
        <v>4036.5</v>
      </c>
      <c r="N112" t="s">
        <v>46</v>
      </c>
      <c r="P112" t="s">
        <v>40</v>
      </c>
      <c r="Q112" t="s">
        <v>41</v>
      </c>
      <c r="R112">
        <v>25050</v>
      </c>
      <c r="S112" s="30">
        <v>45792</v>
      </c>
      <c r="T112" t="s">
        <v>43</v>
      </c>
      <c r="U112">
        <v>3</v>
      </c>
      <c r="V112" s="31">
        <v>45784.635416666657</v>
      </c>
      <c r="W112" s="31">
        <v>45791.635416666657</v>
      </c>
      <c r="X112">
        <v>25.45</v>
      </c>
      <c r="Y112">
        <v>-0.1113</v>
      </c>
      <c r="Z112">
        <v>7.6</v>
      </c>
      <c r="AA112">
        <v>-6.7500000000000004E-2</v>
      </c>
      <c r="AB112">
        <v>3480.8</v>
      </c>
      <c r="AC112" t="s">
        <v>46</v>
      </c>
      <c r="AE112" s="69" t="s">
        <v>40</v>
      </c>
      <c r="AF112" s="69" t="s">
        <v>51</v>
      </c>
      <c r="AG112" s="69">
        <v>23500</v>
      </c>
      <c r="AH112" s="70">
        <v>45771</v>
      </c>
      <c r="AI112" s="69" t="s">
        <v>54</v>
      </c>
      <c r="AJ112" s="69">
        <v>1</v>
      </c>
      <c r="AK112" s="71">
        <v>45742.635416666657</v>
      </c>
      <c r="AL112" s="71">
        <v>45768.635416666657</v>
      </c>
      <c r="AM112" s="69">
        <v>253.75</v>
      </c>
      <c r="AN112" s="69">
        <v>-0.43640000000000001</v>
      </c>
      <c r="AO112" s="69">
        <v>18.399999999999999</v>
      </c>
      <c r="AP112" s="69">
        <v>-8.4000000000000005E-2</v>
      </c>
      <c r="AQ112" s="69">
        <v>-15297.8</v>
      </c>
      <c r="AR112" s="69" t="s">
        <v>63</v>
      </c>
    </row>
    <row r="113" spans="1:44" x14ac:dyDescent="0.3">
      <c r="A113" t="s">
        <v>40</v>
      </c>
      <c r="B113" t="s">
        <v>51</v>
      </c>
      <c r="C113">
        <v>24300</v>
      </c>
      <c r="D113" t="s">
        <v>200</v>
      </c>
      <c r="E113" t="s">
        <v>54</v>
      </c>
      <c r="F113">
        <v>1</v>
      </c>
      <c r="G113" t="s">
        <v>191</v>
      </c>
      <c r="H113" t="s">
        <v>201</v>
      </c>
      <c r="I113">
        <v>390.7</v>
      </c>
      <c r="J113">
        <v>-0.43109999999999998</v>
      </c>
      <c r="K113">
        <v>10.35</v>
      </c>
      <c r="L113">
        <v>-7.3400000000000007E-2</v>
      </c>
      <c r="M113">
        <v>-24722.7</v>
      </c>
      <c r="N113" t="s">
        <v>46</v>
      </c>
      <c r="P113" t="s">
        <v>40</v>
      </c>
      <c r="Q113" t="s">
        <v>41</v>
      </c>
      <c r="R113">
        <v>25400</v>
      </c>
      <c r="S113" s="30">
        <v>45799</v>
      </c>
      <c r="T113" t="s">
        <v>43</v>
      </c>
      <c r="U113">
        <v>3</v>
      </c>
      <c r="V113" s="31">
        <v>45791.635416666657</v>
      </c>
      <c r="W113" s="31">
        <v>45798.635416666657</v>
      </c>
      <c r="X113">
        <v>24.9</v>
      </c>
      <c r="Y113">
        <v>-9.9000000000000005E-2</v>
      </c>
      <c r="Z113">
        <v>4.2</v>
      </c>
      <c r="AA113">
        <v>-3.3799999999999997E-2</v>
      </c>
      <c r="AB113">
        <v>4036.5</v>
      </c>
      <c r="AC113" t="s">
        <v>46</v>
      </c>
      <c r="AE113" s="69" t="s">
        <v>40</v>
      </c>
      <c r="AF113" s="69" t="s">
        <v>51</v>
      </c>
      <c r="AG113" s="69">
        <v>24600</v>
      </c>
      <c r="AH113" s="70">
        <v>45771</v>
      </c>
      <c r="AI113" s="69" t="s">
        <v>43</v>
      </c>
      <c r="AJ113" s="69">
        <v>1</v>
      </c>
      <c r="AK113" s="71">
        <v>45768.635416666657</v>
      </c>
      <c r="AL113" s="71">
        <v>45770.635416666657</v>
      </c>
      <c r="AM113" s="69">
        <v>466.75</v>
      </c>
      <c r="AN113" s="69">
        <v>0.89580000000000004</v>
      </c>
      <c r="AO113" s="69">
        <v>314.8</v>
      </c>
      <c r="AP113" s="69">
        <v>0.87960000000000005</v>
      </c>
      <c r="AQ113" s="69">
        <v>9876.7999999999993</v>
      </c>
      <c r="AR113" s="69" t="s">
        <v>46</v>
      </c>
    </row>
    <row r="114" spans="1:44" x14ac:dyDescent="0.3">
      <c r="A114" t="s">
        <v>40</v>
      </c>
      <c r="B114" t="s">
        <v>51</v>
      </c>
      <c r="C114">
        <v>25500</v>
      </c>
      <c r="D114" t="s">
        <v>200</v>
      </c>
      <c r="E114" t="s">
        <v>43</v>
      </c>
      <c r="F114">
        <v>1</v>
      </c>
      <c r="G114" t="s">
        <v>191</v>
      </c>
      <c r="H114" t="s">
        <v>201</v>
      </c>
      <c r="I114">
        <v>1135</v>
      </c>
      <c r="J114">
        <v>0.8337</v>
      </c>
      <c r="K114">
        <v>742.45</v>
      </c>
      <c r="L114">
        <v>0.97570000000000001</v>
      </c>
      <c r="M114">
        <v>25515.7</v>
      </c>
      <c r="N114" t="s">
        <v>46</v>
      </c>
      <c r="P114" t="s">
        <v>40</v>
      </c>
      <c r="Q114" t="s">
        <v>51</v>
      </c>
      <c r="R114">
        <v>24300</v>
      </c>
      <c r="S114" s="30">
        <v>45806</v>
      </c>
      <c r="T114" t="s">
        <v>54</v>
      </c>
      <c r="U114">
        <v>1</v>
      </c>
      <c r="V114" s="31">
        <v>45770.635416666657</v>
      </c>
      <c r="W114" s="31">
        <v>45805.635416666657</v>
      </c>
      <c r="X114">
        <v>390.7</v>
      </c>
      <c r="Y114">
        <v>-0.43109999999999998</v>
      </c>
      <c r="Z114">
        <v>10.35</v>
      </c>
      <c r="AA114">
        <v>-7.3400000000000007E-2</v>
      </c>
      <c r="AB114">
        <v>-24722.7</v>
      </c>
      <c r="AC114" t="s">
        <v>46</v>
      </c>
      <c r="AE114" s="69" t="s">
        <v>40</v>
      </c>
      <c r="AF114" s="69" t="s">
        <v>51</v>
      </c>
      <c r="AG114" s="69">
        <v>24150</v>
      </c>
      <c r="AH114" s="70">
        <v>45771</v>
      </c>
      <c r="AI114" s="69" t="s">
        <v>54</v>
      </c>
      <c r="AJ114" s="69">
        <v>1</v>
      </c>
      <c r="AK114" s="71">
        <v>45768.635416666657</v>
      </c>
      <c r="AL114" s="71">
        <v>45770.635416666657</v>
      </c>
      <c r="AM114" s="69">
        <v>126.45</v>
      </c>
      <c r="AN114" s="69">
        <v>-0.50829999999999997</v>
      </c>
      <c r="AO114" s="69">
        <v>18.95</v>
      </c>
      <c r="AP114" s="69">
        <v>-0.1797</v>
      </c>
      <c r="AQ114" s="69">
        <v>-6987.5</v>
      </c>
      <c r="AR114" s="69" t="s">
        <v>46</v>
      </c>
    </row>
    <row r="115" spans="1:44" x14ac:dyDescent="0.3">
      <c r="A115" t="s">
        <v>40</v>
      </c>
      <c r="B115" t="s">
        <v>41</v>
      </c>
      <c r="C115">
        <v>25600</v>
      </c>
      <c r="D115" t="s">
        <v>200</v>
      </c>
      <c r="E115" t="s">
        <v>43</v>
      </c>
      <c r="F115">
        <v>3</v>
      </c>
      <c r="G115" t="s">
        <v>199</v>
      </c>
      <c r="H115" t="s">
        <v>201</v>
      </c>
      <c r="I115">
        <v>24.45</v>
      </c>
      <c r="J115">
        <v>-9.4E-2</v>
      </c>
      <c r="K115">
        <v>2.4</v>
      </c>
      <c r="L115">
        <v>-1.7100000000000001E-2</v>
      </c>
      <c r="M115">
        <v>4299.8</v>
      </c>
      <c r="N115" t="s">
        <v>46</v>
      </c>
      <c r="P115" t="s">
        <v>40</v>
      </c>
      <c r="Q115" t="s">
        <v>51</v>
      </c>
      <c r="R115">
        <v>25500</v>
      </c>
      <c r="S115" s="30">
        <v>45806</v>
      </c>
      <c r="T115" t="s">
        <v>43</v>
      </c>
      <c r="U115">
        <v>1</v>
      </c>
      <c r="V115" s="31">
        <v>45770.635416666657</v>
      </c>
      <c r="W115" s="31">
        <v>45805.635416666657</v>
      </c>
      <c r="X115">
        <v>1135</v>
      </c>
      <c r="Y115">
        <v>0.8337</v>
      </c>
      <c r="Z115">
        <v>742.45</v>
      </c>
      <c r="AA115">
        <v>0.97570000000000001</v>
      </c>
      <c r="AB115">
        <v>25515.7</v>
      </c>
      <c r="AC115" t="s">
        <v>46</v>
      </c>
      <c r="AE115" s="69" t="s">
        <v>40</v>
      </c>
      <c r="AF115" s="69" t="s">
        <v>41</v>
      </c>
      <c r="AG115" s="69">
        <v>24150</v>
      </c>
      <c r="AH115" s="70">
        <v>45771</v>
      </c>
      <c r="AI115" s="69" t="s">
        <v>43</v>
      </c>
      <c r="AJ115" s="69">
        <v>3</v>
      </c>
      <c r="AK115" s="71">
        <v>45763.635416666657</v>
      </c>
      <c r="AL115" s="71">
        <v>45770.635416666657</v>
      </c>
      <c r="AM115" s="69">
        <v>22.25</v>
      </c>
      <c r="AN115" s="69">
        <v>-9.3899999999999997E-2</v>
      </c>
      <c r="AO115" s="69">
        <v>167.25</v>
      </c>
      <c r="AP115" s="69">
        <v>-0.82030000000000003</v>
      </c>
      <c r="AQ115" s="69">
        <v>-28275</v>
      </c>
      <c r="AR115" s="69" t="s">
        <v>46</v>
      </c>
    </row>
    <row r="116" spans="1:44" x14ac:dyDescent="0.3">
      <c r="A116" t="s">
        <v>40</v>
      </c>
      <c r="B116" t="s">
        <v>41</v>
      </c>
      <c r="C116">
        <v>25650</v>
      </c>
      <c r="D116" t="s">
        <v>202</v>
      </c>
      <c r="E116" t="s">
        <v>43</v>
      </c>
      <c r="F116">
        <v>3</v>
      </c>
      <c r="G116" t="s">
        <v>201</v>
      </c>
      <c r="H116" t="s">
        <v>203</v>
      </c>
      <c r="I116">
        <v>32.299999999999997</v>
      </c>
      <c r="J116">
        <v>-0.10290000000000001</v>
      </c>
      <c r="K116">
        <v>1.1000000000000001</v>
      </c>
      <c r="L116">
        <v>-8.0000000000000002E-3</v>
      </c>
      <c r="M116">
        <v>6084</v>
      </c>
      <c r="N116" t="s">
        <v>46</v>
      </c>
      <c r="P116" t="s">
        <v>40</v>
      </c>
      <c r="Q116" t="s">
        <v>41</v>
      </c>
      <c r="R116">
        <v>25600</v>
      </c>
      <c r="S116" s="30">
        <v>45806</v>
      </c>
      <c r="T116" t="s">
        <v>43</v>
      </c>
      <c r="U116">
        <v>3</v>
      </c>
      <c r="V116" s="31">
        <v>45798.635416666657</v>
      </c>
      <c r="W116" s="31">
        <v>45805.635416666657</v>
      </c>
      <c r="X116">
        <v>24.45</v>
      </c>
      <c r="Y116">
        <v>-9.4E-2</v>
      </c>
      <c r="Z116">
        <v>2.4</v>
      </c>
      <c r="AA116">
        <v>-1.7100000000000001E-2</v>
      </c>
      <c r="AB116">
        <v>4299.8</v>
      </c>
      <c r="AC116" t="s">
        <v>46</v>
      </c>
      <c r="AE116" s="69" t="s">
        <v>40</v>
      </c>
      <c r="AF116" s="69" t="s">
        <v>41</v>
      </c>
      <c r="AG116" s="69">
        <v>25100</v>
      </c>
      <c r="AH116" s="70">
        <v>45777</v>
      </c>
      <c r="AI116" s="69" t="s">
        <v>43</v>
      </c>
      <c r="AJ116" s="69">
        <v>3</v>
      </c>
      <c r="AK116" s="71">
        <v>45770.635416666657</v>
      </c>
      <c r="AL116" s="71">
        <v>45776.635416666657</v>
      </c>
      <c r="AM116" s="69">
        <v>25.45</v>
      </c>
      <c r="AN116" s="69">
        <v>-9.7199999999999995E-2</v>
      </c>
      <c r="AO116" s="69">
        <v>1.3</v>
      </c>
      <c r="AP116" s="69">
        <v>-1.14E-2</v>
      </c>
      <c r="AQ116" s="69">
        <v>4709.2</v>
      </c>
      <c r="AR116" s="69" t="s">
        <v>46</v>
      </c>
    </row>
    <row r="117" spans="1:44" x14ac:dyDescent="0.3">
      <c r="A117" t="s">
        <v>40</v>
      </c>
      <c r="B117" t="s">
        <v>41</v>
      </c>
      <c r="C117">
        <v>25300</v>
      </c>
      <c r="D117" t="s">
        <v>204</v>
      </c>
      <c r="E117" t="s">
        <v>43</v>
      </c>
      <c r="F117">
        <v>3</v>
      </c>
      <c r="G117" t="s">
        <v>203</v>
      </c>
      <c r="H117" t="s">
        <v>205</v>
      </c>
      <c r="I117">
        <v>35.299999999999997</v>
      </c>
      <c r="J117">
        <v>-0.12770000000000001</v>
      </c>
      <c r="K117">
        <v>22.85</v>
      </c>
      <c r="L117">
        <v>-0.21210000000000001</v>
      </c>
      <c r="M117">
        <v>2427.6999999999998</v>
      </c>
      <c r="N117" t="s">
        <v>46</v>
      </c>
      <c r="P117" t="s">
        <v>40</v>
      </c>
      <c r="Q117" t="s">
        <v>41</v>
      </c>
      <c r="R117">
        <v>25650</v>
      </c>
      <c r="S117" s="30">
        <v>45813</v>
      </c>
      <c r="T117" t="s">
        <v>43</v>
      </c>
      <c r="U117">
        <v>3</v>
      </c>
      <c r="V117" s="31">
        <v>45805.635416666657</v>
      </c>
      <c r="W117" s="31">
        <v>45812.635416666657</v>
      </c>
      <c r="X117">
        <v>32.299999999999997</v>
      </c>
      <c r="Y117">
        <v>-0.10290000000000001</v>
      </c>
      <c r="Z117">
        <v>1.1000000000000001</v>
      </c>
      <c r="AA117">
        <v>-8.0000000000000002E-3</v>
      </c>
      <c r="AB117">
        <v>6084</v>
      </c>
      <c r="AC117" t="s">
        <v>46</v>
      </c>
      <c r="AE117" s="69" t="s">
        <v>40</v>
      </c>
      <c r="AF117" s="69" t="s">
        <v>41</v>
      </c>
      <c r="AG117" s="69">
        <v>25050</v>
      </c>
      <c r="AH117" s="70">
        <v>45785</v>
      </c>
      <c r="AI117" s="69" t="s">
        <v>43</v>
      </c>
      <c r="AJ117" s="69">
        <v>3</v>
      </c>
      <c r="AK117" s="71">
        <v>45776.635416666657</v>
      </c>
      <c r="AL117" s="71">
        <v>45784.635416666657</v>
      </c>
      <c r="AM117" s="69">
        <v>25</v>
      </c>
      <c r="AN117" s="69">
        <v>-0.1008</v>
      </c>
      <c r="AO117" s="69">
        <v>1.85</v>
      </c>
      <c r="AP117" s="69">
        <v>-1.7600000000000001E-2</v>
      </c>
      <c r="AQ117" s="69">
        <v>4514.2</v>
      </c>
      <c r="AR117" s="69" t="s">
        <v>46</v>
      </c>
    </row>
    <row r="118" spans="1:44" x14ac:dyDescent="0.3">
      <c r="A118" t="s">
        <v>40</v>
      </c>
      <c r="B118" t="s">
        <v>41</v>
      </c>
      <c r="C118">
        <v>25650</v>
      </c>
      <c r="D118" t="s">
        <v>206</v>
      </c>
      <c r="E118" t="s">
        <v>43</v>
      </c>
      <c r="F118">
        <v>3</v>
      </c>
      <c r="G118" t="s">
        <v>205</v>
      </c>
      <c r="H118" t="s">
        <v>207</v>
      </c>
      <c r="I118">
        <v>30.8</v>
      </c>
      <c r="J118">
        <v>-0.1411</v>
      </c>
      <c r="K118">
        <v>1.1499999999999999</v>
      </c>
      <c r="L118">
        <v>-9.7000000000000003E-3</v>
      </c>
      <c r="M118">
        <v>5781.8</v>
      </c>
      <c r="N118" t="s">
        <v>46</v>
      </c>
      <c r="P118" t="s">
        <v>40</v>
      </c>
      <c r="Q118" t="s">
        <v>41</v>
      </c>
      <c r="R118">
        <v>25300</v>
      </c>
      <c r="S118" s="30">
        <v>45820</v>
      </c>
      <c r="T118" t="s">
        <v>43</v>
      </c>
      <c r="U118">
        <v>3</v>
      </c>
      <c r="V118" s="31">
        <v>45812.635416666657</v>
      </c>
      <c r="W118" s="31">
        <v>45819.635416666657</v>
      </c>
      <c r="X118">
        <v>35.299999999999997</v>
      </c>
      <c r="Y118">
        <v>-0.12770000000000001</v>
      </c>
      <c r="Z118">
        <v>22.85</v>
      </c>
      <c r="AA118">
        <v>-0.21210000000000001</v>
      </c>
      <c r="AB118">
        <v>2427.6999999999998</v>
      </c>
      <c r="AC118" t="s">
        <v>46</v>
      </c>
      <c r="AE118" s="69" t="s">
        <v>40</v>
      </c>
      <c r="AF118" s="69" t="s">
        <v>41</v>
      </c>
      <c r="AG118" s="69">
        <v>25050</v>
      </c>
      <c r="AH118" s="70">
        <v>45792</v>
      </c>
      <c r="AI118" s="69" t="s">
        <v>43</v>
      </c>
      <c r="AJ118" s="69">
        <v>3</v>
      </c>
      <c r="AK118" s="71">
        <v>45784.635416666657</v>
      </c>
      <c r="AL118" s="71">
        <v>45791.635416666657</v>
      </c>
      <c r="AM118" s="69">
        <v>25.45</v>
      </c>
      <c r="AN118" s="69">
        <v>-0.1113</v>
      </c>
      <c r="AO118" s="69">
        <v>7.6</v>
      </c>
      <c r="AP118" s="69">
        <v>-6.7500000000000004E-2</v>
      </c>
      <c r="AQ118" s="69">
        <v>3480.8</v>
      </c>
      <c r="AR118" s="69" t="s">
        <v>46</v>
      </c>
    </row>
    <row r="119" spans="1:44" x14ac:dyDescent="0.3">
      <c r="A119" t="s">
        <v>40</v>
      </c>
      <c r="B119" t="s">
        <v>51</v>
      </c>
      <c r="C119">
        <v>24750</v>
      </c>
      <c r="D119" t="s">
        <v>208</v>
      </c>
      <c r="E119" t="s">
        <v>54</v>
      </c>
      <c r="F119">
        <v>1</v>
      </c>
      <c r="G119" t="s">
        <v>201</v>
      </c>
      <c r="H119" t="s">
        <v>209</v>
      </c>
      <c r="I119">
        <v>406.1</v>
      </c>
      <c r="J119">
        <v>-0.44840000000000002</v>
      </c>
      <c r="K119">
        <v>6.5</v>
      </c>
      <c r="L119">
        <v>-5.0099999999999999E-2</v>
      </c>
      <c r="M119">
        <v>-25974</v>
      </c>
      <c r="N119" t="s">
        <v>46</v>
      </c>
      <c r="P119" t="s">
        <v>40</v>
      </c>
      <c r="Q119" t="s">
        <v>41</v>
      </c>
      <c r="R119">
        <v>25650</v>
      </c>
      <c r="S119" s="30">
        <v>45827</v>
      </c>
      <c r="T119" t="s">
        <v>43</v>
      </c>
      <c r="U119">
        <v>3</v>
      </c>
      <c r="V119" s="31">
        <v>45819.635416666657</v>
      </c>
      <c r="W119" s="31">
        <v>45826.635416666657</v>
      </c>
      <c r="X119">
        <v>30.8</v>
      </c>
      <c r="Y119">
        <v>-0.1411</v>
      </c>
      <c r="Z119">
        <v>1.1499999999999999</v>
      </c>
      <c r="AA119">
        <v>-9.7000000000000003E-3</v>
      </c>
      <c r="AB119">
        <v>5781.8</v>
      </c>
      <c r="AC119" t="s">
        <v>46</v>
      </c>
      <c r="AE119" s="69" t="s">
        <v>40</v>
      </c>
      <c r="AF119" s="69" t="s">
        <v>41</v>
      </c>
      <c r="AG119" s="69">
        <v>25400</v>
      </c>
      <c r="AH119" s="70">
        <v>45799</v>
      </c>
      <c r="AI119" s="69" t="s">
        <v>43</v>
      </c>
      <c r="AJ119" s="69">
        <v>3</v>
      </c>
      <c r="AK119" s="71">
        <v>45791.635416666657</v>
      </c>
      <c r="AL119" s="71">
        <v>45798.635416666657</v>
      </c>
      <c r="AM119" s="69">
        <v>24.9</v>
      </c>
      <c r="AN119" s="69">
        <v>-9.9000000000000005E-2</v>
      </c>
      <c r="AO119" s="69">
        <v>4.2</v>
      </c>
      <c r="AP119" s="69">
        <v>-3.3799999999999997E-2</v>
      </c>
      <c r="AQ119" s="69">
        <v>4036.5</v>
      </c>
      <c r="AR119" s="69" t="s">
        <v>46</v>
      </c>
    </row>
    <row r="120" spans="1:44" x14ac:dyDescent="0.3">
      <c r="A120" t="s">
        <v>40</v>
      </c>
      <c r="B120" t="s">
        <v>51</v>
      </c>
      <c r="C120">
        <v>26000</v>
      </c>
      <c r="D120" t="s">
        <v>208</v>
      </c>
      <c r="E120" t="s">
        <v>43</v>
      </c>
      <c r="F120">
        <v>1</v>
      </c>
      <c r="G120" t="s">
        <v>201</v>
      </c>
      <c r="H120" t="s">
        <v>209</v>
      </c>
      <c r="I120">
        <v>1215.05</v>
      </c>
      <c r="J120">
        <v>0.84340000000000004</v>
      </c>
      <c r="K120">
        <v>752.45</v>
      </c>
      <c r="L120">
        <v>0.99009999999999998</v>
      </c>
      <c r="M120">
        <v>30069</v>
      </c>
      <c r="N120" t="s">
        <v>46</v>
      </c>
      <c r="P120" t="s">
        <v>40</v>
      </c>
      <c r="Q120" t="s">
        <v>51</v>
      </c>
      <c r="R120">
        <v>24750</v>
      </c>
      <c r="S120" s="30">
        <v>45834</v>
      </c>
      <c r="T120" t="s">
        <v>54</v>
      </c>
      <c r="U120">
        <v>1</v>
      </c>
      <c r="V120" s="31">
        <v>45805.635416666657</v>
      </c>
      <c r="W120" s="31">
        <v>45833.635416666657</v>
      </c>
      <c r="X120">
        <v>406.1</v>
      </c>
      <c r="Y120">
        <v>-0.44840000000000002</v>
      </c>
      <c r="Z120">
        <v>6.5</v>
      </c>
      <c r="AA120">
        <v>-5.0099999999999999E-2</v>
      </c>
      <c r="AB120">
        <v>-25974</v>
      </c>
      <c r="AC120" t="s">
        <v>46</v>
      </c>
      <c r="AE120" s="69" t="s">
        <v>40</v>
      </c>
      <c r="AF120" s="69" t="s">
        <v>51</v>
      </c>
      <c r="AG120" s="69">
        <v>25500</v>
      </c>
      <c r="AH120" s="70">
        <v>45806</v>
      </c>
      <c r="AI120" s="69" t="s">
        <v>43</v>
      </c>
      <c r="AJ120" s="69">
        <v>1</v>
      </c>
      <c r="AK120" s="71">
        <v>45770.635416666657</v>
      </c>
      <c r="AL120" s="71">
        <v>45805.635416666657</v>
      </c>
      <c r="AM120" s="69">
        <v>1135</v>
      </c>
      <c r="AN120" s="69">
        <v>0.8337</v>
      </c>
      <c r="AO120" s="69">
        <v>742.45</v>
      </c>
      <c r="AP120" s="69">
        <v>0.97570000000000001</v>
      </c>
      <c r="AQ120" s="69">
        <v>25515.7</v>
      </c>
      <c r="AR120" s="69" t="s">
        <v>46</v>
      </c>
    </row>
    <row r="121" spans="1:44" x14ac:dyDescent="0.3">
      <c r="A121" t="s">
        <v>40</v>
      </c>
      <c r="B121" t="s">
        <v>41</v>
      </c>
      <c r="C121">
        <v>25350</v>
      </c>
      <c r="D121" t="s">
        <v>208</v>
      </c>
      <c r="E121" t="s">
        <v>43</v>
      </c>
      <c r="F121">
        <v>3</v>
      </c>
      <c r="G121" t="s">
        <v>207</v>
      </c>
      <c r="H121" t="s">
        <v>209</v>
      </c>
      <c r="I121">
        <v>36.35</v>
      </c>
      <c r="J121">
        <v>-0.14910000000000001</v>
      </c>
      <c r="K121">
        <v>30.35</v>
      </c>
      <c r="L121">
        <v>-0.28360000000000002</v>
      </c>
      <c r="M121">
        <v>1170</v>
      </c>
      <c r="N121" t="s">
        <v>46</v>
      </c>
      <c r="P121" t="s">
        <v>40</v>
      </c>
      <c r="Q121" t="s">
        <v>51</v>
      </c>
      <c r="R121">
        <v>26000</v>
      </c>
      <c r="S121" s="30">
        <v>45834</v>
      </c>
      <c r="T121" t="s">
        <v>43</v>
      </c>
      <c r="U121">
        <v>1</v>
      </c>
      <c r="V121" s="31">
        <v>45805.635416666657</v>
      </c>
      <c r="W121" s="31">
        <v>45833.635416666657</v>
      </c>
      <c r="X121">
        <v>1215.05</v>
      </c>
      <c r="Y121">
        <v>0.84340000000000004</v>
      </c>
      <c r="Z121">
        <v>752.45</v>
      </c>
      <c r="AA121">
        <v>0.99009999999999998</v>
      </c>
      <c r="AB121">
        <v>30069</v>
      </c>
      <c r="AC121" t="s">
        <v>46</v>
      </c>
      <c r="AE121" s="69" t="s">
        <v>40</v>
      </c>
      <c r="AF121" s="69" t="s">
        <v>51</v>
      </c>
      <c r="AG121" s="69">
        <v>24300</v>
      </c>
      <c r="AH121" s="70">
        <v>45806</v>
      </c>
      <c r="AI121" s="69" t="s">
        <v>54</v>
      </c>
      <c r="AJ121" s="69">
        <v>1</v>
      </c>
      <c r="AK121" s="71">
        <v>45770.635416666657</v>
      </c>
      <c r="AL121" s="71">
        <v>45805.635416666657</v>
      </c>
      <c r="AM121" s="69">
        <v>390.7</v>
      </c>
      <c r="AN121" s="69">
        <v>-0.43109999999999998</v>
      </c>
      <c r="AO121" s="69">
        <v>10.35</v>
      </c>
      <c r="AP121" s="69">
        <v>-7.3400000000000007E-2</v>
      </c>
      <c r="AQ121" s="69">
        <v>-24722.7</v>
      </c>
      <c r="AR121" s="69" t="s">
        <v>46</v>
      </c>
    </row>
    <row r="122" spans="1:44" x14ac:dyDescent="0.3">
      <c r="A122" t="s">
        <v>40</v>
      </c>
      <c r="B122" t="s">
        <v>41</v>
      </c>
      <c r="C122">
        <v>25800</v>
      </c>
      <c r="D122" t="s">
        <v>210</v>
      </c>
      <c r="E122" t="s">
        <v>43</v>
      </c>
      <c r="F122">
        <v>3</v>
      </c>
      <c r="G122" t="s">
        <v>209</v>
      </c>
      <c r="H122" t="s">
        <v>211</v>
      </c>
      <c r="I122">
        <v>24.55</v>
      </c>
      <c r="J122">
        <v>-0.1177</v>
      </c>
      <c r="K122">
        <v>5.6</v>
      </c>
      <c r="L122">
        <v>-6.0299999999999999E-2</v>
      </c>
      <c r="M122">
        <v>3695.3</v>
      </c>
      <c r="N122" t="s">
        <v>46</v>
      </c>
      <c r="P122" t="s">
        <v>40</v>
      </c>
      <c r="Q122" t="s">
        <v>41</v>
      </c>
      <c r="R122">
        <v>25350</v>
      </c>
      <c r="S122" s="30">
        <v>45834</v>
      </c>
      <c r="T122" t="s">
        <v>43</v>
      </c>
      <c r="U122">
        <v>3</v>
      </c>
      <c r="V122" s="31">
        <v>45826.635416666657</v>
      </c>
      <c r="W122" s="31">
        <v>45833.635416666657</v>
      </c>
      <c r="X122">
        <v>36.35</v>
      </c>
      <c r="Y122">
        <v>-0.14910000000000001</v>
      </c>
      <c r="Z122">
        <v>30.35</v>
      </c>
      <c r="AA122">
        <v>-0.28360000000000002</v>
      </c>
      <c r="AB122">
        <v>1170</v>
      </c>
      <c r="AC122" t="s">
        <v>46</v>
      </c>
      <c r="AE122" s="69" t="s">
        <v>40</v>
      </c>
      <c r="AF122" s="69" t="s">
        <v>41</v>
      </c>
      <c r="AG122" s="69">
        <v>25600</v>
      </c>
      <c r="AH122" s="70">
        <v>45806</v>
      </c>
      <c r="AI122" s="69" t="s">
        <v>43</v>
      </c>
      <c r="AJ122" s="69">
        <v>3</v>
      </c>
      <c r="AK122" s="71">
        <v>45798.635416666657</v>
      </c>
      <c r="AL122" s="71">
        <v>45805.635416666657</v>
      </c>
      <c r="AM122" s="69">
        <v>24.45</v>
      </c>
      <c r="AN122" s="69">
        <v>-9.4E-2</v>
      </c>
      <c r="AO122" s="69">
        <v>2.4</v>
      </c>
      <c r="AP122" s="69">
        <v>-1.7100000000000001E-2</v>
      </c>
      <c r="AQ122" s="69">
        <v>4299.8</v>
      </c>
      <c r="AR122" s="69" t="s">
        <v>46</v>
      </c>
    </row>
    <row r="123" spans="1:44" x14ac:dyDescent="0.3">
      <c r="A123" t="s">
        <v>40</v>
      </c>
      <c r="B123" t="s">
        <v>41</v>
      </c>
      <c r="C123">
        <v>26050</v>
      </c>
      <c r="D123" t="s">
        <v>212</v>
      </c>
      <c r="E123" t="s">
        <v>43</v>
      </c>
      <c r="F123">
        <v>3</v>
      </c>
      <c r="G123" t="s">
        <v>211</v>
      </c>
      <c r="H123" t="s">
        <v>213</v>
      </c>
      <c r="I123">
        <v>21</v>
      </c>
      <c r="J123">
        <v>-0.10290000000000001</v>
      </c>
      <c r="K123">
        <v>1.8</v>
      </c>
      <c r="L123">
        <v>-1.8599999999999998E-2</v>
      </c>
      <c r="M123">
        <v>3744</v>
      </c>
      <c r="N123" t="s">
        <v>46</v>
      </c>
      <c r="P123" t="s">
        <v>40</v>
      </c>
      <c r="Q123" t="s">
        <v>41</v>
      </c>
      <c r="R123">
        <v>25800</v>
      </c>
      <c r="S123" s="30">
        <v>45841</v>
      </c>
      <c r="T123" t="s">
        <v>43</v>
      </c>
      <c r="U123">
        <v>3</v>
      </c>
      <c r="V123" s="31">
        <v>45833.635416666657</v>
      </c>
      <c r="W123" s="31">
        <v>45840.635416666657</v>
      </c>
      <c r="X123">
        <v>24.55</v>
      </c>
      <c r="Y123">
        <v>-0.1177</v>
      </c>
      <c r="Z123">
        <v>5.6</v>
      </c>
      <c r="AA123">
        <v>-6.0299999999999999E-2</v>
      </c>
      <c r="AB123">
        <v>3695.3</v>
      </c>
      <c r="AC123" t="s">
        <v>46</v>
      </c>
      <c r="AE123" s="69" t="s">
        <v>40</v>
      </c>
      <c r="AF123" s="69" t="s">
        <v>41</v>
      </c>
      <c r="AG123" s="69">
        <v>25650</v>
      </c>
      <c r="AH123" s="70">
        <v>45813</v>
      </c>
      <c r="AI123" s="69" t="s">
        <v>43</v>
      </c>
      <c r="AJ123" s="69">
        <v>3</v>
      </c>
      <c r="AK123" s="71">
        <v>45805.635416666657</v>
      </c>
      <c r="AL123" s="71">
        <v>45812.635416666657</v>
      </c>
      <c r="AM123" s="69">
        <v>32.299999999999997</v>
      </c>
      <c r="AN123" s="69">
        <v>-0.10290000000000001</v>
      </c>
      <c r="AO123" s="69">
        <v>1.1000000000000001</v>
      </c>
      <c r="AP123" s="69">
        <v>-8.0000000000000002E-3</v>
      </c>
      <c r="AQ123" s="69">
        <v>6084</v>
      </c>
      <c r="AR123" s="69" t="s">
        <v>46</v>
      </c>
    </row>
    <row r="124" spans="1:44" x14ac:dyDescent="0.3">
      <c r="A124" t="s">
        <v>40</v>
      </c>
      <c r="B124" t="s">
        <v>41</v>
      </c>
      <c r="C124">
        <v>26000</v>
      </c>
      <c r="D124" t="s">
        <v>214</v>
      </c>
      <c r="E124" t="s">
        <v>43</v>
      </c>
      <c r="F124">
        <v>3</v>
      </c>
      <c r="G124" t="s">
        <v>213</v>
      </c>
      <c r="H124" t="s">
        <v>215</v>
      </c>
      <c r="I124">
        <v>23.55</v>
      </c>
      <c r="J124">
        <v>-0.1197</v>
      </c>
      <c r="K124">
        <v>0.6</v>
      </c>
      <c r="L124">
        <v>-6.1000000000000004E-3</v>
      </c>
      <c r="M124">
        <v>4475.2</v>
      </c>
      <c r="N124" t="s">
        <v>46</v>
      </c>
      <c r="P124" t="s">
        <v>40</v>
      </c>
      <c r="Q124" t="s">
        <v>41</v>
      </c>
      <c r="R124">
        <v>26050</v>
      </c>
      <c r="S124" s="30">
        <v>45848</v>
      </c>
      <c r="T124" t="s">
        <v>43</v>
      </c>
      <c r="U124">
        <v>3</v>
      </c>
      <c r="V124" s="31">
        <v>45840.635416666657</v>
      </c>
      <c r="W124" s="31">
        <v>45847.635416666657</v>
      </c>
      <c r="X124">
        <v>21</v>
      </c>
      <c r="Y124">
        <v>-0.10290000000000001</v>
      </c>
      <c r="Z124">
        <v>1.8</v>
      </c>
      <c r="AA124">
        <v>-1.8599999999999998E-2</v>
      </c>
      <c r="AB124">
        <v>3744</v>
      </c>
      <c r="AC124" t="s">
        <v>46</v>
      </c>
      <c r="AE124" s="69" t="s">
        <v>40</v>
      </c>
      <c r="AF124" s="69" t="s">
        <v>41</v>
      </c>
      <c r="AG124" s="69">
        <v>25300</v>
      </c>
      <c r="AH124" s="70">
        <v>45820</v>
      </c>
      <c r="AI124" s="69" t="s">
        <v>43</v>
      </c>
      <c r="AJ124" s="69">
        <v>3</v>
      </c>
      <c r="AK124" s="71">
        <v>45812.635416666657</v>
      </c>
      <c r="AL124" s="71">
        <v>45819.635416666657</v>
      </c>
      <c r="AM124" s="69">
        <v>35.299999999999997</v>
      </c>
      <c r="AN124" s="69">
        <v>-0.12770000000000001</v>
      </c>
      <c r="AO124" s="69">
        <v>22.85</v>
      </c>
      <c r="AP124" s="69">
        <v>-0.21210000000000001</v>
      </c>
      <c r="AQ124" s="69">
        <v>2427.6999999999998</v>
      </c>
      <c r="AR124" s="69" t="s">
        <v>46</v>
      </c>
    </row>
    <row r="125" spans="1:44" x14ac:dyDescent="0.3">
      <c r="A125" t="s">
        <v>40</v>
      </c>
      <c r="B125" t="s">
        <v>41</v>
      </c>
      <c r="C125">
        <v>25650</v>
      </c>
      <c r="D125" t="s">
        <v>216</v>
      </c>
      <c r="E125" t="s">
        <v>43</v>
      </c>
      <c r="F125">
        <v>3</v>
      </c>
      <c r="G125" t="s">
        <v>215</v>
      </c>
      <c r="H125" t="s">
        <v>217</v>
      </c>
      <c r="I125">
        <v>23.35</v>
      </c>
      <c r="J125">
        <v>-0.13159999999999999</v>
      </c>
      <c r="K125">
        <v>1.1000000000000001</v>
      </c>
      <c r="L125">
        <v>-1.6E-2</v>
      </c>
      <c r="M125">
        <v>4338.8</v>
      </c>
      <c r="N125" t="s">
        <v>46</v>
      </c>
      <c r="P125" t="s">
        <v>40</v>
      </c>
      <c r="Q125" t="s">
        <v>41</v>
      </c>
      <c r="R125">
        <v>26000</v>
      </c>
      <c r="S125" s="30">
        <v>45855</v>
      </c>
      <c r="T125" t="s">
        <v>43</v>
      </c>
      <c r="U125">
        <v>3</v>
      </c>
      <c r="V125" s="31">
        <v>45847.635416666657</v>
      </c>
      <c r="W125" s="31">
        <v>45854.635416666657</v>
      </c>
      <c r="X125">
        <v>23.55</v>
      </c>
      <c r="Y125">
        <v>-0.1197</v>
      </c>
      <c r="Z125">
        <v>0.6</v>
      </c>
      <c r="AA125">
        <v>-6.1000000000000004E-3</v>
      </c>
      <c r="AB125">
        <v>4475.2</v>
      </c>
      <c r="AC125" t="s">
        <v>46</v>
      </c>
      <c r="AE125" s="69" t="s">
        <v>40</v>
      </c>
      <c r="AF125" s="69" t="s">
        <v>41</v>
      </c>
      <c r="AG125" s="69">
        <v>25650</v>
      </c>
      <c r="AH125" s="70">
        <v>45827</v>
      </c>
      <c r="AI125" s="69" t="s">
        <v>43</v>
      </c>
      <c r="AJ125" s="69">
        <v>3</v>
      </c>
      <c r="AK125" s="71">
        <v>45819.635416666657</v>
      </c>
      <c r="AL125" s="71">
        <v>45826.635416666657</v>
      </c>
      <c r="AM125" s="69">
        <v>30.8</v>
      </c>
      <c r="AN125" s="69">
        <v>-0.1411</v>
      </c>
      <c r="AO125" s="69">
        <v>1.1499999999999999</v>
      </c>
      <c r="AP125" s="69">
        <v>-9.7000000000000003E-3</v>
      </c>
      <c r="AQ125" s="69">
        <v>5781.8</v>
      </c>
      <c r="AR125" s="69" t="s">
        <v>46</v>
      </c>
    </row>
    <row r="126" spans="1:44" x14ac:dyDescent="0.3">
      <c r="A126" t="s">
        <v>40</v>
      </c>
      <c r="B126" t="s">
        <v>51</v>
      </c>
      <c r="C126">
        <v>25250</v>
      </c>
      <c r="D126" t="s">
        <v>218</v>
      </c>
      <c r="E126" t="s">
        <v>54</v>
      </c>
      <c r="F126">
        <v>1</v>
      </c>
      <c r="G126" t="s">
        <v>209</v>
      </c>
      <c r="H126" t="s">
        <v>219</v>
      </c>
      <c r="I126">
        <v>344</v>
      </c>
      <c r="J126">
        <v>-0.43209999999999998</v>
      </c>
      <c r="K126">
        <v>380.25</v>
      </c>
      <c r="L126">
        <v>-0.96109999999999995</v>
      </c>
      <c r="M126">
        <v>2356.1999999999998</v>
      </c>
      <c r="N126" t="s">
        <v>46</v>
      </c>
      <c r="P126" t="s">
        <v>40</v>
      </c>
      <c r="Q126" t="s">
        <v>41</v>
      </c>
      <c r="R126">
        <v>25650</v>
      </c>
      <c r="S126" s="30">
        <v>45862</v>
      </c>
      <c r="T126" t="s">
        <v>43</v>
      </c>
      <c r="U126">
        <v>3</v>
      </c>
      <c r="V126" s="31">
        <v>45854.635416666657</v>
      </c>
      <c r="W126" s="31">
        <v>45861.635416666657</v>
      </c>
      <c r="X126">
        <v>23.35</v>
      </c>
      <c r="Y126">
        <v>-0.13159999999999999</v>
      </c>
      <c r="Z126">
        <v>1.1000000000000001</v>
      </c>
      <c r="AA126">
        <v>-1.6E-2</v>
      </c>
      <c r="AB126">
        <v>4338.8</v>
      </c>
      <c r="AC126" t="s">
        <v>46</v>
      </c>
      <c r="AE126" s="69" t="s">
        <v>40</v>
      </c>
      <c r="AF126" s="69" t="s">
        <v>51</v>
      </c>
      <c r="AG126" s="69">
        <v>26000</v>
      </c>
      <c r="AH126" s="70">
        <v>45834</v>
      </c>
      <c r="AI126" s="69" t="s">
        <v>43</v>
      </c>
      <c r="AJ126" s="69">
        <v>1</v>
      </c>
      <c r="AK126" s="71">
        <v>45805.635416666657</v>
      </c>
      <c r="AL126" s="71">
        <v>45833.635416666657</v>
      </c>
      <c r="AM126" s="69">
        <v>1215.05</v>
      </c>
      <c r="AN126" s="69">
        <v>0.84340000000000004</v>
      </c>
      <c r="AO126" s="69">
        <v>752.45</v>
      </c>
      <c r="AP126" s="69">
        <v>0.99009999999999998</v>
      </c>
      <c r="AQ126" s="69">
        <v>30069</v>
      </c>
      <c r="AR126" s="69" t="s">
        <v>46</v>
      </c>
    </row>
    <row r="127" spans="1:44" x14ac:dyDescent="0.3">
      <c r="A127" t="s">
        <v>40</v>
      </c>
      <c r="B127" t="s">
        <v>51</v>
      </c>
      <c r="C127">
        <v>26000</v>
      </c>
      <c r="D127" t="s">
        <v>218</v>
      </c>
      <c r="E127" t="s">
        <v>43</v>
      </c>
      <c r="F127">
        <v>1</v>
      </c>
      <c r="G127" t="s">
        <v>209</v>
      </c>
      <c r="H127" t="s">
        <v>219</v>
      </c>
      <c r="I127">
        <v>773.95</v>
      </c>
      <c r="J127">
        <v>0.74</v>
      </c>
      <c r="K127">
        <v>1125</v>
      </c>
      <c r="L127">
        <v>0.99429999999999996</v>
      </c>
      <c r="M127">
        <v>-22818.2</v>
      </c>
      <c r="N127" t="s">
        <v>46</v>
      </c>
      <c r="P127" t="s">
        <v>40</v>
      </c>
      <c r="Q127" t="s">
        <v>51</v>
      </c>
      <c r="R127">
        <v>25250</v>
      </c>
      <c r="S127" s="30">
        <v>45869</v>
      </c>
      <c r="T127" t="s">
        <v>54</v>
      </c>
      <c r="U127">
        <v>1</v>
      </c>
      <c r="V127" s="31">
        <v>45833.635416666657</v>
      </c>
      <c r="W127" s="31">
        <v>45868.635416666657</v>
      </c>
      <c r="X127">
        <v>344</v>
      </c>
      <c r="Y127">
        <v>-0.43209999999999998</v>
      </c>
      <c r="Z127">
        <v>380.25</v>
      </c>
      <c r="AA127">
        <v>-0.96109999999999995</v>
      </c>
      <c r="AB127">
        <v>2356.1999999999998</v>
      </c>
      <c r="AC127" t="s">
        <v>46</v>
      </c>
      <c r="AE127" s="69" t="s">
        <v>40</v>
      </c>
      <c r="AF127" s="69" t="s">
        <v>51</v>
      </c>
      <c r="AG127" s="69">
        <v>24750</v>
      </c>
      <c r="AH127" s="70">
        <v>45834</v>
      </c>
      <c r="AI127" s="69" t="s">
        <v>54</v>
      </c>
      <c r="AJ127" s="69">
        <v>1</v>
      </c>
      <c r="AK127" s="71">
        <v>45805.635416666657</v>
      </c>
      <c r="AL127" s="71">
        <v>45833.635416666657</v>
      </c>
      <c r="AM127" s="69">
        <v>406.1</v>
      </c>
      <c r="AN127" s="69">
        <v>-0.44840000000000002</v>
      </c>
      <c r="AO127" s="69">
        <v>6.5</v>
      </c>
      <c r="AP127" s="69">
        <v>-5.0099999999999999E-2</v>
      </c>
      <c r="AQ127" s="69">
        <v>-25974</v>
      </c>
      <c r="AR127" s="69" t="s">
        <v>46</v>
      </c>
    </row>
    <row r="128" spans="1:44" x14ac:dyDescent="0.3">
      <c r="A128" t="s">
        <v>40</v>
      </c>
      <c r="B128" t="s">
        <v>41</v>
      </c>
      <c r="C128">
        <v>25650</v>
      </c>
      <c r="D128" t="s">
        <v>218</v>
      </c>
      <c r="E128" t="s">
        <v>43</v>
      </c>
      <c r="F128">
        <v>3</v>
      </c>
      <c r="G128" t="s">
        <v>217</v>
      </c>
      <c r="H128" t="s">
        <v>219</v>
      </c>
      <c r="I128">
        <v>22.2</v>
      </c>
      <c r="J128">
        <v>-0.13100000000000001</v>
      </c>
      <c r="K128">
        <v>1</v>
      </c>
      <c r="L128">
        <v>-9.1000000000000004E-3</v>
      </c>
      <c r="M128">
        <v>4134</v>
      </c>
      <c r="N128" t="s">
        <v>46</v>
      </c>
      <c r="P128" t="s">
        <v>40</v>
      </c>
      <c r="Q128" t="s">
        <v>51</v>
      </c>
      <c r="R128">
        <v>26100</v>
      </c>
      <c r="S128" s="30">
        <v>45869</v>
      </c>
      <c r="T128" t="s">
        <v>43</v>
      </c>
      <c r="U128">
        <v>1</v>
      </c>
      <c r="V128" s="31">
        <v>45833.635416666657</v>
      </c>
      <c r="W128" s="31">
        <v>45868.635416666657</v>
      </c>
      <c r="X128">
        <v>850.5</v>
      </c>
      <c r="Y128">
        <v>0.77459999999999996</v>
      </c>
      <c r="Z128">
        <v>1228</v>
      </c>
      <c r="AA128">
        <v>0.99460000000000004</v>
      </c>
      <c r="AB128">
        <v>-24537.5</v>
      </c>
      <c r="AC128" t="s">
        <v>46</v>
      </c>
      <c r="AE128" s="69" t="s">
        <v>40</v>
      </c>
      <c r="AF128" s="69" t="s">
        <v>41</v>
      </c>
      <c r="AG128" s="69">
        <v>25350</v>
      </c>
      <c r="AH128" s="70">
        <v>45834</v>
      </c>
      <c r="AI128" s="69" t="s">
        <v>43</v>
      </c>
      <c r="AJ128" s="69">
        <v>3</v>
      </c>
      <c r="AK128" s="71">
        <v>45826.635416666657</v>
      </c>
      <c r="AL128" s="71">
        <v>45833.635416666657</v>
      </c>
      <c r="AM128" s="69">
        <v>36.35</v>
      </c>
      <c r="AN128" s="69">
        <v>-0.14910000000000001</v>
      </c>
      <c r="AO128" s="69">
        <v>30.35</v>
      </c>
      <c r="AP128" s="69">
        <v>-0.28360000000000002</v>
      </c>
      <c r="AQ128" s="69">
        <v>1170</v>
      </c>
      <c r="AR128" s="69" t="s">
        <v>46</v>
      </c>
    </row>
    <row r="129" spans="1:44" x14ac:dyDescent="0.3">
      <c r="A129" t="s">
        <v>40</v>
      </c>
      <c r="B129" t="s">
        <v>41</v>
      </c>
      <c r="C129">
        <v>25400</v>
      </c>
      <c r="D129" t="s">
        <v>220</v>
      </c>
      <c r="E129" t="s">
        <v>43</v>
      </c>
      <c r="F129">
        <v>3</v>
      </c>
      <c r="G129" t="s">
        <v>219</v>
      </c>
      <c r="H129" t="s">
        <v>221</v>
      </c>
      <c r="I129">
        <v>20.399999999999999</v>
      </c>
      <c r="J129">
        <v>-0.1067</v>
      </c>
      <c r="K129">
        <v>0.85</v>
      </c>
      <c r="L129">
        <v>-7.7000000000000002E-3</v>
      </c>
      <c r="M129">
        <v>3812.2</v>
      </c>
      <c r="N129" t="s">
        <v>46</v>
      </c>
      <c r="P129" t="s">
        <v>40</v>
      </c>
      <c r="Q129" t="s">
        <v>41</v>
      </c>
      <c r="R129">
        <v>25650</v>
      </c>
      <c r="S129" s="30">
        <v>45869</v>
      </c>
      <c r="T129" t="s">
        <v>43</v>
      </c>
      <c r="U129">
        <v>3</v>
      </c>
      <c r="V129" s="31">
        <v>45861.635416666657</v>
      </c>
      <c r="W129" s="31">
        <v>45868.635416666657</v>
      </c>
      <c r="X129">
        <v>22.2</v>
      </c>
      <c r="Y129">
        <v>-0.13100000000000001</v>
      </c>
      <c r="Z129">
        <v>1</v>
      </c>
      <c r="AA129">
        <v>-9.1000000000000004E-3</v>
      </c>
      <c r="AB129">
        <v>4134</v>
      </c>
      <c r="AC129" t="s">
        <v>46</v>
      </c>
      <c r="AE129" s="69" t="s">
        <v>40</v>
      </c>
      <c r="AF129" s="69" t="s">
        <v>41</v>
      </c>
      <c r="AG129" s="69">
        <v>25800</v>
      </c>
      <c r="AH129" s="70">
        <v>45841</v>
      </c>
      <c r="AI129" s="69" t="s">
        <v>43</v>
      </c>
      <c r="AJ129" s="69">
        <v>3</v>
      </c>
      <c r="AK129" s="71">
        <v>45833.635416666657</v>
      </c>
      <c r="AL129" s="71">
        <v>45840.635416666657</v>
      </c>
      <c r="AM129" s="69">
        <v>24.55</v>
      </c>
      <c r="AN129" s="69">
        <v>-0.1177</v>
      </c>
      <c r="AO129" s="69">
        <v>5.6</v>
      </c>
      <c r="AP129" s="69">
        <v>-6.0299999999999999E-2</v>
      </c>
      <c r="AQ129" s="69">
        <v>3695.3</v>
      </c>
      <c r="AR129" s="69" t="s">
        <v>46</v>
      </c>
    </row>
    <row r="130" spans="1:44" x14ac:dyDescent="0.3">
      <c r="A130" t="s">
        <v>40</v>
      </c>
      <c r="B130" t="s">
        <v>41</v>
      </c>
      <c r="C130">
        <v>25100</v>
      </c>
      <c r="D130" t="s">
        <v>222</v>
      </c>
      <c r="E130" t="s">
        <v>43</v>
      </c>
      <c r="F130">
        <v>3</v>
      </c>
      <c r="G130" t="s">
        <v>221</v>
      </c>
      <c r="H130" t="s">
        <v>223</v>
      </c>
      <c r="I130">
        <v>19</v>
      </c>
      <c r="J130">
        <v>-0.10390000000000001</v>
      </c>
      <c r="K130">
        <v>1.05</v>
      </c>
      <c r="L130">
        <v>-1.4E-2</v>
      </c>
      <c r="M130">
        <v>3500.2</v>
      </c>
      <c r="N130" t="s">
        <v>46</v>
      </c>
      <c r="P130" t="s">
        <v>40</v>
      </c>
      <c r="Q130" t="s">
        <v>41</v>
      </c>
      <c r="R130">
        <v>25400</v>
      </c>
      <c r="S130" s="30">
        <v>45876</v>
      </c>
      <c r="T130" t="s">
        <v>43</v>
      </c>
      <c r="U130">
        <v>3</v>
      </c>
      <c r="V130" s="31">
        <v>45868.635416666657</v>
      </c>
      <c r="W130" s="31">
        <v>45875.635416666657</v>
      </c>
      <c r="X130">
        <v>20.399999999999999</v>
      </c>
      <c r="Y130">
        <v>-0.1067</v>
      </c>
      <c r="Z130">
        <v>0.85</v>
      </c>
      <c r="AA130">
        <v>-7.7000000000000002E-3</v>
      </c>
      <c r="AB130">
        <v>3812.2</v>
      </c>
      <c r="AC130" t="s">
        <v>46</v>
      </c>
      <c r="AE130" s="69" t="s">
        <v>40</v>
      </c>
      <c r="AF130" s="69" t="s">
        <v>41</v>
      </c>
      <c r="AG130" s="69">
        <v>26050</v>
      </c>
      <c r="AH130" s="70">
        <v>45848</v>
      </c>
      <c r="AI130" s="69" t="s">
        <v>43</v>
      </c>
      <c r="AJ130" s="69">
        <v>3</v>
      </c>
      <c r="AK130" s="71">
        <v>45840.635416666657</v>
      </c>
      <c r="AL130" s="71">
        <v>45847.635416666657</v>
      </c>
      <c r="AM130" s="69">
        <v>21</v>
      </c>
      <c r="AN130" s="69">
        <v>-0.10290000000000001</v>
      </c>
      <c r="AO130" s="69">
        <v>1.8</v>
      </c>
      <c r="AP130" s="69">
        <v>-1.8599999999999998E-2</v>
      </c>
      <c r="AQ130" s="69">
        <v>3744</v>
      </c>
      <c r="AR130" s="69" t="s">
        <v>46</v>
      </c>
    </row>
    <row r="131" spans="1:44" x14ac:dyDescent="0.3">
      <c r="A131" t="s">
        <v>40</v>
      </c>
      <c r="B131" t="s">
        <v>41</v>
      </c>
      <c r="C131">
        <v>25100</v>
      </c>
      <c r="D131" t="s">
        <v>224</v>
      </c>
      <c r="E131" t="s">
        <v>43</v>
      </c>
      <c r="F131">
        <v>3</v>
      </c>
      <c r="G131" t="s">
        <v>223</v>
      </c>
      <c r="H131" t="s">
        <v>225</v>
      </c>
      <c r="I131">
        <v>22.65</v>
      </c>
      <c r="J131">
        <v>-0.12239999999999999</v>
      </c>
      <c r="K131">
        <v>31.6</v>
      </c>
      <c r="L131">
        <v>-0.35730000000000001</v>
      </c>
      <c r="M131">
        <v>-1745.3</v>
      </c>
      <c r="N131" t="s">
        <v>46</v>
      </c>
      <c r="P131" t="s">
        <v>40</v>
      </c>
      <c r="Q131" t="s">
        <v>41</v>
      </c>
      <c r="R131">
        <v>25100</v>
      </c>
      <c r="S131" s="30">
        <v>45883</v>
      </c>
      <c r="T131" t="s">
        <v>43</v>
      </c>
      <c r="U131">
        <v>3</v>
      </c>
      <c r="V131" s="31">
        <v>45875.635416666657</v>
      </c>
      <c r="W131" s="31">
        <v>45882.635416666657</v>
      </c>
      <c r="X131">
        <v>19</v>
      </c>
      <c r="Y131">
        <v>-0.10390000000000001</v>
      </c>
      <c r="Z131">
        <v>1.05</v>
      </c>
      <c r="AA131">
        <v>-1.4E-2</v>
      </c>
      <c r="AB131">
        <v>3500.2</v>
      </c>
      <c r="AC131" t="s">
        <v>46</v>
      </c>
      <c r="AE131" s="69" t="s">
        <v>40</v>
      </c>
      <c r="AF131" s="69" t="s">
        <v>41</v>
      </c>
      <c r="AG131" s="69">
        <v>26000</v>
      </c>
      <c r="AH131" s="70">
        <v>45855</v>
      </c>
      <c r="AI131" s="69" t="s">
        <v>43</v>
      </c>
      <c r="AJ131" s="69">
        <v>3</v>
      </c>
      <c r="AK131" s="71">
        <v>45847.635416666657</v>
      </c>
      <c r="AL131" s="71">
        <v>45854.635416666657</v>
      </c>
      <c r="AM131" s="69">
        <v>23.55</v>
      </c>
      <c r="AN131" s="69">
        <v>-0.1197</v>
      </c>
      <c r="AO131" s="69">
        <v>0.6</v>
      </c>
      <c r="AP131" s="69">
        <v>-6.1000000000000004E-3</v>
      </c>
      <c r="AQ131" s="69">
        <v>4475.2</v>
      </c>
      <c r="AR131" s="69" t="s">
        <v>46</v>
      </c>
    </row>
    <row r="132" spans="1:44" x14ac:dyDescent="0.3">
      <c r="A132" t="s">
        <v>40</v>
      </c>
      <c r="B132" t="s">
        <v>51</v>
      </c>
      <c r="C132">
        <v>24850</v>
      </c>
      <c r="D132" t="s">
        <v>226</v>
      </c>
      <c r="E132" t="s">
        <v>54</v>
      </c>
      <c r="F132">
        <v>1</v>
      </c>
      <c r="G132" t="s">
        <v>219</v>
      </c>
      <c r="H132" t="s">
        <v>227</v>
      </c>
      <c r="I132">
        <v>241.95</v>
      </c>
      <c r="J132">
        <v>-0.4239</v>
      </c>
      <c r="K132">
        <v>146.75</v>
      </c>
      <c r="L132">
        <v>-0.74260000000000004</v>
      </c>
      <c r="M132">
        <v>-6188</v>
      </c>
      <c r="N132" t="s">
        <v>46</v>
      </c>
      <c r="P132" t="s">
        <v>40</v>
      </c>
      <c r="Q132" t="s">
        <v>41</v>
      </c>
      <c r="R132">
        <v>25100</v>
      </c>
      <c r="S132" s="30">
        <v>45890</v>
      </c>
      <c r="T132" t="s">
        <v>43</v>
      </c>
      <c r="U132">
        <v>3</v>
      </c>
      <c r="V132" s="31">
        <v>45882.635416666657</v>
      </c>
      <c r="W132" s="31">
        <v>45889.635416666657</v>
      </c>
      <c r="X132">
        <v>22.65</v>
      </c>
      <c r="Y132">
        <v>-0.12239999999999999</v>
      </c>
      <c r="Z132">
        <v>31.6</v>
      </c>
      <c r="AA132">
        <v>-0.35730000000000001</v>
      </c>
      <c r="AB132">
        <v>-1745.3</v>
      </c>
      <c r="AC132" t="s">
        <v>46</v>
      </c>
      <c r="AE132" s="69" t="s">
        <v>40</v>
      </c>
      <c r="AF132" s="69" t="s">
        <v>41</v>
      </c>
      <c r="AG132" s="69">
        <v>25650</v>
      </c>
      <c r="AH132" s="70">
        <v>45862</v>
      </c>
      <c r="AI132" s="69" t="s">
        <v>43</v>
      </c>
      <c r="AJ132" s="69">
        <v>3</v>
      </c>
      <c r="AK132" s="71">
        <v>45854.635416666657</v>
      </c>
      <c r="AL132" s="71">
        <v>45861.635416666657</v>
      </c>
      <c r="AM132" s="69">
        <v>23.35</v>
      </c>
      <c r="AN132" s="69">
        <v>-0.13159999999999999</v>
      </c>
      <c r="AO132" s="69">
        <v>1.1000000000000001</v>
      </c>
      <c r="AP132" s="69">
        <v>-1.6E-2</v>
      </c>
      <c r="AQ132" s="69">
        <v>4338.8</v>
      </c>
      <c r="AR132" s="69" t="s">
        <v>46</v>
      </c>
    </row>
    <row r="133" spans="1:44" x14ac:dyDescent="0.3">
      <c r="A133" t="s">
        <v>40</v>
      </c>
      <c r="B133" t="s">
        <v>51</v>
      </c>
      <c r="C133">
        <v>25500</v>
      </c>
      <c r="D133" t="s">
        <v>226</v>
      </c>
      <c r="E133" t="s">
        <v>43</v>
      </c>
      <c r="F133">
        <v>1</v>
      </c>
      <c r="G133" t="s">
        <v>219</v>
      </c>
      <c r="H133" t="s">
        <v>227</v>
      </c>
      <c r="I133">
        <v>623.54999999999995</v>
      </c>
      <c r="J133">
        <v>0.76500000000000001</v>
      </c>
      <c r="K133">
        <v>769.1</v>
      </c>
      <c r="L133">
        <v>0.98460000000000003</v>
      </c>
      <c r="M133">
        <v>-9460.7999999999993</v>
      </c>
      <c r="N133" t="s">
        <v>46</v>
      </c>
      <c r="P133" t="s">
        <v>40</v>
      </c>
      <c r="Q133" t="s">
        <v>51</v>
      </c>
      <c r="R133">
        <v>24850</v>
      </c>
      <c r="S133" s="30">
        <v>45897</v>
      </c>
      <c r="T133" t="s">
        <v>54</v>
      </c>
      <c r="U133">
        <v>1</v>
      </c>
      <c r="V133" s="31">
        <v>45868.635416666657</v>
      </c>
      <c r="W133" s="31">
        <v>45895.635416666657</v>
      </c>
      <c r="X133">
        <v>241.95</v>
      </c>
      <c r="Y133">
        <v>-0.4239</v>
      </c>
      <c r="Z133">
        <v>146.75</v>
      </c>
      <c r="AA133">
        <v>-0.74260000000000004</v>
      </c>
      <c r="AB133">
        <v>-6188</v>
      </c>
      <c r="AC133" t="s">
        <v>46</v>
      </c>
      <c r="AE133" s="69" t="s">
        <v>40</v>
      </c>
      <c r="AF133" s="69" t="s">
        <v>51</v>
      </c>
      <c r="AG133" s="69">
        <v>26100</v>
      </c>
      <c r="AH133" s="70">
        <v>45869</v>
      </c>
      <c r="AI133" s="69" t="s">
        <v>43</v>
      </c>
      <c r="AJ133" s="69">
        <v>1</v>
      </c>
      <c r="AK133" s="71">
        <v>45833.635416666657</v>
      </c>
      <c r="AL133" s="71">
        <v>45868.635416666657</v>
      </c>
      <c r="AM133" s="69">
        <v>850.5</v>
      </c>
      <c r="AN133" s="69">
        <v>0.77459999999999996</v>
      </c>
      <c r="AO133" s="69">
        <v>1228</v>
      </c>
      <c r="AP133" s="69">
        <v>0.99460000000000004</v>
      </c>
      <c r="AQ133" s="69">
        <v>-24537.5</v>
      </c>
      <c r="AR133" s="69" t="s">
        <v>46</v>
      </c>
    </row>
    <row r="134" spans="1:44" x14ac:dyDescent="0.3">
      <c r="A134" t="s">
        <v>40</v>
      </c>
      <c r="B134" t="s">
        <v>41</v>
      </c>
      <c r="C134">
        <v>25500</v>
      </c>
      <c r="D134" t="s">
        <v>226</v>
      </c>
      <c r="E134" t="s">
        <v>43</v>
      </c>
      <c r="F134">
        <v>3</v>
      </c>
      <c r="G134" t="s">
        <v>225</v>
      </c>
      <c r="H134" t="s">
        <v>227</v>
      </c>
      <c r="I134">
        <v>21.65</v>
      </c>
      <c r="J134">
        <v>-0.1235</v>
      </c>
      <c r="K134">
        <v>1.95</v>
      </c>
      <c r="L134">
        <v>-1.54E-2</v>
      </c>
      <c r="M134">
        <v>3841.5</v>
      </c>
      <c r="N134" t="s">
        <v>46</v>
      </c>
      <c r="P134" t="s">
        <v>40</v>
      </c>
      <c r="Q134" t="s">
        <v>51</v>
      </c>
      <c r="R134">
        <v>25500</v>
      </c>
      <c r="S134" s="30">
        <v>45897</v>
      </c>
      <c r="T134" t="s">
        <v>43</v>
      </c>
      <c r="U134">
        <v>1</v>
      </c>
      <c r="V134" s="31">
        <v>45868.635416666657</v>
      </c>
      <c r="W134" s="31">
        <v>45895.635416666657</v>
      </c>
      <c r="X134">
        <v>623.54999999999995</v>
      </c>
      <c r="Y134">
        <v>0.76500000000000001</v>
      </c>
      <c r="Z134">
        <v>769.1</v>
      </c>
      <c r="AA134">
        <v>0.98460000000000003</v>
      </c>
      <c r="AB134">
        <v>-9460.7999999999993</v>
      </c>
      <c r="AC134" t="s">
        <v>46</v>
      </c>
      <c r="AE134" s="69" t="s">
        <v>40</v>
      </c>
      <c r="AF134" s="69" t="s">
        <v>51</v>
      </c>
      <c r="AG134" s="69">
        <v>25250</v>
      </c>
      <c r="AH134" s="70">
        <v>45869</v>
      </c>
      <c r="AI134" s="69" t="s">
        <v>54</v>
      </c>
      <c r="AJ134" s="69">
        <v>1</v>
      </c>
      <c r="AK134" s="71">
        <v>45833.635416666657</v>
      </c>
      <c r="AL134" s="71">
        <v>45868.635416666657</v>
      </c>
      <c r="AM134" s="69">
        <v>344</v>
      </c>
      <c r="AN134" s="69">
        <v>-0.43209999999999998</v>
      </c>
      <c r="AO134" s="69">
        <v>380.25</v>
      </c>
      <c r="AP134" s="69">
        <v>-0.96109999999999995</v>
      </c>
      <c r="AQ134" s="69">
        <v>2356.1999999999998</v>
      </c>
      <c r="AR134" s="69" t="s">
        <v>46</v>
      </c>
    </row>
    <row r="135" spans="1:44" x14ac:dyDescent="0.3">
      <c r="A135" t="s">
        <v>40</v>
      </c>
      <c r="B135" t="s">
        <v>41</v>
      </c>
      <c r="C135">
        <v>25250</v>
      </c>
      <c r="D135" t="s">
        <v>228</v>
      </c>
      <c r="E135" t="s">
        <v>43</v>
      </c>
      <c r="F135">
        <v>3</v>
      </c>
      <c r="G135" t="s">
        <v>227</v>
      </c>
      <c r="H135" t="s">
        <v>229</v>
      </c>
      <c r="I135">
        <v>17.75</v>
      </c>
      <c r="J135">
        <v>-9.74E-2</v>
      </c>
      <c r="K135">
        <v>0.75</v>
      </c>
      <c r="L135">
        <v>-8.6999999999999994E-3</v>
      </c>
      <c r="M135">
        <v>3315</v>
      </c>
      <c r="N135" t="s">
        <v>46</v>
      </c>
      <c r="P135" t="s">
        <v>40</v>
      </c>
      <c r="Q135" t="s">
        <v>41</v>
      </c>
      <c r="R135">
        <v>25500</v>
      </c>
      <c r="S135" s="30">
        <v>45897</v>
      </c>
      <c r="T135" t="s">
        <v>43</v>
      </c>
      <c r="U135">
        <v>3</v>
      </c>
      <c r="V135" s="31">
        <v>45889.635416666657</v>
      </c>
      <c r="W135" s="31">
        <v>45895.635416666657</v>
      </c>
      <c r="X135">
        <v>21.65</v>
      </c>
      <c r="Y135">
        <v>-0.1235</v>
      </c>
      <c r="Z135">
        <v>1.95</v>
      </c>
      <c r="AA135">
        <v>-1.54E-2</v>
      </c>
      <c r="AB135">
        <v>3841.5</v>
      </c>
      <c r="AC135" t="s">
        <v>46</v>
      </c>
      <c r="AE135" s="69" t="s">
        <v>40</v>
      </c>
      <c r="AF135" s="69" t="s">
        <v>41</v>
      </c>
      <c r="AG135" s="69">
        <v>25650</v>
      </c>
      <c r="AH135" s="70">
        <v>45869</v>
      </c>
      <c r="AI135" s="69" t="s">
        <v>43</v>
      </c>
      <c r="AJ135" s="69">
        <v>3</v>
      </c>
      <c r="AK135" s="71">
        <v>45861.635416666657</v>
      </c>
      <c r="AL135" s="71">
        <v>45868.635416666657</v>
      </c>
      <c r="AM135" s="69">
        <v>22.2</v>
      </c>
      <c r="AN135" s="69">
        <v>-0.13100000000000001</v>
      </c>
      <c r="AO135" s="69">
        <v>1</v>
      </c>
      <c r="AP135" s="69">
        <v>-9.1000000000000004E-3</v>
      </c>
      <c r="AQ135" s="69">
        <v>4134</v>
      </c>
      <c r="AR135" s="69" t="s">
        <v>46</v>
      </c>
    </row>
    <row r="136" spans="1:44" x14ac:dyDescent="0.3">
      <c r="A136" t="s">
        <v>40</v>
      </c>
      <c r="B136" t="s">
        <v>41</v>
      </c>
      <c r="C136">
        <v>25100</v>
      </c>
      <c r="D136" t="s">
        <v>230</v>
      </c>
      <c r="E136" t="s">
        <v>43</v>
      </c>
      <c r="F136">
        <v>3</v>
      </c>
      <c r="G136" t="s">
        <v>229</v>
      </c>
      <c r="H136" t="s">
        <v>231</v>
      </c>
      <c r="I136">
        <v>17.899999999999999</v>
      </c>
      <c r="J136">
        <v>-0.1072</v>
      </c>
      <c r="K136">
        <v>3.9</v>
      </c>
      <c r="L136">
        <v>-4.7899999999999998E-2</v>
      </c>
      <c r="M136">
        <v>2730</v>
      </c>
      <c r="N136" t="s">
        <v>46</v>
      </c>
      <c r="P136" t="s">
        <v>40</v>
      </c>
      <c r="Q136" t="s">
        <v>41</v>
      </c>
      <c r="R136">
        <v>25250</v>
      </c>
      <c r="S136" s="30">
        <v>45902</v>
      </c>
      <c r="T136" t="s">
        <v>43</v>
      </c>
      <c r="U136">
        <v>3</v>
      </c>
      <c r="V136" s="31">
        <v>45895.635416666657</v>
      </c>
      <c r="W136" s="31">
        <v>45901.635416666657</v>
      </c>
      <c r="X136">
        <v>17.75</v>
      </c>
      <c r="Y136">
        <v>-9.74E-2</v>
      </c>
      <c r="Z136">
        <v>0.75</v>
      </c>
      <c r="AA136">
        <v>-8.6999999999999994E-3</v>
      </c>
      <c r="AB136">
        <v>3315</v>
      </c>
      <c r="AC136" t="s">
        <v>46</v>
      </c>
      <c r="AE136" s="69" t="s">
        <v>40</v>
      </c>
      <c r="AF136" s="69" t="s">
        <v>41</v>
      </c>
      <c r="AG136" s="69">
        <v>25400</v>
      </c>
      <c r="AH136" s="70">
        <v>45876</v>
      </c>
      <c r="AI136" s="69" t="s">
        <v>43</v>
      </c>
      <c r="AJ136" s="69">
        <v>3</v>
      </c>
      <c r="AK136" s="71">
        <v>45868.635416666657</v>
      </c>
      <c r="AL136" s="71">
        <v>45875.635416666657</v>
      </c>
      <c r="AM136" s="69">
        <v>20.399999999999999</v>
      </c>
      <c r="AN136" s="69">
        <v>-0.1067</v>
      </c>
      <c r="AO136" s="69">
        <v>0.85</v>
      </c>
      <c r="AP136" s="69">
        <v>-7.7000000000000002E-3</v>
      </c>
      <c r="AQ136" s="69">
        <v>3812.2</v>
      </c>
      <c r="AR136" s="69" t="s">
        <v>46</v>
      </c>
    </row>
    <row r="137" spans="1:44" x14ac:dyDescent="0.3">
      <c r="A137" t="s">
        <v>40</v>
      </c>
      <c r="B137" t="s">
        <v>41</v>
      </c>
      <c r="C137">
        <v>25300</v>
      </c>
      <c r="D137" t="s">
        <v>232</v>
      </c>
      <c r="E137" t="s">
        <v>43</v>
      </c>
      <c r="F137">
        <v>3</v>
      </c>
      <c r="G137" t="s">
        <v>231</v>
      </c>
      <c r="H137" t="s">
        <v>233</v>
      </c>
      <c r="I137">
        <v>16.2</v>
      </c>
      <c r="J137">
        <v>-9.3600000000000003E-2</v>
      </c>
      <c r="K137">
        <v>5.0999999999999996</v>
      </c>
      <c r="L137">
        <v>-7.2999999999999995E-2</v>
      </c>
      <c r="M137">
        <v>2164.5</v>
      </c>
      <c r="N137" t="s">
        <v>46</v>
      </c>
      <c r="P137" t="s">
        <v>40</v>
      </c>
      <c r="Q137" t="s">
        <v>41</v>
      </c>
      <c r="R137">
        <v>25100</v>
      </c>
      <c r="S137" s="30">
        <v>45909</v>
      </c>
      <c r="T137" t="s">
        <v>43</v>
      </c>
      <c r="U137">
        <v>3</v>
      </c>
      <c r="V137" s="31">
        <v>45901.635416666657</v>
      </c>
      <c r="W137" s="31">
        <v>45908.635416666657</v>
      </c>
      <c r="X137">
        <v>17.899999999999999</v>
      </c>
      <c r="Y137">
        <v>-0.1072</v>
      </c>
      <c r="Z137">
        <v>3.9</v>
      </c>
      <c r="AA137">
        <v>-4.7899999999999998E-2</v>
      </c>
      <c r="AB137">
        <v>2730</v>
      </c>
      <c r="AC137" t="s">
        <v>46</v>
      </c>
      <c r="AE137" s="69" t="s">
        <v>40</v>
      </c>
      <c r="AF137" s="69" t="s">
        <v>41</v>
      </c>
      <c r="AG137" s="69">
        <v>25100</v>
      </c>
      <c r="AH137" s="70">
        <v>45883</v>
      </c>
      <c r="AI137" s="69" t="s">
        <v>43</v>
      </c>
      <c r="AJ137" s="69">
        <v>3</v>
      </c>
      <c r="AK137" s="71">
        <v>45875.635416666657</v>
      </c>
      <c r="AL137" s="71">
        <v>45882.635416666657</v>
      </c>
      <c r="AM137" s="69">
        <v>19</v>
      </c>
      <c r="AN137" s="69">
        <v>-0.10390000000000001</v>
      </c>
      <c r="AO137" s="69">
        <v>1.05</v>
      </c>
      <c r="AP137" s="69">
        <v>-1.4E-2</v>
      </c>
      <c r="AQ137" s="69">
        <v>3500.2</v>
      </c>
      <c r="AR137" s="69" t="s">
        <v>46</v>
      </c>
    </row>
    <row r="138" spans="1:44" x14ac:dyDescent="0.3">
      <c r="A138" t="s">
        <v>40</v>
      </c>
      <c r="B138" t="s">
        <v>41</v>
      </c>
      <c r="C138">
        <v>25550</v>
      </c>
      <c r="D138" t="s">
        <v>234</v>
      </c>
      <c r="E138" t="s">
        <v>43</v>
      </c>
      <c r="F138">
        <v>3</v>
      </c>
      <c r="G138" t="s">
        <v>233</v>
      </c>
      <c r="H138" t="s">
        <v>235</v>
      </c>
      <c r="I138">
        <v>17.649999999999999</v>
      </c>
      <c r="J138">
        <v>-0.1052</v>
      </c>
      <c r="K138">
        <v>4.8</v>
      </c>
      <c r="L138">
        <v>-5.33E-2</v>
      </c>
      <c r="M138">
        <v>2505.6999999999998</v>
      </c>
      <c r="N138" t="s">
        <v>46</v>
      </c>
      <c r="P138" t="s">
        <v>40</v>
      </c>
      <c r="Q138" t="s">
        <v>41</v>
      </c>
      <c r="R138">
        <v>25300</v>
      </c>
      <c r="S138" s="30">
        <v>45916</v>
      </c>
      <c r="T138" t="s">
        <v>43</v>
      </c>
      <c r="U138">
        <v>3</v>
      </c>
      <c r="V138" s="31">
        <v>45908.635416666657</v>
      </c>
      <c r="W138" s="31">
        <v>45915.635416666657</v>
      </c>
      <c r="X138">
        <v>16.2</v>
      </c>
      <c r="Y138">
        <v>-9.3600000000000003E-2</v>
      </c>
      <c r="Z138">
        <v>5.0999999999999996</v>
      </c>
      <c r="AA138">
        <v>-7.2999999999999995E-2</v>
      </c>
      <c r="AB138">
        <v>2164.5</v>
      </c>
      <c r="AC138" t="s">
        <v>46</v>
      </c>
      <c r="AE138" s="69" t="s">
        <v>40</v>
      </c>
      <c r="AF138" s="69" t="s">
        <v>41</v>
      </c>
      <c r="AG138" s="69">
        <v>25100</v>
      </c>
      <c r="AH138" s="70">
        <v>45890</v>
      </c>
      <c r="AI138" s="69" t="s">
        <v>43</v>
      </c>
      <c r="AJ138" s="69">
        <v>3</v>
      </c>
      <c r="AK138" s="71">
        <v>45882.635416666657</v>
      </c>
      <c r="AL138" s="71">
        <v>45889.635416666657</v>
      </c>
      <c r="AM138" s="69">
        <v>22.65</v>
      </c>
      <c r="AN138" s="69">
        <v>-0.12239999999999999</v>
      </c>
      <c r="AO138" s="69">
        <v>31.6</v>
      </c>
      <c r="AP138" s="69">
        <v>-0.35730000000000001</v>
      </c>
      <c r="AQ138" s="69">
        <v>-1745.3</v>
      </c>
      <c r="AR138" s="69" t="s">
        <v>46</v>
      </c>
    </row>
    <row r="139" spans="1:44" x14ac:dyDescent="0.3">
      <c r="A139" t="s">
        <v>40</v>
      </c>
      <c r="B139" t="s">
        <v>51</v>
      </c>
      <c r="C139">
        <v>24700</v>
      </c>
      <c r="D139" t="s">
        <v>236</v>
      </c>
      <c r="E139" t="s">
        <v>54</v>
      </c>
      <c r="F139">
        <v>1</v>
      </c>
      <c r="G139" t="s">
        <v>227</v>
      </c>
      <c r="H139" t="s">
        <v>237</v>
      </c>
      <c r="I139">
        <v>260.35000000000002</v>
      </c>
      <c r="J139">
        <v>-0.41820000000000002</v>
      </c>
      <c r="K139">
        <v>66.849999999999994</v>
      </c>
      <c r="L139">
        <v>-0.65180000000000005</v>
      </c>
      <c r="M139">
        <v>-12577.5</v>
      </c>
      <c r="N139" t="s">
        <v>46</v>
      </c>
      <c r="P139" t="s">
        <v>40</v>
      </c>
      <c r="Q139" t="s">
        <v>51</v>
      </c>
      <c r="R139">
        <v>25300</v>
      </c>
      <c r="S139" s="30">
        <v>45930</v>
      </c>
      <c r="T139" t="s">
        <v>43</v>
      </c>
      <c r="U139">
        <v>1</v>
      </c>
      <c r="V139" s="31">
        <v>45895.635416666657</v>
      </c>
      <c r="W139" s="31">
        <v>45917.635416666657</v>
      </c>
      <c r="X139">
        <v>581.75</v>
      </c>
      <c r="Y139">
        <v>0.70130000000000003</v>
      </c>
      <c r="Z139">
        <v>117.7</v>
      </c>
      <c r="AA139">
        <v>0.41210000000000002</v>
      </c>
      <c r="AB139">
        <v>30163.200000000001</v>
      </c>
      <c r="AC139" t="s">
        <v>63</v>
      </c>
      <c r="AE139" s="69" t="s">
        <v>40</v>
      </c>
      <c r="AF139" s="69" t="s">
        <v>51</v>
      </c>
      <c r="AG139" s="69">
        <v>25500</v>
      </c>
      <c r="AH139" s="70">
        <v>45897</v>
      </c>
      <c r="AI139" s="69" t="s">
        <v>43</v>
      </c>
      <c r="AJ139" s="69">
        <v>1</v>
      </c>
      <c r="AK139" s="71">
        <v>45868.635416666657</v>
      </c>
      <c r="AL139" s="71">
        <v>45895.635416666657</v>
      </c>
      <c r="AM139" s="69">
        <v>623.54999999999995</v>
      </c>
      <c r="AN139" s="69">
        <v>0.76500000000000001</v>
      </c>
      <c r="AO139" s="69">
        <v>769.1</v>
      </c>
      <c r="AP139" s="69">
        <v>0.98460000000000003</v>
      </c>
      <c r="AQ139" s="69">
        <v>-9460.7999999999993</v>
      </c>
      <c r="AR139" s="69" t="s">
        <v>46</v>
      </c>
    </row>
    <row r="140" spans="1:44" x14ac:dyDescent="0.3">
      <c r="A140" t="s">
        <v>40</v>
      </c>
      <c r="B140" t="s">
        <v>51</v>
      </c>
      <c r="C140">
        <v>25500</v>
      </c>
      <c r="D140" t="s">
        <v>236</v>
      </c>
      <c r="E140" t="s">
        <v>43</v>
      </c>
      <c r="F140">
        <v>1</v>
      </c>
      <c r="G140" t="s">
        <v>227</v>
      </c>
      <c r="H140" t="s">
        <v>237</v>
      </c>
      <c r="I140">
        <v>734</v>
      </c>
      <c r="J140">
        <v>0.77900000000000003</v>
      </c>
      <c r="K140">
        <v>821.6</v>
      </c>
      <c r="L140">
        <v>0.98370000000000002</v>
      </c>
      <c r="M140">
        <v>-5694</v>
      </c>
      <c r="N140" t="s">
        <v>46</v>
      </c>
      <c r="P140" t="s">
        <v>40</v>
      </c>
      <c r="Q140" t="s">
        <v>41</v>
      </c>
      <c r="R140">
        <v>25550</v>
      </c>
      <c r="S140" s="30">
        <v>45923</v>
      </c>
      <c r="T140" t="s">
        <v>43</v>
      </c>
      <c r="U140">
        <v>3</v>
      </c>
      <c r="V140" s="31">
        <v>45915.635416666657</v>
      </c>
      <c r="W140" s="31">
        <v>45922.635416666657</v>
      </c>
      <c r="X140">
        <v>17.649999999999999</v>
      </c>
      <c r="Y140">
        <v>-0.1052</v>
      </c>
      <c r="Z140">
        <v>4.8</v>
      </c>
      <c r="AA140">
        <v>-5.33E-2</v>
      </c>
      <c r="AB140">
        <v>2505.6999999999998</v>
      </c>
      <c r="AC140" t="s">
        <v>46</v>
      </c>
      <c r="AE140" s="69" t="s">
        <v>40</v>
      </c>
      <c r="AF140" s="69" t="s">
        <v>51</v>
      </c>
      <c r="AG140" s="69">
        <v>24850</v>
      </c>
      <c r="AH140" s="70">
        <v>45897</v>
      </c>
      <c r="AI140" s="69" t="s">
        <v>54</v>
      </c>
      <c r="AJ140" s="69">
        <v>1</v>
      </c>
      <c r="AK140" s="71">
        <v>45868.635416666657</v>
      </c>
      <c r="AL140" s="71">
        <v>45895.635416666657</v>
      </c>
      <c r="AM140" s="69">
        <v>241.95</v>
      </c>
      <c r="AN140" s="69">
        <v>-0.4239</v>
      </c>
      <c r="AO140" s="69">
        <v>146.75</v>
      </c>
      <c r="AP140" s="69">
        <v>-0.74260000000000004</v>
      </c>
      <c r="AQ140" s="69">
        <v>-6188</v>
      </c>
      <c r="AR140" s="69" t="s">
        <v>46</v>
      </c>
    </row>
    <row r="141" spans="1:44" x14ac:dyDescent="0.3">
      <c r="A141" t="s">
        <v>40</v>
      </c>
      <c r="B141" t="s">
        <v>41</v>
      </c>
      <c r="C141">
        <v>25750</v>
      </c>
      <c r="D141" t="s">
        <v>236</v>
      </c>
      <c r="E141" t="s">
        <v>43</v>
      </c>
      <c r="F141">
        <v>3</v>
      </c>
      <c r="G141" t="s">
        <v>235</v>
      </c>
      <c r="H141" t="s">
        <v>237</v>
      </c>
      <c r="I141">
        <v>16.45</v>
      </c>
      <c r="J141">
        <v>-9.2600000000000002E-2</v>
      </c>
      <c r="K141">
        <v>1.7</v>
      </c>
      <c r="L141">
        <v>-1.0699999999999999E-2</v>
      </c>
      <c r="M141">
        <v>2876.2</v>
      </c>
      <c r="N141" t="s">
        <v>46</v>
      </c>
      <c r="P141" t="s">
        <v>40</v>
      </c>
      <c r="Q141" t="s">
        <v>51</v>
      </c>
      <c r="R141">
        <v>24700</v>
      </c>
      <c r="S141" s="30">
        <v>45930</v>
      </c>
      <c r="T141" t="s">
        <v>54</v>
      </c>
      <c r="U141">
        <v>1</v>
      </c>
      <c r="V141" s="31">
        <v>45895.635416666657</v>
      </c>
      <c r="W141" s="31">
        <v>45929.635416666657</v>
      </c>
      <c r="X141">
        <v>260.35000000000002</v>
      </c>
      <c r="Y141">
        <v>-0.41820000000000002</v>
      </c>
      <c r="Z141">
        <v>66.849999999999994</v>
      </c>
      <c r="AA141">
        <v>-0.65180000000000005</v>
      </c>
      <c r="AB141">
        <v>-12577.5</v>
      </c>
      <c r="AC141" t="s">
        <v>46</v>
      </c>
      <c r="AE141" s="69" t="s">
        <v>40</v>
      </c>
      <c r="AF141" s="69" t="s">
        <v>41</v>
      </c>
      <c r="AG141" s="69">
        <v>25500</v>
      </c>
      <c r="AH141" s="70">
        <v>45897</v>
      </c>
      <c r="AI141" s="69" t="s">
        <v>43</v>
      </c>
      <c r="AJ141" s="69">
        <v>3</v>
      </c>
      <c r="AK141" s="71">
        <v>45889.635416666657</v>
      </c>
      <c r="AL141" s="71">
        <v>45895.635416666657</v>
      </c>
      <c r="AM141" s="69">
        <v>21.65</v>
      </c>
      <c r="AN141" s="69">
        <v>-0.1235</v>
      </c>
      <c r="AO141" s="69">
        <v>1.95</v>
      </c>
      <c r="AP141" s="69">
        <v>-1.54E-2</v>
      </c>
      <c r="AQ141" s="69">
        <v>3841.5</v>
      </c>
      <c r="AR141" s="69" t="s">
        <v>46</v>
      </c>
    </row>
    <row r="142" spans="1:44" x14ac:dyDescent="0.3">
      <c r="A142" t="s">
        <v>40</v>
      </c>
      <c r="B142" t="s">
        <v>51</v>
      </c>
      <c r="C142">
        <v>25000</v>
      </c>
      <c r="D142" t="s">
        <v>238</v>
      </c>
      <c r="E142" t="s">
        <v>43</v>
      </c>
      <c r="F142">
        <v>1</v>
      </c>
      <c r="G142" t="s">
        <v>237</v>
      </c>
      <c r="H142" t="s">
        <v>239</v>
      </c>
      <c r="I142">
        <v>390.25</v>
      </c>
      <c r="J142">
        <v>0.6139</v>
      </c>
      <c r="K142">
        <v>145.19999999999999</v>
      </c>
      <c r="L142">
        <v>0.37219999999999998</v>
      </c>
      <c r="M142">
        <v>15928.2</v>
      </c>
      <c r="N142" t="s">
        <v>63</v>
      </c>
      <c r="P142" t="s">
        <v>40</v>
      </c>
      <c r="Q142" t="s">
        <v>51</v>
      </c>
      <c r="R142">
        <v>25600</v>
      </c>
      <c r="S142" s="30">
        <v>45930</v>
      </c>
      <c r="T142" t="s">
        <v>43</v>
      </c>
      <c r="U142">
        <v>1</v>
      </c>
      <c r="V142" s="31">
        <v>45917.635416666657</v>
      </c>
      <c r="W142" s="31">
        <v>45929.635416666657</v>
      </c>
      <c r="X142">
        <v>268.45</v>
      </c>
      <c r="Y142">
        <v>0.6794</v>
      </c>
      <c r="Z142">
        <v>915</v>
      </c>
      <c r="AA142">
        <v>0.98680000000000001</v>
      </c>
      <c r="AB142">
        <v>-42025.8</v>
      </c>
      <c r="AC142" t="s">
        <v>46</v>
      </c>
      <c r="AE142" s="69" t="s">
        <v>40</v>
      </c>
      <c r="AF142" s="69" t="s">
        <v>41</v>
      </c>
      <c r="AG142" s="69">
        <v>25250</v>
      </c>
      <c r="AH142" s="70">
        <v>45902</v>
      </c>
      <c r="AI142" s="69" t="s">
        <v>43</v>
      </c>
      <c r="AJ142" s="69">
        <v>3</v>
      </c>
      <c r="AK142" s="71">
        <v>45895.635416666657</v>
      </c>
      <c r="AL142" s="71">
        <v>45901.635416666657</v>
      </c>
      <c r="AM142" s="69">
        <v>17.75</v>
      </c>
      <c r="AN142" s="69">
        <v>-9.74E-2</v>
      </c>
      <c r="AO142" s="69">
        <v>0.75</v>
      </c>
      <c r="AP142" s="69">
        <v>-8.6999999999999994E-3</v>
      </c>
      <c r="AQ142" s="69">
        <v>3315</v>
      </c>
      <c r="AR142" s="69" t="s">
        <v>46</v>
      </c>
    </row>
    <row r="143" spans="1:44" x14ac:dyDescent="0.3">
      <c r="A143" t="s">
        <v>40</v>
      </c>
      <c r="B143" t="s">
        <v>41</v>
      </c>
      <c r="C143">
        <v>25200</v>
      </c>
      <c r="D143" t="s">
        <v>240</v>
      </c>
      <c r="E143" t="s">
        <v>43</v>
      </c>
      <c r="F143">
        <v>3</v>
      </c>
      <c r="G143" t="s">
        <v>237</v>
      </c>
      <c r="H143" t="s">
        <v>239</v>
      </c>
      <c r="I143">
        <v>20.6</v>
      </c>
      <c r="J143">
        <v>-0.1046</v>
      </c>
      <c r="K143">
        <v>14.55</v>
      </c>
      <c r="L143">
        <v>-0.1938</v>
      </c>
      <c r="M143">
        <v>1179.8</v>
      </c>
      <c r="N143" t="s">
        <v>46</v>
      </c>
      <c r="P143" t="s">
        <v>40</v>
      </c>
      <c r="Q143" t="s">
        <v>41</v>
      </c>
      <c r="R143">
        <v>25750</v>
      </c>
      <c r="S143" s="30">
        <v>45930</v>
      </c>
      <c r="T143" t="s">
        <v>43</v>
      </c>
      <c r="U143">
        <v>3</v>
      </c>
      <c r="V143" s="31">
        <v>45922.635416666657</v>
      </c>
      <c r="W143" s="31">
        <v>45929.635416666657</v>
      </c>
      <c r="X143">
        <v>16.45</v>
      </c>
      <c r="Y143">
        <v>-9.2600000000000002E-2</v>
      </c>
      <c r="Z143">
        <v>1.7</v>
      </c>
      <c r="AA143">
        <v>-1.0699999999999999E-2</v>
      </c>
      <c r="AB143">
        <v>2876.2</v>
      </c>
      <c r="AC143" t="s">
        <v>46</v>
      </c>
      <c r="AE143" s="69" t="s">
        <v>40</v>
      </c>
      <c r="AF143" s="69" t="s">
        <v>41</v>
      </c>
      <c r="AG143" s="69">
        <v>25100</v>
      </c>
      <c r="AH143" s="70">
        <v>45909</v>
      </c>
      <c r="AI143" s="69" t="s">
        <v>43</v>
      </c>
      <c r="AJ143" s="69">
        <v>3</v>
      </c>
      <c r="AK143" s="71">
        <v>45901.635416666657</v>
      </c>
      <c r="AL143" s="71">
        <v>45908.635416666657</v>
      </c>
      <c r="AM143" s="69">
        <v>17.899999999999999</v>
      </c>
      <c r="AN143" s="69">
        <v>-0.1072</v>
      </c>
      <c r="AO143" s="69">
        <v>3.9</v>
      </c>
      <c r="AP143" s="69">
        <v>-4.7899999999999998E-2</v>
      </c>
      <c r="AQ143" s="69">
        <v>2730</v>
      </c>
      <c r="AR143" s="69" t="s">
        <v>46</v>
      </c>
    </row>
    <row r="144" spans="1:44" x14ac:dyDescent="0.3">
      <c r="A144" t="s">
        <v>40</v>
      </c>
      <c r="B144" t="s">
        <v>41</v>
      </c>
      <c r="C144">
        <v>25500</v>
      </c>
      <c r="D144" t="s">
        <v>241</v>
      </c>
      <c r="E144" t="s">
        <v>43</v>
      </c>
      <c r="F144">
        <v>3</v>
      </c>
      <c r="G144" t="s">
        <v>239</v>
      </c>
      <c r="H144" t="s">
        <v>242</v>
      </c>
      <c r="I144">
        <v>18.3</v>
      </c>
      <c r="J144">
        <v>-0.1172</v>
      </c>
      <c r="K144">
        <v>5.25</v>
      </c>
      <c r="L144">
        <v>-6.7199999999999996E-2</v>
      </c>
      <c r="M144">
        <v>2544.8000000000002</v>
      </c>
      <c r="N144" t="s">
        <v>46</v>
      </c>
      <c r="P144" t="s">
        <v>40</v>
      </c>
      <c r="Q144" t="s">
        <v>41</v>
      </c>
      <c r="R144">
        <v>25200</v>
      </c>
      <c r="S144" s="30">
        <v>45937</v>
      </c>
      <c r="T144" t="s">
        <v>43</v>
      </c>
      <c r="U144">
        <v>3</v>
      </c>
      <c r="V144" s="31">
        <v>45929.635416666657</v>
      </c>
      <c r="W144" s="31">
        <v>45936.635416666657</v>
      </c>
      <c r="X144">
        <v>20.6</v>
      </c>
      <c r="Y144">
        <v>-0.1046</v>
      </c>
      <c r="Z144">
        <v>14.55</v>
      </c>
      <c r="AA144">
        <v>-0.1938</v>
      </c>
      <c r="AB144">
        <v>1179.8</v>
      </c>
      <c r="AC144" t="s">
        <v>46</v>
      </c>
      <c r="AE144" s="69" t="s">
        <v>40</v>
      </c>
      <c r="AF144" s="69" t="s">
        <v>41</v>
      </c>
      <c r="AG144" s="69">
        <v>25300</v>
      </c>
      <c r="AH144" s="70">
        <v>45916</v>
      </c>
      <c r="AI144" s="69" t="s">
        <v>43</v>
      </c>
      <c r="AJ144" s="69">
        <v>3</v>
      </c>
      <c r="AK144" s="71">
        <v>45908.635416666657</v>
      </c>
      <c r="AL144" s="71">
        <v>45915.635416666657</v>
      </c>
      <c r="AM144" s="69">
        <v>16.2</v>
      </c>
      <c r="AN144" s="69">
        <v>-9.3600000000000003E-2</v>
      </c>
      <c r="AO144" s="69">
        <v>5.0999999999999996</v>
      </c>
      <c r="AP144" s="69">
        <v>-7.2999999999999995E-2</v>
      </c>
      <c r="AQ144" s="69">
        <v>2164.5</v>
      </c>
      <c r="AR144" s="69" t="s">
        <v>46</v>
      </c>
    </row>
    <row r="145" spans="1:44" x14ac:dyDescent="0.3">
      <c r="A145" t="s">
        <v>40</v>
      </c>
      <c r="B145" t="s">
        <v>51</v>
      </c>
      <c r="C145">
        <v>25500</v>
      </c>
      <c r="D145" t="s">
        <v>238</v>
      </c>
      <c r="E145" t="s">
        <v>43</v>
      </c>
      <c r="F145">
        <v>1</v>
      </c>
      <c r="G145" t="s">
        <v>239</v>
      </c>
      <c r="H145" t="s">
        <v>243</v>
      </c>
      <c r="I145">
        <v>397.7</v>
      </c>
      <c r="J145">
        <v>0.7167</v>
      </c>
      <c r="K145">
        <v>107.9</v>
      </c>
      <c r="L145">
        <v>0.37380000000000002</v>
      </c>
      <c r="M145">
        <v>18837</v>
      </c>
      <c r="N145" t="s">
        <v>63</v>
      </c>
      <c r="P145" t="s">
        <v>40</v>
      </c>
      <c r="Q145" t="s">
        <v>51</v>
      </c>
      <c r="R145">
        <v>25100</v>
      </c>
      <c r="S145" s="30">
        <v>45958</v>
      </c>
      <c r="T145" t="s">
        <v>43</v>
      </c>
      <c r="U145">
        <v>1</v>
      </c>
      <c r="V145" s="31">
        <v>45929.635416666657</v>
      </c>
      <c r="W145" s="31">
        <v>45939.635416666657</v>
      </c>
      <c r="X145">
        <v>450.95</v>
      </c>
      <c r="Y145">
        <v>0.66439999999999999</v>
      </c>
      <c r="Z145">
        <v>130.55000000000001</v>
      </c>
      <c r="AA145">
        <v>0.36820000000000003</v>
      </c>
      <c r="AB145">
        <v>20826</v>
      </c>
      <c r="AC145" t="s">
        <v>63</v>
      </c>
      <c r="AE145" s="69" t="s">
        <v>40</v>
      </c>
      <c r="AF145" s="69" t="s">
        <v>51</v>
      </c>
      <c r="AG145" s="69">
        <v>25300</v>
      </c>
      <c r="AH145" s="70">
        <v>45930</v>
      </c>
      <c r="AI145" s="69" t="s">
        <v>43</v>
      </c>
      <c r="AJ145" s="69">
        <v>1</v>
      </c>
      <c r="AK145" s="71">
        <v>45895.635416666657</v>
      </c>
      <c r="AL145" s="71">
        <v>45917.635416666657</v>
      </c>
      <c r="AM145" s="69">
        <v>581.75</v>
      </c>
      <c r="AN145" s="69">
        <v>0.70130000000000003</v>
      </c>
      <c r="AO145" s="69">
        <v>117.7</v>
      </c>
      <c r="AP145" s="69">
        <v>0.41210000000000002</v>
      </c>
      <c r="AQ145" s="69">
        <v>30163.200000000001</v>
      </c>
      <c r="AR145" s="69" t="s">
        <v>63</v>
      </c>
    </row>
    <row r="146" spans="1:44" x14ac:dyDescent="0.3">
      <c r="A146" t="s">
        <v>40</v>
      </c>
      <c r="B146" t="s">
        <v>41</v>
      </c>
      <c r="C146">
        <v>25700</v>
      </c>
      <c r="D146" t="s">
        <v>244</v>
      </c>
      <c r="E146" t="s">
        <v>43</v>
      </c>
      <c r="F146">
        <v>3</v>
      </c>
      <c r="G146" t="s">
        <v>242</v>
      </c>
      <c r="H146" t="s">
        <v>245</v>
      </c>
      <c r="I146">
        <v>20.7</v>
      </c>
      <c r="J146">
        <v>-0.1166</v>
      </c>
      <c r="K146">
        <v>100.8</v>
      </c>
      <c r="L146">
        <v>-0.56089999999999995</v>
      </c>
      <c r="M146">
        <v>-15619.5</v>
      </c>
      <c r="N146" t="s">
        <v>46</v>
      </c>
      <c r="P146" t="s">
        <v>40</v>
      </c>
      <c r="Q146" t="s">
        <v>41</v>
      </c>
      <c r="R146">
        <v>25500</v>
      </c>
      <c r="S146" s="30">
        <v>45944</v>
      </c>
      <c r="T146" t="s">
        <v>43</v>
      </c>
      <c r="U146">
        <v>3</v>
      </c>
      <c r="V146" s="31">
        <v>45936.635416666657</v>
      </c>
      <c r="W146" s="31">
        <v>45943.635416666657</v>
      </c>
      <c r="X146">
        <v>18.3</v>
      </c>
      <c r="Y146">
        <v>-0.1172</v>
      </c>
      <c r="Z146">
        <v>5.25</v>
      </c>
      <c r="AA146">
        <v>-6.7199999999999996E-2</v>
      </c>
      <c r="AB146">
        <v>2544.8000000000002</v>
      </c>
      <c r="AC146" t="s">
        <v>46</v>
      </c>
      <c r="AE146" s="69" t="s">
        <v>40</v>
      </c>
      <c r="AF146" s="69" t="s">
        <v>51</v>
      </c>
      <c r="AG146" s="69">
        <v>24700</v>
      </c>
      <c r="AH146" s="70">
        <v>45930</v>
      </c>
      <c r="AI146" s="69" t="s">
        <v>54</v>
      </c>
      <c r="AJ146" s="69">
        <v>1</v>
      </c>
      <c r="AK146" s="71">
        <v>45895.635416666657</v>
      </c>
      <c r="AL146" s="71">
        <v>45917.635416666657</v>
      </c>
      <c r="AM146" s="69">
        <v>260.35000000000002</v>
      </c>
      <c r="AN146" s="69">
        <v>-0.41820000000000002</v>
      </c>
      <c r="AO146" s="69">
        <v>24.05</v>
      </c>
      <c r="AP146" s="69">
        <v>-9.5000000000000001E-2</v>
      </c>
      <c r="AQ146" s="69">
        <v>-15359.5</v>
      </c>
      <c r="AR146" s="69" t="s">
        <v>63</v>
      </c>
    </row>
    <row r="147" spans="1:44" x14ac:dyDescent="0.3">
      <c r="A147" t="s">
        <v>40</v>
      </c>
      <c r="B147" t="s">
        <v>51</v>
      </c>
      <c r="C147">
        <v>24650</v>
      </c>
      <c r="D147" t="s">
        <v>238</v>
      </c>
      <c r="E147" t="s">
        <v>54</v>
      </c>
      <c r="F147">
        <v>1</v>
      </c>
      <c r="G147" t="s">
        <v>237</v>
      </c>
      <c r="H147" t="s">
        <v>246</v>
      </c>
      <c r="I147">
        <v>226.95</v>
      </c>
      <c r="J147">
        <v>-0.43190000000000001</v>
      </c>
      <c r="K147">
        <v>2.1</v>
      </c>
      <c r="L147">
        <v>-1.04E-2</v>
      </c>
      <c r="M147">
        <v>-14615.2</v>
      </c>
      <c r="N147" t="s">
        <v>46</v>
      </c>
      <c r="P147" t="s">
        <v>40</v>
      </c>
      <c r="Q147" t="s">
        <v>51</v>
      </c>
      <c r="R147">
        <v>25500</v>
      </c>
      <c r="S147" s="30">
        <v>45958</v>
      </c>
      <c r="T147" t="s">
        <v>43</v>
      </c>
      <c r="U147">
        <v>1</v>
      </c>
      <c r="V147" s="31">
        <v>45939.635416666657</v>
      </c>
      <c r="W147" s="31">
        <v>45946.635416666657</v>
      </c>
      <c r="X147">
        <v>327.5</v>
      </c>
      <c r="Y147">
        <v>0.67649999999999999</v>
      </c>
      <c r="Z147">
        <v>107.9</v>
      </c>
      <c r="AA147">
        <v>0.37380000000000002</v>
      </c>
      <c r="AB147">
        <v>14274</v>
      </c>
      <c r="AC147" t="s">
        <v>63</v>
      </c>
      <c r="AE147" s="69" t="s">
        <v>40</v>
      </c>
      <c r="AF147" s="69" t="s">
        <v>41</v>
      </c>
      <c r="AG147" s="69">
        <v>25550</v>
      </c>
      <c r="AH147" s="70">
        <v>45923</v>
      </c>
      <c r="AI147" s="69" t="s">
        <v>43</v>
      </c>
      <c r="AJ147" s="69">
        <v>3</v>
      </c>
      <c r="AK147" s="71">
        <v>45915.635416666657</v>
      </c>
      <c r="AL147" s="71">
        <v>45922.635416666657</v>
      </c>
      <c r="AM147" s="69">
        <v>17.649999999999999</v>
      </c>
      <c r="AN147" s="69">
        <v>-0.1052</v>
      </c>
      <c r="AO147" s="69">
        <v>4.8</v>
      </c>
      <c r="AP147" s="69">
        <v>-5.33E-2</v>
      </c>
      <c r="AQ147" s="69">
        <v>2505.6999999999998</v>
      </c>
      <c r="AR147" s="69" t="s">
        <v>46</v>
      </c>
    </row>
    <row r="148" spans="1:44" x14ac:dyDescent="0.3">
      <c r="A148" t="s">
        <v>40</v>
      </c>
      <c r="B148" t="s">
        <v>51</v>
      </c>
      <c r="C148">
        <v>26000</v>
      </c>
      <c r="D148" t="s">
        <v>238</v>
      </c>
      <c r="E148" t="s">
        <v>43</v>
      </c>
      <c r="F148">
        <v>1</v>
      </c>
      <c r="G148" t="s">
        <v>243</v>
      </c>
      <c r="H148" t="s">
        <v>246</v>
      </c>
      <c r="I148">
        <v>387.6</v>
      </c>
      <c r="J148">
        <v>0.80730000000000002</v>
      </c>
      <c r="K148">
        <v>66.75</v>
      </c>
      <c r="L148">
        <v>0.5766</v>
      </c>
      <c r="M148">
        <v>20855.2</v>
      </c>
      <c r="N148" t="s">
        <v>46</v>
      </c>
      <c r="P148" t="s">
        <v>40</v>
      </c>
      <c r="Q148" t="s">
        <v>41</v>
      </c>
      <c r="R148">
        <v>25700</v>
      </c>
      <c r="S148" s="30">
        <v>45950</v>
      </c>
      <c r="T148" t="s">
        <v>43</v>
      </c>
      <c r="U148">
        <v>3</v>
      </c>
      <c r="V148" s="31">
        <v>45943.635416666657</v>
      </c>
      <c r="W148" s="31">
        <v>45947.635416666657</v>
      </c>
      <c r="X148">
        <v>20.7</v>
      </c>
      <c r="Y148">
        <v>-0.1166</v>
      </c>
      <c r="Z148">
        <v>100.8</v>
      </c>
      <c r="AA148">
        <v>-0.56089999999999995</v>
      </c>
      <c r="AB148">
        <v>-15619.5</v>
      </c>
      <c r="AC148" t="s">
        <v>46</v>
      </c>
      <c r="AE148" s="69" t="s">
        <v>40</v>
      </c>
      <c r="AF148" s="69" t="s">
        <v>51</v>
      </c>
      <c r="AG148" s="69">
        <v>25600</v>
      </c>
      <c r="AH148" s="70">
        <v>45930</v>
      </c>
      <c r="AI148" s="69" t="s">
        <v>43</v>
      </c>
      <c r="AJ148" s="69">
        <v>1</v>
      </c>
      <c r="AK148" s="71">
        <v>45917.635416666657</v>
      </c>
      <c r="AL148" s="71">
        <v>45929.635416666657</v>
      </c>
      <c r="AM148" s="69">
        <v>268.45</v>
      </c>
      <c r="AN148" s="69">
        <v>0.6794</v>
      </c>
      <c r="AO148" s="69">
        <v>915</v>
      </c>
      <c r="AP148" s="69">
        <v>0.98680000000000001</v>
      </c>
      <c r="AQ148" s="69">
        <v>-42025.8</v>
      </c>
      <c r="AR148" s="69" t="s">
        <v>46</v>
      </c>
    </row>
    <row r="149" spans="1:44" x14ac:dyDescent="0.3">
      <c r="A149" t="s">
        <v>40</v>
      </c>
      <c r="B149" t="s">
        <v>41</v>
      </c>
      <c r="C149">
        <v>26300</v>
      </c>
      <c r="D149" t="s">
        <v>238</v>
      </c>
      <c r="E149" t="s">
        <v>43</v>
      </c>
      <c r="F149">
        <v>3</v>
      </c>
      <c r="G149" t="s">
        <v>245</v>
      </c>
      <c r="H149" t="s">
        <v>246</v>
      </c>
      <c r="I149">
        <v>18.350000000000001</v>
      </c>
      <c r="J149">
        <v>-9.7199999999999995E-2</v>
      </c>
      <c r="K149">
        <v>6.65</v>
      </c>
      <c r="L149">
        <v>-6.7900000000000002E-2</v>
      </c>
      <c r="M149">
        <v>2281.5</v>
      </c>
      <c r="N149" t="s">
        <v>46</v>
      </c>
      <c r="P149" t="s">
        <v>40</v>
      </c>
      <c r="Q149" t="s">
        <v>51</v>
      </c>
      <c r="R149">
        <v>25900</v>
      </c>
      <c r="S149" s="30">
        <v>45958</v>
      </c>
      <c r="T149" t="s">
        <v>43</v>
      </c>
      <c r="U149">
        <v>1</v>
      </c>
      <c r="V149" s="31">
        <v>45946.635416666657</v>
      </c>
      <c r="W149" s="31">
        <v>45957.635416666657</v>
      </c>
      <c r="X149">
        <v>308.05</v>
      </c>
      <c r="Y149">
        <v>0.7379</v>
      </c>
      <c r="Z149">
        <v>34.549999999999997</v>
      </c>
      <c r="AA149">
        <v>0.36030000000000001</v>
      </c>
      <c r="AB149">
        <v>17777.5</v>
      </c>
      <c r="AC149" t="s">
        <v>129</v>
      </c>
      <c r="AE149" s="69" t="s">
        <v>40</v>
      </c>
      <c r="AF149" s="69" t="s">
        <v>51</v>
      </c>
      <c r="AG149" s="69">
        <v>25350</v>
      </c>
      <c r="AH149" s="70">
        <v>45930</v>
      </c>
      <c r="AI149" s="69" t="s">
        <v>54</v>
      </c>
      <c r="AJ149" s="69">
        <v>1</v>
      </c>
      <c r="AK149" s="71">
        <v>45917.635416666657</v>
      </c>
      <c r="AL149" s="71">
        <v>45929.635416666657</v>
      </c>
      <c r="AM149" s="69">
        <v>135.65</v>
      </c>
      <c r="AN149" s="69">
        <v>-0.46060000000000001</v>
      </c>
      <c r="AO149" s="69">
        <v>676.95</v>
      </c>
      <c r="AP149" s="69">
        <v>-0.97960000000000003</v>
      </c>
      <c r="AQ149" s="69">
        <v>35184.5</v>
      </c>
      <c r="AR149" s="69" t="s">
        <v>46</v>
      </c>
    </row>
    <row r="150" spans="1:44" x14ac:dyDescent="0.3">
      <c r="A150" t="s">
        <v>40</v>
      </c>
      <c r="B150" t="s">
        <v>41</v>
      </c>
      <c r="C150">
        <v>26700</v>
      </c>
      <c r="D150" t="s">
        <v>247</v>
      </c>
      <c r="E150" t="s">
        <v>43</v>
      </c>
      <c r="F150">
        <v>3</v>
      </c>
      <c r="G150" t="s">
        <v>246</v>
      </c>
      <c r="H150" t="s">
        <v>248</v>
      </c>
      <c r="I150">
        <v>17.5</v>
      </c>
      <c r="J150">
        <v>-7.9600000000000004E-2</v>
      </c>
      <c r="K150">
        <v>1.3</v>
      </c>
      <c r="L150">
        <v>-9.9000000000000008E-3</v>
      </c>
      <c r="M150">
        <v>3159</v>
      </c>
      <c r="N150" t="s">
        <v>46</v>
      </c>
      <c r="P150" t="s">
        <v>40</v>
      </c>
      <c r="Q150" t="s">
        <v>51</v>
      </c>
      <c r="R150">
        <v>24650</v>
      </c>
      <c r="S150" s="30">
        <v>45958</v>
      </c>
      <c r="T150" t="s">
        <v>54</v>
      </c>
      <c r="U150">
        <v>1</v>
      </c>
      <c r="V150" s="31">
        <v>45929.635416666657</v>
      </c>
      <c r="W150" s="31">
        <v>45957.635416666657</v>
      </c>
      <c r="X150">
        <v>226.95</v>
      </c>
      <c r="Y150">
        <v>-0.43190000000000001</v>
      </c>
      <c r="Z150">
        <v>2.1</v>
      </c>
      <c r="AA150">
        <v>-1.04E-2</v>
      </c>
      <c r="AB150">
        <v>-14615.2</v>
      </c>
      <c r="AC150" t="s">
        <v>46</v>
      </c>
      <c r="AE150" s="69" t="s">
        <v>40</v>
      </c>
      <c r="AF150" s="69" t="s">
        <v>41</v>
      </c>
      <c r="AG150" s="69">
        <v>25900</v>
      </c>
      <c r="AH150" s="70">
        <v>45930</v>
      </c>
      <c r="AI150" s="69" t="s">
        <v>43</v>
      </c>
      <c r="AJ150" s="69">
        <v>3</v>
      </c>
      <c r="AK150" s="71">
        <v>45922.635416666657</v>
      </c>
      <c r="AL150" s="71">
        <v>45929.635416666657</v>
      </c>
      <c r="AM150" s="69">
        <v>8.4499999999999993</v>
      </c>
      <c r="AN150" s="69">
        <v>-5.0799999999999998E-2</v>
      </c>
      <c r="AO150" s="69">
        <v>1.6</v>
      </c>
      <c r="AP150" s="69">
        <v>-9.1999999999999998E-3</v>
      </c>
      <c r="AQ150" s="69">
        <v>1335.8</v>
      </c>
      <c r="AR150" s="69" t="s">
        <v>46</v>
      </c>
    </row>
    <row r="151" spans="1:44" x14ac:dyDescent="0.3">
      <c r="A151" t="s">
        <v>40</v>
      </c>
      <c r="B151" t="s">
        <v>41</v>
      </c>
      <c r="C151">
        <v>26400</v>
      </c>
      <c r="D151" t="s">
        <v>249</v>
      </c>
      <c r="E151" t="s">
        <v>43</v>
      </c>
      <c r="F151">
        <v>3</v>
      </c>
      <c r="G151" t="s">
        <v>248</v>
      </c>
      <c r="H151" t="s">
        <v>250</v>
      </c>
      <c r="I151">
        <v>18.100000000000001</v>
      </c>
      <c r="J151">
        <v>-9.0300000000000005E-2</v>
      </c>
      <c r="K151">
        <v>0.9</v>
      </c>
      <c r="L151">
        <v>-8.0999999999999996E-3</v>
      </c>
      <c r="M151">
        <v>3354</v>
      </c>
      <c r="N151" t="s">
        <v>46</v>
      </c>
      <c r="P151" t="s">
        <v>40</v>
      </c>
      <c r="Q151" t="s">
        <v>41</v>
      </c>
      <c r="R151">
        <v>26300</v>
      </c>
      <c r="S151" s="30">
        <v>45958</v>
      </c>
      <c r="T151" t="s">
        <v>43</v>
      </c>
      <c r="U151">
        <v>3</v>
      </c>
      <c r="V151" s="31">
        <v>45947.635416666657</v>
      </c>
      <c r="W151" s="31">
        <v>45957.635416666657</v>
      </c>
      <c r="X151">
        <v>18.350000000000001</v>
      </c>
      <c r="Y151">
        <v>-9.7199999999999995E-2</v>
      </c>
      <c r="Z151">
        <v>6.65</v>
      </c>
      <c r="AA151">
        <v>-6.7900000000000002E-2</v>
      </c>
      <c r="AB151">
        <v>2281.5</v>
      </c>
      <c r="AC151" t="s">
        <v>46</v>
      </c>
      <c r="AE151" s="69" t="s">
        <v>40</v>
      </c>
      <c r="AF151" s="69" t="s">
        <v>41</v>
      </c>
      <c r="AG151" s="69">
        <v>25200</v>
      </c>
      <c r="AH151" s="70">
        <v>45937</v>
      </c>
      <c r="AI151" s="69" t="s">
        <v>43</v>
      </c>
      <c r="AJ151" s="69">
        <v>3</v>
      </c>
      <c r="AK151" s="71">
        <v>45929.635416666657</v>
      </c>
      <c r="AL151" s="71">
        <v>45936.635416666657</v>
      </c>
      <c r="AM151" s="69">
        <v>20.6</v>
      </c>
      <c r="AN151" s="69">
        <v>-0.1046</v>
      </c>
      <c r="AO151" s="69">
        <v>14.55</v>
      </c>
      <c r="AP151" s="69">
        <v>-0.1938</v>
      </c>
      <c r="AQ151" s="69">
        <v>1179.8</v>
      </c>
      <c r="AR151" s="69" t="s">
        <v>46</v>
      </c>
    </row>
    <row r="152" spans="1:44" x14ac:dyDescent="0.3">
      <c r="A152" t="s">
        <v>40</v>
      </c>
      <c r="B152" t="s">
        <v>41</v>
      </c>
      <c r="C152">
        <v>26150</v>
      </c>
      <c r="D152" t="s">
        <v>251</v>
      </c>
      <c r="E152" t="s">
        <v>43</v>
      </c>
      <c r="F152">
        <v>3</v>
      </c>
      <c r="G152" t="s">
        <v>250</v>
      </c>
      <c r="H152" t="s">
        <v>252</v>
      </c>
      <c r="I152">
        <v>20.8</v>
      </c>
      <c r="J152">
        <v>-0.1042</v>
      </c>
      <c r="K152">
        <v>19.100000000000001</v>
      </c>
      <c r="L152">
        <v>-0.2072</v>
      </c>
      <c r="M152">
        <v>331.5</v>
      </c>
      <c r="N152" t="s">
        <v>46</v>
      </c>
      <c r="P152" t="s">
        <v>40</v>
      </c>
      <c r="Q152" t="s">
        <v>41</v>
      </c>
      <c r="R152">
        <v>26700</v>
      </c>
      <c r="S152" s="30">
        <v>45965</v>
      </c>
      <c r="T152" t="s">
        <v>43</v>
      </c>
      <c r="U152">
        <v>3</v>
      </c>
      <c r="V152" s="31">
        <v>45957.635416666657</v>
      </c>
      <c r="W152" s="31">
        <v>45964.635416666657</v>
      </c>
      <c r="X152">
        <v>17.5</v>
      </c>
      <c r="Y152">
        <v>-7.9600000000000004E-2</v>
      </c>
      <c r="Z152">
        <v>1.3</v>
      </c>
      <c r="AA152">
        <v>-9.9000000000000008E-3</v>
      </c>
      <c r="AB152">
        <v>3159</v>
      </c>
      <c r="AC152" t="s">
        <v>46</v>
      </c>
      <c r="AE152" s="69" t="s">
        <v>40</v>
      </c>
      <c r="AF152" s="69" t="s">
        <v>51</v>
      </c>
      <c r="AG152" s="69">
        <v>25100</v>
      </c>
      <c r="AH152" s="70">
        <v>45958</v>
      </c>
      <c r="AI152" s="69" t="s">
        <v>43</v>
      </c>
      <c r="AJ152" s="69">
        <v>1</v>
      </c>
      <c r="AK152" s="71">
        <v>45929.635416666657</v>
      </c>
      <c r="AL152" s="71">
        <v>45939.635416666657</v>
      </c>
      <c r="AM152" s="69">
        <v>450.95</v>
      </c>
      <c r="AN152" s="69">
        <v>0.66439999999999999</v>
      </c>
      <c r="AO152" s="69">
        <v>130.55000000000001</v>
      </c>
      <c r="AP152" s="69">
        <v>0.36820000000000003</v>
      </c>
      <c r="AQ152" s="69">
        <v>20826</v>
      </c>
      <c r="AR152" s="69" t="s">
        <v>63</v>
      </c>
    </row>
    <row r="153" spans="1:44" x14ac:dyDescent="0.3">
      <c r="A153" t="s">
        <v>40</v>
      </c>
      <c r="B153" t="s">
        <v>51</v>
      </c>
      <c r="C153">
        <v>25950</v>
      </c>
      <c r="D153" t="s">
        <v>253</v>
      </c>
      <c r="E153" t="s">
        <v>54</v>
      </c>
      <c r="F153">
        <v>1</v>
      </c>
      <c r="G153" t="s">
        <v>246</v>
      </c>
      <c r="H153" t="s">
        <v>254</v>
      </c>
      <c r="I153">
        <v>229.65</v>
      </c>
      <c r="J153">
        <v>-0.41789999999999999</v>
      </c>
      <c r="K153">
        <v>53.35</v>
      </c>
      <c r="L153">
        <v>-0.46650000000000003</v>
      </c>
      <c r="M153">
        <v>-11459.5</v>
      </c>
      <c r="N153" t="s">
        <v>46</v>
      </c>
      <c r="P153" t="s">
        <v>40</v>
      </c>
      <c r="Q153" t="s">
        <v>41</v>
      </c>
      <c r="R153">
        <v>26400</v>
      </c>
      <c r="S153" s="30">
        <v>45972</v>
      </c>
      <c r="T153" t="s">
        <v>43</v>
      </c>
      <c r="U153">
        <v>3</v>
      </c>
      <c r="V153" s="31">
        <v>45964.635416666657</v>
      </c>
      <c r="W153" s="31">
        <v>45971.635416666657</v>
      </c>
      <c r="X153">
        <v>18.100000000000001</v>
      </c>
      <c r="Y153">
        <v>-9.0300000000000005E-2</v>
      </c>
      <c r="Z153">
        <v>0.9</v>
      </c>
      <c r="AA153">
        <v>-8.0999999999999996E-3</v>
      </c>
      <c r="AB153">
        <v>3354</v>
      </c>
      <c r="AC153" t="s">
        <v>46</v>
      </c>
      <c r="AE153" s="69" t="s">
        <v>40</v>
      </c>
      <c r="AF153" s="69" t="s">
        <v>51</v>
      </c>
      <c r="AG153" s="69">
        <v>24650</v>
      </c>
      <c r="AH153" s="70">
        <v>45958</v>
      </c>
      <c r="AI153" s="69" t="s">
        <v>54</v>
      </c>
      <c r="AJ153" s="69">
        <v>1</v>
      </c>
      <c r="AK153" s="71">
        <v>45929.635416666657</v>
      </c>
      <c r="AL153" s="71">
        <v>45939.635416666657</v>
      </c>
      <c r="AM153" s="69">
        <v>226.95</v>
      </c>
      <c r="AN153" s="69">
        <v>-0.43190000000000001</v>
      </c>
      <c r="AO153" s="69">
        <v>43.3</v>
      </c>
      <c r="AP153" s="69">
        <v>-0.1424</v>
      </c>
      <c r="AQ153" s="69">
        <v>-11937.2</v>
      </c>
      <c r="AR153" s="69" t="s">
        <v>63</v>
      </c>
    </row>
    <row r="154" spans="1:44" x14ac:dyDescent="0.3">
      <c r="A154" t="s">
        <v>40</v>
      </c>
      <c r="B154" t="s">
        <v>51</v>
      </c>
      <c r="C154">
        <v>26500</v>
      </c>
      <c r="D154" t="s">
        <v>253</v>
      </c>
      <c r="E154" t="s">
        <v>43</v>
      </c>
      <c r="F154">
        <v>1</v>
      </c>
      <c r="G154" t="s">
        <v>246</v>
      </c>
      <c r="H154" t="s">
        <v>254</v>
      </c>
      <c r="I154">
        <v>504.75</v>
      </c>
      <c r="J154">
        <v>0.67689999999999995</v>
      </c>
      <c r="K154">
        <v>502.7</v>
      </c>
      <c r="L154">
        <v>0.97599999999999998</v>
      </c>
      <c r="M154">
        <v>133.30000000000001</v>
      </c>
      <c r="N154" t="s">
        <v>46</v>
      </c>
      <c r="P154" t="s">
        <v>40</v>
      </c>
      <c r="Q154" t="s">
        <v>41</v>
      </c>
      <c r="R154">
        <v>26150</v>
      </c>
      <c r="S154" s="30">
        <v>45979</v>
      </c>
      <c r="T154" t="s">
        <v>43</v>
      </c>
      <c r="U154">
        <v>3</v>
      </c>
      <c r="V154" s="31">
        <v>45971.635416666657</v>
      </c>
      <c r="W154" s="31">
        <v>45978.635416666657</v>
      </c>
      <c r="X154">
        <v>20.8</v>
      </c>
      <c r="Y154">
        <v>-0.1042</v>
      </c>
      <c r="Z154">
        <v>19.100000000000001</v>
      </c>
      <c r="AA154">
        <v>-0.2072</v>
      </c>
      <c r="AB154">
        <v>331.5</v>
      </c>
      <c r="AC154" t="s">
        <v>46</v>
      </c>
      <c r="AE154" s="69" t="s">
        <v>40</v>
      </c>
      <c r="AF154" s="69" t="s">
        <v>41</v>
      </c>
      <c r="AG154" s="69">
        <v>25500</v>
      </c>
      <c r="AH154" s="70">
        <v>45944</v>
      </c>
      <c r="AI154" s="69" t="s">
        <v>43</v>
      </c>
      <c r="AJ154" s="69">
        <v>3</v>
      </c>
      <c r="AK154" s="71">
        <v>45936.635416666657</v>
      </c>
      <c r="AL154" s="71">
        <v>45943.635416666657</v>
      </c>
      <c r="AM154" s="69">
        <v>18.3</v>
      </c>
      <c r="AN154" s="69">
        <v>-0.1172</v>
      </c>
      <c r="AO154" s="69">
        <v>5.25</v>
      </c>
      <c r="AP154" s="69">
        <v>-6.7199999999999996E-2</v>
      </c>
      <c r="AQ154" s="69">
        <v>2544.8000000000002</v>
      </c>
      <c r="AR154" s="69" t="s">
        <v>46</v>
      </c>
    </row>
    <row r="155" spans="1:44" x14ac:dyDescent="0.3">
      <c r="A155" t="s">
        <v>40</v>
      </c>
      <c r="B155" t="s">
        <v>41</v>
      </c>
      <c r="C155">
        <v>26600</v>
      </c>
      <c r="D155" t="s">
        <v>253</v>
      </c>
      <c r="E155" t="s">
        <v>43</v>
      </c>
      <c r="F155">
        <v>3</v>
      </c>
      <c r="G155" t="s">
        <v>252</v>
      </c>
      <c r="H155" t="s">
        <v>254</v>
      </c>
      <c r="I155">
        <v>20.100000000000001</v>
      </c>
      <c r="J155">
        <v>-0.10059999999999999</v>
      </c>
      <c r="K155">
        <v>1.9</v>
      </c>
      <c r="L155">
        <v>-1.77E-2</v>
      </c>
      <c r="M155">
        <v>3549</v>
      </c>
      <c r="N155" t="s">
        <v>46</v>
      </c>
      <c r="P155" t="s">
        <v>40</v>
      </c>
      <c r="Q155" t="s">
        <v>51</v>
      </c>
      <c r="R155">
        <v>25950</v>
      </c>
      <c r="S155" s="30">
        <v>45986</v>
      </c>
      <c r="T155" t="s">
        <v>54</v>
      </c>
      <c r="U155">
        <v>1</v>
      </c>
      <c r="V155" s="31">
        <v>45957.635416666657</v>
      </c>
      <c r="W155" s="31">
        <v>45985.635416666657</v>
      </c>
      <c r="X155">
        <v>229.65</v>
      </c>
      <c r="Y155">
        <v>-0.41789999999999999</v>
      </c>
      <c r="Z155">
        <v>53.35</v>
      </c>
      <c r="AA155">
        <v>-0.46650000000000003</v>
      </c>
      <c r="AB155">
        <v>-11459.5</v>
      </c>
      <c r="AC155" t="s">
        <v>46</v>
      </c>
      <c r="AE155" s="69" t="s">
        <v>40</v>
      </c>
      <c r="AF155" s="69" t="s">
        <v>51</v>
      </c>
      <c r="AG155" s="69">
        <v>25500</v>
      </c>
      <c r="AH155" s="70">
        <v>45958</v>
      </c>
      <c r="AI155" s="69" t="s">
        <v>43</v>
      </c>
      <c r="AJ155" s="69">
        <v>1</v>
      </c>
      <c r="AK155" s="71">
        <v>45939.635416666657</v>
      </c>
      <c r="AL155" s="71">
        <v>45946.635416666657</v>
      </c>
      <c r="AM155" s="69">
        <v>327.5</v>
      </c>
      <c r="AN155" s="69">
        <v>0.67649999999999999</v>
      </c>
      <c r="AO155" s="69">
        <v>107.9</v>
      </c>
      <c r="AP155" s="69">
        <v>0.37380000000000002</v>
      </c>
      <c r="AQ155" s="69">
        <v>14274</v>
      </c>
      <c r="AR155" s="69" t="s">
        <v>63</v>
      </c>
    </row>
    <row r="156" spans="1:44" x14ac:dyDescent="0.3">
      <c r="A156" t="s">
        <v>40</v>
      </c>
      <c r="B156" t="s">
        <v>41</v>
      </c>
      <c r="C156">
        <v>26650</v>
      </c>
      <c r="D156" t="s">
        <v>255</v>
      </c>
      <c r="E156" t="s">
        <v>43</v>
      </c>
      <c r="F156">
        <v>3</v>
      </c>
      <c r="G156" t="s">
        <v>254</v>
      </c>
      <c r="H156" t="s">
        <v>256</v>
      </c>
      <c r="I156">
        <v>15.7</v>
      </c>
      <c r="J156">
        <v>-7.7799999999999994E-2</v>
      </c>
      <c r="K156">
        <v>1.8</v>
      </c>
      <c r="L156">
        <v>-2.1299999999999999E-2</v>
      </c>
      <c r="M156">
        <v>2710.5</v>
      </c>
      <c r="N156" t="s">
        <v>46</v>
      </c>
      <c r="P156" t="s">
        <v>40</v>
      </c>
      <c r="Q156" t="s">
        <v>51</v>
      </c>
      <c r="R156">
        <v>26400</v>
      </c>
      <c r="S156" s="30">
        <v>45986</v>
      </c>
      <c r="T156" t="s">
        <v>43</v>
      </c>
      <c r="U156">
        <v>1</v>
      </c>
      <c r="V156" s="31">
        <v>45957.635416666657</v>
      </c>
      <c r="W156" s="31">
        <v>45985.635416666657</v>
      </c>
      <c r="X156">
        <v>443.4</v>
      </c>
      <c r="Y156">
        <v>0.63229999999999997</v>
      </c>
      <c r="Z156">
        <v>404.2</v>
      </c>
      <c r="AA156">
        <v>0.96560000000000001</v>
      </c>
      <c r="AB156">
        <v>2548</v>
      </c>
      <c r="AC156" t="s">
        <v>46</v>
      </c>
      <c r="AE156" s="69" t="s">
        <v>40</v>
      </c>
      <c r="AF156" s="69" t="s">
        <v>51</v>
      </c>
      <c r="AG156" s="69">
        <v>25200</v>
      </c>
      <c r="AH156" s="70">
        <v>45958</v>
      </c>
      <c r="AI156" s="69" t="s">
        <v>54</v>
      </c>
      <c r="AJ156" s="69">
        <v>1</v>
      </c>
      <c r="AK156" s="71">
        <v>45939.635416666657</v>
      </c>
      <c r="AL156" s="71">
        <v>45946.635416666657</v>
      </c>
      <c r="AM156" s="69">
        <v>166.8</v>
      </c>
      <c r="AN156" s="69">
        <v>-0.44350000000000001</v>
      </c>
      <c r="AO156" s="69">
        <v>48.45</v>
      </c>
      <c r="AP156" s="69">
        <v>-0.1827</v>
      </c>
      <c r="AQ156" s="69">
        <v>-7692.8</v>
      </c>
      <c r="AR156" s="69" t="s">
        <v>63</v>
      </c>
    </row>
    <row r="157" spans="1:44" x14ac:dyDescent="0.3">
      <c r="A157" t="s">
        <v>40</v>
      </c>
      <c r="B157" t="s">
        <v>41</v>
      </c>
      <c r="C157">
        <v>26750</v>
      </c>
      <c r="D157" t="s">
        <v>257</v>
      </c>
      <c r="E157" t="s">
        <v>43</v>
      </c>
      <c r="F157">
        <v>3</v>
      </c>
      <c r="G157" t="s">
        <v>256</v>
      </c>
      <c r="H157" t="s">
        <v>258</v>
      </c>
      <c r="I157">
        <v>16.3</v>
      </c>
      <c r="J157">
        <v>-8.9800000000000005E-2</v>
      </c>
      <c r="K157">
        <v>1.95</v>
      </c>
      <c r="L157">
        <v>-1.54E-2</v>
      </c>
      <c r="M157">
        <v>2798.3</v>
      </c>
      <c r="N157" t="s">
        <v>46</v>
      </c>
      <c r="P157" t="s">
        <v>40</v>
      </c>
      <c r="Q157" t="s">
        <v>41</v>
      </c>
      <c r="R157">
        <v>26600</v>
      </c>
      <c r="S157" s="30">
        <v>45986</v>
      </c>
      <c r="T157" t="s">
        <v>43</v>
      </c>
      <c r="U157">
        <v>3</v>
      </c>
      <c r="V157" s="31">
        <v>45978.635416666657</v>
      </c>
      <c r="W157" s="31">
        <v>45985.635416666657</v>
      </c>
      <c r="X157">
        <v>20.100000000000001</v>
      </c>
      <c r="Y157">
        <v>-0.10059999999999999</v>
      </c>
      <c r="Z157">
        <v>1.9</v>
      </c>
      <c r="AA157">
        <v>-1.77E-2</v>
      </c>
      <c r="AB157">
        <v>3549</v>
      </c>
      <c r="AC157" t="s">
        <v>46</v>
      </c>
      <c r="AE157" s="69" t="s">
        <v>40</v>
      </c>
      <c r="AF157" s="69" t="s">
        <v>41</v>
      </c>
      <c r="AG157" s="69">
        <v>25800</v>
      </c>
      <c r="AH157" s="70">
        <v>45950</v>
      </c>
      <c r="AI157" s="69" t="s">
        <v>43</v>
      </c>
      <c r="AJ157" s="69">
        <v>3</v>
      </c>
      <c r="AK157" s="71">
        <v>45943.635416666657</v>
      </c>
      <c r="AL157" s="71">
        <v>45947.635416666657</v>
      </c>
      <c r="AM157" s="69">
        <v>12.65</v>
      </c>
      <c r="AN157" s="69">
        <v>-7.6100000000000001E-2</v>
      </c>
      <c r="AO157" s="69">
        <v>49.5</v>
      </c>
      <c r="AP157" s="69">
        <v>-0.3594</v>
      </c>
      <c r="AQ157" s="69">
        <v>-7185.8</v>
      </c>
      <c r="AR157" s="69" t="s">
        <v>46</v>
      </c>
    </row>
    <row r="158" spans="1:44" x14ac:dyDescent="0.3">
      <c r="A158" t="s">
        <v>40</v>
      </c>
      <c r="B158" t="s">
        <v>41</v>
      </c>
      <c r="C158">
        <v>26500</v>
      </c>
      <c r="D158" t="s">
        <v>259</v>
      </c>
      <c r="E158" t="s">
        <v>43</v>
      </c>
      <c r="F158">
        <v>3</v>
      </c>
      <c r="G158" t="s">
        <v>258</v>
      </c>
      <c r="H158" t="s">
        <v>260</v>
      </c>
      <c r="I158">
        <v>18.399999999999999</v>
      </c>
      <c r="J158">
        <v>-0.1004</v>
      </c>
      <c r="K158">
        <v>1.35</v>
      </c>
      <c r="L158">
        <v>-1.72E-2</v>
      </c>
      <c r="M158">
        <v>3324.7</v>
      </c>
      <c r="N158" t="s">
        <v>46</v>
      </c>
      <c r="P158" t="s">
        <v>40</v>
      </c>
      <c r="Q158" t="s">
        <v>41</v>
      </c>
      <c r="R158">
        <v>26650</v>
      </c>
      <c r="S158" s="30">
        <v>45993</v>
      </c>
      <c r="T158" t="s">
        <v>43</v>
      </c>
      <c r="U158">
        <v>3</v>
      </c>
      <c r="V158" s="31">
        <v>45985.635416666657</v>
      </c>
      <c r="W158" s="31">
        <v>45992.635416666657</v>
      </c>
      <c r="X158">
        <v>15.7</v>
      </c>
      <c r="Y158">
        <v>-7.7799999999999994E-2</v>
      </c>
      <c r="Z158">
        <v>1.8</v>
      </c>
      <c r="AA158">
        <v>-2.1299999999999999E-2</v>
      </c>
      <c r="AB158">
        <v>2710.5</v>
      </c>
      <c r="AC158" t="s">
        <v>46</v>
      </c>
      <c r="AE158" s="69" t="s">
        <v>40</v>
      </c>
      <c r="AF158" s="69" t="s">
        <v>51</v>
      </c>
      <c r="AG158" s="69">
        <v>25900</v>
      </c>
      <c r="AH158" s="70">
        <v>45958</v>
      </c>
      <c r="AI158" s="69" t="s">
        <v>43</v>
      </c>
      <c r="AJ158" s="69">
        <v>1</v>
      </c>
      <c r="AK158" s="71">
        <v>45946.635416666657</v>
      </c>
      <c r="AL158" s="71">
        <v>45957.635416666657</v>
      </c>
      <c r="AM158" s="69">
        <v>308.05</v>
      </c>
      <c r="AN158" s="69">
        <v>0.7379</v>
      </c>
      <c r="AO158" s="69">
        <v>34.549999999999997</v>
      </c>
      <c r="AP158" s="69">
        <v>0.36030000000000001</v>
      </c>
      <c r="AQ158" s="69">
        <v>17777.5</v>
      </c>
      <c r="AR158" s="69" t="s">
        <v>129</v>
      </c>
    </row>
    <row r="159" spans="1:44" x14ac:dyDescent="0.3">
      <c r="A159" t="s">
        <v>40</v>
      </c>
      <c r="B159" t="s">
        <v>41</v>
      </c>
      <c r="C159">
        <v>26500</v>
      </c>
      <c r="D159" t="s">
        <v>261</v>
      </c>
      <c r="E159" t="s">
        <v>43</v>
      </c>
      <c r="F159">
        <v>3</v>
      </c>
      <c r="G159" t="s">
        <v>260</v>
      </c>
      <c r="H159" t="s">
        <v>262</v>
      </c>
      <c r="I159">
        <v>16.649999999999999</v>
      </c>
      <c r="J159">
        <v>-0.10340000000000001</v>
      </c>
      <c r="K159">
        <v>1.55</v>
      </c>
      <c r="L159">
        <v>-2.52E-2</v>
      </c>
      <c r="M159">
        <v>2944.5</v>
      </c>
      <c r="N159" t="s">
        <v>46</v>
      </c>
      <c r="P159" t="s">
        <v>40</v>
      </c>
      <c r="Q159" t="s">
        <v>41</v>
      </c>
      <c r="R159">
        <v>26750</v>
      </c>
      <c r="S159" s="30">
        <v>46000</v>
      </c>
      <c r="T159" t="s">
        <v>43</v>
      </c>
      <c r="U159">
        <v>3</v>
      </c>
      <c r="V159" s="31">
        <v>45992.635416666657</v>
      </c>
      <c r="W159" s="31">
        <v>45999.635416666657</v>
      </c>
      <c r="X159">
        <v>16.3</v>
      </c>
      <c r="Y159">
        <v>-8.9800000000000005E-2</v>
      </c>
      <c r="Z159">
        <v>1.95</v>
      </c>
      <c r="AA159">
        <v>-1.54E-2</v>
      </c>
      <c r="AB159">
        <v>2798.3</v>
      </c>
      <c r="AC159" t="s">
        <v>46</v>
      </c>
      <c r="AE159" s="69" t="s">
        <v>40</v>
      </c>
      <c r="AF159" s="69" t="s">
        <v>51</v>
      </c>
      <c r="AG159" s="69">
        <v>25550</v>
      </c>
      <c r="AH159" s="70">
        <v>45958</v>
      </c>
      <c r="AI159" s="69" t="s">
        <v>54</v>
      </c>
      <c r="AJ159" s="69">
        <v>1</v>
      </c>
      <c r="AK159" s="71">
        <v>45946.635416666657</v>
      </c>
      <c r="AL159" s="71">
        <v>45957.635416666657</v>
      </c>
      <c r="AM159" s="69">
        <v>125</v>
      </c>
      <c r="AN159" s="69">
        <v>-0.42130000000000001</v>
      </c>
      <c r="AO159" s="69">
        <v>5.35</v>
      </c>
      <c r="AP159" s="69">
        <v>-5.0099999999999999E-2</v>
      </c>
      <c r="AQ159" s="69">
        <v>-7777.2</v>
      </c>
      <c r="AR159" s="69" t="s">
        <v>129</v>
      </c>
    </row>
    <row r="160" spans="1:44" x14ac:dyDescent="0.3">
      <c r="A160" t="s">
        <v>40</v>
      </c>
      <c r="B160" t="s">
        <v>51</v>
      </c>
      <c r="C160">
        <v>25950</v>
      </c>
      <c r="D160" t="s">
        <v>263</v>
      </c>
      <c r="E160" t="s">
        <v>54</v>
      </c>
      <c r="F160">
        <v>1</v>
      </c>
      <c r="G160" t="s">
        <v>254</v>
      </c>
      <c r="H160" t="s">
        <v>264</v>
      </c>
      <c r="I160">
        <v>261</v>
      </c>
      <c r="J160">
        <v>-0.41199999999999998</v>
      </c>
      <c r="K160">
        <v>48.35</v>
      </c>
      <c r="L160">
        <v>-0.51519999999999999</v>
      </c>
      <c r="M160">
        <v>-13822.2</v>
      </c>
      <c r="N160" t="s">
        <v>46</v>
      </c>
      <c r="P160" t="s">
        <v>40</v>
      </c>
      <c r="Q160" t="s">
        <v>41</v>
      </c>
      <c r="R160">
        <v>26500</v>
      </c>
      <c r="S160" s="30">
        <v>46007</v>
      </c>
      <c r="T160" t="s">
        <v>43</v>
      </c>
      <c r="U160">
        <v>3</v>
      </c>
      <c r="V160" s="31">
        <v>45999.635416666657</v>
      </c>
      <c r="W160" s="31">
        <v>46006.635416666657</v>
      </c>
      <c r="X160">
        <v>18.399999999999999</v>
      </c>
      <c r="Y160">
        <v>-0.1004</v>
      </c>
      <c r="Z160">
        <v>1.35</v>
      </c>
      <c r="AA160">
        <v>-1.72E-2</v>
      </c>
      <c r="AB160">
        <v>3324.7</v>
      </c>
      <c r="AC160" t="s">
        <v>46</v>
      </c>
      <c r="AE160" s="69" t="s">
        <v>40</v>
      </c>
      <c r="AF160" s="69" t="s">
        <v>41</v>
      </c>
      <c r="AG160" s="69">
        <v>26400</v>
      </c>
      <c r="AH160" s="70">
        <v>45958</v>
      </c>
      <c r="AI160" s="69" t="s">
        <v>43</v>
      </c>
      <c r="AJ160" s="69">
        <v>3</v>
      </c>
      <c r="AK160" s="71">
        <v>45947.635416666657</v>
      </c>
      <c r="AL160" s="71">
        <v>45957.635416666657</v>
      </c>
      <c r="AM160" s="69">
        <v>11.45</v>
      </c>
      <c r="AN160" s="69">
        <v>-6.4500000000000002E-2</v>
      </c>
      <c r="AO160" s="69">
        <v>3.7</v>
      </c>
      <c r="AP160" s="69">
        <v>-3.8100000000000002E-2</v>
      </c>
      <c r="AQ160" s="69">
        <v>1511.2</v>
      </c>
      <c r="AR160" s="69" t="s">
        <v>46</v>
      </c>
    </row>
    <row r="161" spans="1:44" x14ac:dyDescent="0.3">
      <c r="A161" t="s">
        <v>40</v>
      </c>
      <c r="B161" t="s">
        <v>51</v>
      </c>
      <c r="C161">
        <v>26500</v>
      </c>
      <c r="D161" t="s">
        <v>263</v>
      </c>
      <c r="E161" t="s">
        <v>43</v>
      </c>
      <c r="F161">
        <v>1</v>
      </c>
      <c r="G161" t="s">
        <v>254</v>
      </c>
      <c r="H161" t="s">
        <v>264</v>
      </c>
      <c r="I161">
        <v>524.15</v>
      </c>
      <c r="J161">
        <v>0.65149999999999997</v>
      </c>
      <c r="K161">
        <v>547.75</v>
      </c>
      <c r="L161">
        <v>0.98</v>
      </c>
      <c r="M161">
        <v>-1534</v>
      </c>
      <c r="N161" t="s">
        <v>46</v>
      </c>
      <c r="P161" t="s">
        <v>40</v>
      </c>
      <c r="Q161" t="s">
        <v>41</v>
      </c>
      <c r="R161">
        <v>26500</v>
      </c>
      <c r="S161" s="30">
        <v>46014</v>
      </c>
      <c r="T161" t="s">
        <v>43</v>
      </c>
      <c r="U161">
        <v>3</v>
      </c>
      <c r="V161" s="31">
        <v>46006.635416666657</v>
      </c>
      <c r="W161" s="31">
        <v>46013.635416666657</v>
      </c>
      <c r="X161">
        <v>16.649999999999999</v>
      </c>
      <c r="Y161">
        <v>-0.10340000000000001</v>
      </c>
      <c r="Z161">
        <v>1.55</v>
      </c>
      <c r="AA161">
        <v>-2.52E-2</v>
      </c>
      <c r="AB161">
        <v>2944.5</v>
      </c>
      <c r="AC161" t="s">
        <v>46</v>
      </c>
      <c r="AE161" s="69" t="s">
        <v>40</v>
      </c>
      <c r="AF161" s="69" t="s">
        <v>41</v>
      </c>
      <c r="AG161" s="69">
        <v>26700</v>
      </c>
      <c r="AH161" s="70">
        <v>45965</v>
      </c>
      <c r="AI161" s="69" t="s">
        <v>43</v>
      </c>
      <c r="AJ161" s="69">
        <v>3</v>
      </c>
      <c r="AK161" s="71">
        <v>45957.635416666657</v>
      </c>
      <c r="AL161" s="71">
        <v>45964.635416666657</v>
      </c>
      <c r="AM161" s="69">
        <v>17.5</v>
      </c>
      <c r="AN161" s="69">
        <v>-7.9600000000000004E-2</v>
      </c>
      <c r="AO161" s="69">
        <v>1.3</v>
      </c>
      <c r="AP161" s="69">
        <v>-9.9000000000000008E-3</v>
      </c>
      <c r="AQ161" s="69">
        <v>3159</v>
      </c>
      <c r="AR161" s="69" t="s">
        <v>46</v>
      </c>
    </row>
    <row r="162" spans="1:44" x14ac:dyDescent="0.3">
      <c r="A162" t="s">
        <v>40</v>
      </c>
      <c r="B162" t="s">
        <v>41</v>
      </c>
      <c r="C162">
        <v>26600</v>
      </c>
      <c r="D162" t="s">
        <v>263</v>
      </c>
      <c r="E162" t="s">
        <v>43</v>
      </c>
      <c r="F162">
        <v>3</v>
      </c>
      <c r="G162" t="s">
        <v>262</v>
      </c>
      <c r="H162" t="s">
        <v>264</v>
      </c>
      <c r="I162">
        <v>16</v>
      </c>
      <c r="J162">
        <v>-0.1079</v>
      </c>
      <c r="K162">
        <v>1.45</v>
      </c>
      <c r="L162">
        <v>-1.41E-2</v>
      </c>
      <c r="M162">
        <v>2837.2</v>
      </c>
      <c r="N162" t="s">
        <v>46</v>
      </c>
      <c r="P162" t="s">
        <v>40</v>
      </c>
      <c r="Q162" t="s">
        <v>51</v>
      </c>
      <c r="R162">
        <v>25950</v>
      </c>
      <c r="S162" s="30">
        <v>46021</v>
      </c>
      <c r="T162" t="s">
        <v>54</v>
      </c>
      <c r="U162">
        <v>1</v>
      </c>
      <c r="V162" s="31">
        <v>45985.635416666657</v>
      </c>
      <c r="W162" s="31">
        <v>46020.635416666657</v>
      </c>
      <c r="X162">
        <v>261</v>
      </c>
      <c r="Y162">
        <v>-0.41199999999999998</v>
      </c>
      <c r="Z162">
        <v>48.35</v>
      </c>
      <c r="AA162">
        <v>-0.51519999999999999</v>
      </c>
      <c r="AB162">
        <v>-13822.2</v>
      </c>
      <c r="AC162" t="s">
        <v>46</v>
      </c>
      <c r="AE162" s="69" t="s">
        <v>40</v>
      </c>
      <c r="AF162" s="69" t="s">
        <v>41</v>
      </c>
      <c r="AG162" s="69">
        <v>26400</v>
      </c>
      <c r="AH162" s="70">
        <v>45972</v>
      </c>
      <c r="AI162" s="69" t="s">
        <v>43</v>
      </c>
      <c r="AJ162" s="69">
        <v>3</v>
      </c>
      <c r="AK162" s="71">
        <v>45964.635416666657</v>
      </c>
      <c r="AL162" s="71">
        <v>45971.635416666657</v>
      </c>
      <c r="AM162" s="69">
        <v>18.100000000000001</v>
      </c>
      <c r="AN162" s="69">
        <v>-9.0300000000000005E-2</v>
      </c>
      <c r="AO162" s="69">
        <v>0.9</v>
      </c>
      <c r="AP162" s="69">
        <v>-8.0999999999999996E-3</v>
      </c>
      <c r="AQ162" s="69">
        <v>3354</v>
      </c>
      <c r="AR162" s="69" t="s">
        <v>46</v>
      </c>
    </row>
    <row r="163" spans="1:44" x14ac:dyDescent="0.3">
      <c r="A163" t="s">
        <v>40</v>
      </c>
      <c r="B163" t="s">
        <v>41</v>
      </c>
      <c r="C163">
        <v>26400</v>
      </c>
      <c r="D163" t="s">
        <v>265</v>
      </c>
      <c r="E163" t="s">
        <v>43</v>
      </c>
      <c r="F163">
        <v>3</v>
      </c>
      <c r="G163" t="s">
        <v>264</v>
      </c>
      <c r="H163" t="s">
        <v>266</v>
      </c>
      <c r="I163">
        <v>16.55</v>
      </c>
      <c r="J163">
        <v>-0.1048</v>
      </c>
      <c r="K163">
        <v>7</v>
      </c>
      <c r="L163">
        <v>-0.1159</v>
      </c>
      <c r="M163">
        <v>1862.3</v>
      </c>
      <c r="N163" t="s">
        <v>46</v>
      </c>
      <c r="P163" t="s">
        <v>40</v>
      </c>
      <c r="Q163" t="s">
        <v>51</v>
      </c>
      <c r="R163">
        <v>26500</v>
      </c>
      <c r="S163" s="30">
        <v>46021</v>
      </c>
      <c r="T163" t="s">
        <v>43</v>
      </c>
      <c r="U163">
        <v>1</v>
      </c>
      <c r="V163" s="31">
        <v>45985.635416666657</v>
      </c>
      <c r="W163" s="31">
        <v>46020.635416666657</v>
      </c>
      <c r="X163">
        <v>524.15</v>
      </c>
      <c r="Y163">
        <v>0.65149999999999997</v>
      </c>
      <c r="Z163">
        <v>547.75</v>
      </c>
      <c r="AA163">
        <v>0.98</v>
      </c>
      <c r="AB163">
        <v>-1534</v>
      </c>
      <c r="AC163" t="s">
        <v>46</v>
      </c>
      <c r="AE163" s="69" t="s">
        <v>40</v>
      </c>
      <c r="AF163" s="69" t="s">
        <v>41</v>
      </c>
      <c r="AG163" s="69">
        <v>26150</v>
      </c>
      <c r="AH163" s="70">
        <v>45979</v>
      </c>
      <c r="AI163" s="69" t="s">
        <v>43</v>
      </c>
      <c r="AJ163" s="69">
        <v>3</v>
      </c>
      <c r="AK163" s="71">
        <v>45971.635416666657</v>
      </c>
      <c r="AL163" s="71">
        <v>45978.635416666657</v>
      </c>
      <c r="AM163" s="69">
        <v>20.8</v>
      </c>
      <c r="AN163" s="69">
        <v>-0.1042</v>
      </c>
      <c r="AO163" s="69">
        <v>19.100000000000001</v>
      </c>
      <c r="AP163" s="69">
        <v>-0.2072</v>
      </c>
      <c r="AQ163" s="69">
        <v>331.5</v>
      </c>
      <c r="AR163" s="69" t="s">
        <v>46</v>
      </c>
    </row>
    <row r="164" spans="1:44" x14ac:dyDescent="0.3">
      <c r="A164" t="s">
        <v>40</v>
      </c>
      <c r="B164" t="s">
        <v>41</v>
      </c>
      <c r="C164">
        <v>26650</v>
      </c>
      <c r="D164" t="s">
        <v>267</v>
      </c>
      <c r="E164" t="s">
        <v>43</v>
      </c>
      <c r="F164">
        <v>3</v>
      </c>
      <c r="G164" t="s">
        <v>266</v>
      </c>
      <c r="H164" t="s">
        <v>268</v>
      </c>
      <c r="I164">
        <v>17.45</v>
      </c>
      <c r="J164">
        <v>-0.1176</v>
      </c>
      <c r="K164">
        <v>1.3</v>
      </c>
      <c r="L164">
        <v>-1.0500000000000001E-2</v>
      </c>
      <c r="M164">
        <v>3149.2</v>
      </c>
      <c r="N164" t="s">
        <v>46</v>
      </c>
      <c r="P164" t="s">
        <v>40</v>
      </c>
      <c r="Q164" t="s">
        <v>41</v>
      </c>
      <c r="R164">
        <v>26600</v>
      </c>
      <c r="S164" s="30">
        <v>46021</v>
      </c>
      <c r="T164" t="s">
        <v>43</v>
      </c>
      <c r="U164">
        <v>3</v>
      </c>
      <c r="V164" s="31">
        <v>46013.635416666657</v>
      </c>
      <c r="W164" s="31">
        <v>46020.635416666657</v>
      </c>
      <c r="X164">
        <v>16</v>
      </c>
      <c r="Y164">
        <v>-0.1079</v>
      </c>
      <c r="Z164">
        <v>1.45</v>
      </c>
      <c r="AA164">
        <v>-1.41E-2</v>
      </c>
      <c r="AB164">
        <v>2837.2</v>
      </c>
      <c r="AC164" t="s">
        <v>46</v>
      </c>
      <c r="AE164" s="69" t="s">
        <v>40</v>
      </c>
      <c r="AF164" s="69" t="s">
        <v>51</v>
      </c>
      <c r="AG164" s="69">
        <v>26400</v>
      </c>
      <c r="AH164" s="70">
        <v>45986</v>
      </c>
      <c r="AI164" s="69" t="s">
        <v>43</v>
      </c>
      <c r="AJ164" s="69">
        <v>1</v>
      </c>
      <c r="AK164" s="71">
        <v>45957.635416666657</v>
      </c>
      <c r="AL164" s="71">
        <v>45985.635416666657</v>
      </c>
      <c r="AM164" s="69">
        <v>443.4</v>
      </c>
      <c r="AN164" s="69">
        <v>0.63229999999999997</v>
      </c>
      <c r="AO164" s="69">
        <v>404.2</v>
      </c>
      <c r="AP164" s="69">
        <v>0.96560000000000001</v>
      </c>
      <c r="AQ164" s="69">
        <v>2548</v>
      </c>
      <c r="AR164" s="69" t="s">
        <v>46</v>
      </c>
    </row>
    <row r="165" spans="1:44" x14ac:dyDescent="0.3">
      <c r="A165" t="s">
        <v>40</v>
      </c>
      <c r="B165" t="s">
        <v>41</v>
      </c>
      <c r="C165">
        <v>26450</v>
      </c>
      <c r="D165" t="s">
        <v>269</v>
      </c>
      <c r="E165" t="s">
        <v>43</v>
      </c>
      <c r="F165">
        <v>3</v>
      </c>
      <c r="G165" t="s">
        <v>268</v>
      </c>
      <c r="H165" t="s">
        <v>270</v>
      </c>
      <c r="I165">
        <v>16.149999999999999</v>
      </c>
      <c r="J165">
        <v>-8.1100000000000005E-2</v>
      </c>
      <c r="K165">
        <v>1.25</v>
      </c>
      <c r="L165">
        <v>-1.0200000000000001E-2</v>
      </c>
      <c r="M165">
        <v>2905.5</v>
      </c>
      <c r="N165" t="s">
        <v>46</v>
      </c>
      <c r="P165" t="s">
        <v>40</v>
      </c>
      <c r="Q165" t="s">
        <v>51</v>
      </c>
      <c r="R165">
        <v>26300</v>
      </c>
      <c r="S165" s="30">
        <v>46049</v>
      </c>
      <c r="T165" t="s">
        <v>43</v>
      </c>
      <c r="U165">
        <v>1</v>
      </c>
      <c r="V165" s="31">
        <v>46020.635416666657</v>
      </c>
      <c r="W165" s="31">
        <v>46024.635416666657</v>
      </c>
      <c r="X165">
        <v>360</v>
      </c>
      <c r="Y165">
        <v>0.61860000000000004</v>
      </c>
      <c r="Z165">
        <v>166.1</v>
      </c>
      <c r="AA165">
        <v>0.4</v>
      </c>
      <c r="AB165">
        <v>12603.5</v>
      </c>
      <c r="AC165" t="s">
        <v>63</v>
      </c>
      <c r="AE165" s="69" t="s">
        <v>40</v>
      </c>
      <c r="AF165" s="69" t="s">
        <v>51</v>
      </c>
      <c r="AG165" s="69">
        <v>25950</v>
      </c>
      <c r="AH165" s="70">
        <v>45986</v>
      </c>
      <c r="AI165" s="69" t="s">
        <v>54</v>
      </c>
      <c r="AJ165" s="69">
        <v>1</v>
      </c>
      <c r="AK165" s="71">
        <v>45957.635416666657</v>
      </c>
      <c r="AL165" s="71">
        <v>45985.635416666657</v>
      </c>
      <c r="AM165" s="69">
        <v>229.65</v>
      </c>
      <c r="AN165" s="69">
        <v>-0.41789999999999999</v>
      </c>
      <c r="AO165" s="69">
        <v>53.35</v>
      </c>
      <c r="AP165" s="69">
        <v>-0.46650000000000003</v>
      </c>
      <c r="AQ165" s="69">
        <v>-11459.5</v>
      </c>
      <c r="AR165" s="69" t="s">
        <v>46</v>
      </c>
    </row>
    <row r="166" spans="1:44" x14ac:dyDescent="0.3">
      <c r="A166" t="s">
        <v>40</v>
      </c>
      <c r="B166" t="s">
        <v>51</v>
      </c>
      <c r="C166">
        <v>25950</v>
      </c>
      <c r="D166" t="s">
        <v>271</v>
      </c>
      <c r="E166" t="s">
        <v>54</v>
      </c>
      <c r="F166">
        <v>1</v>
      </c>
      <c r="G166" t="s">
        <v>264</v>
      </c>
      <c r="H166" t="s">
        <v>272</v>
      </c>
      <c r="I166">
        <v>194.1</v>
      </c>
      <c r="J166">
        <v>-0.41749999999999998</v>
      </c>
      <c r="K166">
        <v>857</v>
      </c>
      <c r="L166">
        <v>-0.97629999999999995</v>
      </c>
      <c r="M166">
        <v>43088.5</v>
      </c>
      <c r="N166" t="s">
        <v>46</v>
      </c>
      <c r="P166" t="s">
        <v>40</v>
      </c>
      <c r="Q166" t="s">
        <v>41</v>
      </c>
      <c r="R166">
        <v>26400</v>
      </c>
      <c r="S166" s="30">
        <v>46028</v>
      </c>
      <c r="T166" t="s">
        <v>43</v>
      </c>
      <c r="U166">
        <v>3</v>
      </c>
      <c r="V166" s="31">
        <v>46020.635416666657</v>
      </c>
      <c r="W166" s="31">
        <v>46027.635416666657</v>
      </c>
      <c r="X166">
        <v>16.55</v>
      </c>
      <c r="Y166">
        <v>-0.1048</v>
      </c>
      <c r="Z166">
        <v>7</v>
      </c>
      <c r="AA166">
        <v>-0.1159</v>
      </c>
      <c r="AB166">
        <v>1862.3</v>
      </c>
      <c r="AC166" t="s">
        <v>46</v>
      </c>
      <c r="AE166" s="69" t="s">
        <v>40</v>
      </c>
      <c r="AF166" s="69" t="s">
        <v>41</v>
      </c>
      <c r="AG166" s="69">
        <v>26600</v>
      </c>
      <c r="AH166" s="70">
        <v>45986</v>
      </c>
      <c r="AI166" s="69" t="s">
        <v>43</v>
      </c>
      <c r="AJ166" s="69">
        <v>3</v>
      </c>
      <c r="AK166" s="71">
        <v>45978.635416666657</v>
      </c>
      <c r="AL166" s="71">
        <v>45985.635416666657</v>
      </c>
      <c r="AM166" s="69">
        <v>20.100000000000001</v>
      </c>
      <c r="AN166" s="69">
        <v>-0.10059999999999999</v>
      </c>
      <c r="AO166" s="69">
        <v>1.9</v>
      </c>
      <c r="AP166" s="69">
        <v>-1.77E-2</v>
      </c>
      <c r="AQ166" s="69">
        <v>3549</v>
      </c>
      <c r="AR166" s="69" t="s">
        <v>46</v>
      </c>
    </row>
    <row r="167" spans="1:44" x14ac:dyDescent="0.3">
      <c r="A167" t="s">
        <v>40</v>
      </c>
      <c r="B167" t="s">
        <v>51</v>
      </c>
      <c r="C167">
        <v>26500</v>
      </c>
      <c r="D167" t="s">
        <v>271</v>
      </c>
      <c r="E167" t="s">
        <v>43</v>
      </c>
      <c r="F167">
        <v>1</v>
      </c>
      <c r="G167" t="s">
        <v>264</v>
      </c>
      <c r="H167" t="s">
        <v>272</v>
      </c>
      <c r="I167">
        <v>486.05</v>
      </c>
      <c r="J167">
        <v>0.72509999999999997</v>
      </c>
      <c r="K167">
        <v>1400</v>
      </c>
      <c r="L167">
        <v>0.99029999999999996</v>
      </c>
      <c r="M167">
        <v>-59406.8</v>
      </c>
      <c r="N167" t="s">
        <v>46</v>
      </c>
      <c r="P167" t="s">
        <v>40</v>
      </c>
      <c r="Q167" t="s">
        <v>41</v>
      </c>
      <c r="R167">
        <v>26650</v>
      </c>
      <c r="S167" s="30">
        <v>46035</v>
      </c>
      <c r="T167" t="s">
        <v>43</v>
      </c>
      <c r="U167">
        <v>3</v>
      </c>
      <c r="V167" s="31">
        <v>46027.635416666657</v>
      </c>
      <c r="W167" s="31">
        <v>46034.635416666657</v>
      </c>
      <c r="X167">
        <v>17.45</v>
      </c>
      <c r="Y167">
        <v>-0.1176</v>
      </c>
      <c r="Z167">
        <v>1.3</v>
      </c>
      <c r="AA167">
        <v>-1.0500000000000001E-2</v>
      </c>
      <c r="AB167">
        <v>3149.2</v>
      </c>
      <c r="AC167" t="s">
        <v>46</v>
      </c>
      <c r="AE167" s="69" t="s">
        <v>40</v>
      </c>
      <c r="AF167" s="69" t="s">
        <v>41</v>
      </c>
      <c r="AG167" s="69">
        <v>26650</v>
      </c>
      <c r="AH167" s="70">
        <v>45993</v>
      </c>
      <c r="AI167" s="69" t="s">
        <v>43</v>
      </c>
      <c r="AJ167" s="69">
        <v>3</v>
      </c>
      <c r="AK167" s="71">
        <v>45985.635416666657</v>
      </c>
      <c r="AL167" s="71">
        <v>45992.635416666657</v>
      </c>
      <c r="AM167" s="69">
        <v>15.7</v>
      </c>
      <c r="AN167" s="69">
        <v>-7.7799999999999994E-2</v>
      </c>
      <c r="AO167" s="69">
        <v>1.8</v>
      </c>
      <c r="AP167" s="69">
        <v>-2.1299999999999999E-2</v>
      </c>
      <c r="AQ167" s="69">
        <v>2710.5</v>
      </c>
      <c r="AR167" s="69" t="s">
        <v>46</v>
      </c>
    </row>
    <row r="168" spans="1:44" x14ac:dyDescent="0.3">
      <c r="A168" t="s">
        <v>40</v>
      </c>
      <c r="B168" t="s">
        <v>41</v>
      </c>
      <c r="C168">
        <v>26200</v>
      </c>
      <c r="D168" t="s">
        <v>271</v>
      </c>
      <c r="E168" t="s">
        <v>43</v>
      </c>
      <c r="F168">
        <v>3</v>
      </c>
      <c r="G168" t="s">
        <v>270</v>
      </c>
      <c r="H168" t="s">
        <v>272</v>
      </c>
      <c r="I168">
        <v>15</v>
      </c>
      <c r="J168">
        <v>-8.2000000000000003E-2</v>
      </c>
      <c r="K168">
        <v>2.5499999999999998</v>
      </c>
      <c r="L168">
        <v>-1.4500000000000001E-2</v>
      </c>
      <c r="M168">
        <v>2427.8000000000002</v>
      </c>
      <c r="N168" t="s">
        <v>46</v>
      </c>
      <c r="P168" t="s">
        <v>40</v>
      </c>
      <c r="Q168" t="s">
        <v>41</v>
      </c>
      <c r="R168">
        <v>26450</v>
      </c>
      <c r="S168" s="30">
        <v>46042</v>
      </c>
      <c r="T168" t="s">
        <v>43</v>
      </c>
      <c r="U168">
        <v>3</v>
      </c>
      <c r="V168" s="31">
        <v>46034.635416666657</v>
      </c>
      <c r="W168" s="31">
        <v>46041.635416666657</v>
      </c>
      <c r="X168">
        <v>16.149999999999999</v>
      </c>
      <c r="Y168">
        <v>-8.1100000000000005E-2</v>
      </c>
      <c r="Z168">
        <v>1.25</v>
      </c>
      <c r="AA168">
        <v>-1.0200000000000001E-2</v>
      </c>
      <c r="AB168">
        <v>2905.5</v>
      </c>
      <c r="AC168" t="s">
        <v>46</v>
      </c>
      <c r="AE168" s="69" t="s">
        <v>40</v>
      </c>
      <c r="AF168" s="69" t="s">
        <v>41</v>
      </c>
      <c r="AG168" s="69">
        <v>26750</v>
      </c>
      <c r="AH168" s="70">
        <v>46000</v>
      </c>
      <c r="AI168" s="69" t="s">
        <v>43</v>
      </c>
      <c r="AJ168" s="69">
        <v>3</v>
      </c>
      <c r="AK168" s="71">
        <v>45992.635416666657</v>
      </c>
      <c r="AL168" s="71">
        <v>45999.635416666657</v>
      </c>
      <c r="AM168" s="69">
        <v>16.3</v>
      </c>
      <c r="AN168" s="69">
        <v>-8.9800000000000005E-2</v>
      </c>
      <c r="AO168" s="69">
        <v>1.95</v>
      </c>
      <c r="AP168" s="69">
        <v>-1.54E-2</v>
      </c>
      <c r="AQ168" s="69">
        <v>2798.3</v>
      </c>
      <c r="AR168" s="69" t="s">
        <v>46</v>
      </c>
    </row>
    <row r="169" spans="1:44" x14ac:dyDescent="0.3">
      <c r="A169" t="s">
        <v>40</v>
      </c>
      <c r="B169" t="s">
        <v>41</v>
      </c>
      <c r="C169">
        <v>26150</v>
      </c>
      <c r="D169" t="s">
        <v>273</v>
      </c>
      <c r="E169" t="s">
        <v>43</v>
      </c>
      <c r="F169">
        <v>3</v>
      </c>
      <c r="G169" t="s">
        <v>272</v>
      </c>
      <c r="H169" t="s">
        <v>274</v>
      </c>
      <c r="I169">
        <v>26.1</v>
      </c>
      <c r="J169">
        <v>-8.0799999999999997E-2</v>
      </c>
      <c r="K169">
        <v>1.25</v>
      </c>
      <c r="L169">
        <v>-8.6999999999999994E-3</v>
      </c>
      <c r="M169">
        <v>4845.8</v>
      </c>
      <c r="N169" t="s">
        <v>46</v>
      </c>
      <c r="P169" t="s">
        <v>40</v>
      </c>
      <c r="Q169" t="s">
        <v>51</v>
      </c>
      <c r="R169">
        <v>25950</v>
      </c>
      <c r="S169" s="30">
        <v>46049</v>
      </c>
      <c r="T169" t="s">
        <v>54</v>
      </c>
      <c r="U169">
        <v>1</v>
      </c>
      <c r="V169" s="31">
        <v>46020.635416666657</v>
      </c>
      <c r="W169" s="31">
        <v>46045.635416666657</v>
      </c>
      <c r="X169">
        <v>194.1</v>
      </c>
      <c r="Y169">
        <v>-0.41749999999999998</v>
      </c>
      <c r="Z169">
        <v>857</v>
      </c>
      <c r="AA169">
        <v>-0.97629999999999995</v>
      </c>
      <c r="AB169">
        <v>43088.5</v>
      </c>
      <c r="AC169" t="s">
        <v>46</v>
      </c>
      <c r="AE169" s="69" t="s">
        <v>40</v>
      </c>
      <c r="AF169" s="69" t="s">
        <v>41</v>
      </c>
      <c r="AG169" s="69">
        <v>26500</v>
      </c>
      <c r="AH169" s="70">
        <v>46007</v>
      </c>
      <c r="AI169" s="69" t="s">
        <v>43</v>
      </c>
      <c r="AJ169" s="69">
        <v>3</v>
      </c>
      <c r="AK169" s="71">
        <v>45999.635416666657</v>
      </c>
      <c r="AL169" s="71">
        <v>46006.635416666657</v>
      </c>
      <c r="AM169" s="69">
        <v>18.399999999999999</v>
      </c>
      <c r="AN169" s="69">
        <v>-0.1004</v>
      </c>
      <c r="AO169" s="69">
        <v>1.35</v>
      </c>
      <c r="AP169" s="69">
        <v>-1.72E-2</v>
      </c>
      <c r="AQ169" s="69">
        <v>3324.7</v>
      </c>
      <c r="AR169" s="69" t="s">
        <v>46</v>
      </c>
    </row>
    <row r="170" spans="1:44" x14ac:dyDescent="0.3">
      <c r="A170" t="s">
        <v>40</v>
      </c>
      <c r="B170" t="s">
        <v>41</v>
      </c>
      <c r="C170">
        <v>25700</v>
      </c>
      <c r="D170" t="s">
        <v>275</v>
      </c>
      <c r="E170" t="s">
        <v>43</v>
      </c>
      <c r="F170">
        <v>3</v>
      </c>
      <c r="G170" t="s">
        <v>274</v>
      </c>
      <c r="H170" t="s">
        <v>276</v>
      </c>
      <c r="I170">
        <v>29.5</v>
      </c>
      <c r="J170">
        <v>-0.1242</v>
      </c>
      <c r="K170">
        <v>187.5</v>
      </c>
      <c r="L170">
        <v>-0.79220000000000002</v>
      </c>
      <c r="M170">
        <v>-30810</v>
      </c>
      <c r="N170" t="s">
        <v>46</v>
      </c>
      <c r="P170" t="s">
        <v>40</v>
      </c>
      <c r="Q170" t="s">
        <v>51</v>
      </c>
      <c r="R170">
        <v>26700</v>
      </c>
      <c r="S170" s="30">
        <v>46049</v>
      </c>
      <c r="T170" t="s">
        <v>43</v>
      </c>
      <c r="U170">
        <v>1</v>
      </c>
      <c r="V170" s="31">
        <v>46024.635416666657</v>
      </c>
      <c r="W170" s="31">
        <v>46045.635416666657</v>
      </c>
      <c r="X170">
        <v>364.6</v>
      </c>
      <c r="Y170">
        <v>0.67390000000000005</v>
      </c>
      <c r="Z170">
        <v>1600</v>
      </c>
      <c r="AA170">
        <v>0.99150000000000005</v>
      </c>
      <c r="AB170">
        <v>-80301</v>
      </c>
      <c r="AC170" t="s">
        <v>46</v>
      </c>
      <c r="AE170" s="69" t="s">
        <v>40</v>
      </c>
      <c r="AF170" s="69" t="s">
        <v>41</v>
      </c>
      <c r="AG170" s="69">
        <v>26500</v>
      </c>
      <c r="AH170" s="70">
        <v>46014</v>
      </c>
      <c r="AI170" s="69" t="s">
        <v>43</v>
      </c>
      <c r="AJ170" s="69">
        <v>3</v>
      </c>
      <c r="AK170" s="71">
        <v>46006.635416666657</v>
      </c>
      <c r="AL170" s="71">
        <v>46013.635416666657</v>
      </c>
      <c r="AM170" s="69">
        <v>16.649999999999999</v>
      </c>
      <c r="AN170" s="69">
        <v>-0.10340000000000001</v>
      </c>
      <c r="AO170" s="69">
        <v>1.55</v>
      </c>
      <c r="AP170" s="69">
        <v>-2.52E-2</v>
      </c>
      <c r="AQ170" s="69">
        <v>2944.5</v>
      </c>
      <c r="AR170" s="69" t="s">
        <v>46</v>
      </c>
    </row>
    <row r="171" spans="1:44" x14ac:dyDescent="0.3">
      <c r="A171" t="s">
        <v>40</v>
      </c>
      <c r="B171" t="s">
        <v>41</v>
      </c>
      <c r="C171">
        <v>26350</v>
      </c>
      <c r="D171" t="s">
        <v>277</v>
      </c>
      <c r="E171" t="s">
        <v>43</v>
      </c>
      <c r="F171">
        <v>3</v>
      </c>
      <c r="G171" t="s">
        <v>276</v>
      </c>
      <c r="H171" t="s">
        <v>278</v>
      </c>
      <c r="I171">
        <v>27.85</v>
      </c>
      <c r="J171">
        <v>-0.1376</v>
      </c>
      <c r="K171">
        <v>3.1</v>
      </c>
      <c r="L171">
        <v>-2.4799999999999999E-2</v>
      </c>
      <c r="M171">
        <v>4826.2</v>
      </c>
      <c r="N171" t="s">
        <v>46</v>
      </c>
      <c r="P171" t="s">
        <v>40</v>
      </c>
      <c r="Q171" t="s">
        <v>41</v>
      </c>
      <c r="R171">
        <v>26200</v>
      </c>
      <c r="S171" s="30">
        <v>46049</v>
      </c>
      <c r="T171" t="s">
        <v>43</v>
      </c>
      <c r="U171">
        <v>3</v>
      </c>
      <c r="V171" s="31">
        <v>46041.635416666657</v>
      </c>
      <c r="W171" s="31">
        <v>46045.635416666657</v>
      </c>
      <c r="X171">
        <v>15</v>
      </c>
      <c r="Y171">
        <v>-8.2000000000000003E-2</v>
      </c>
      <c r="Z171">
        <v>2.5499999999999998</v>
      </c>
      <c r="AA171">
        <v>-1.4500000000000001E-2</v>
      </c>
      <c r="AB171">
        <v>2427.8000000000002</v>
      </c>
      <c r="AC171" t="s">
        <v>46</v>
      </c>
      <c r="AE171" s="69" t="s">
        <v>40</v>
      </c>
      <c r="AF171" s="69" t="s">
        <v>51</v>
      </c>
      <c r="AG171" s="69">
        <v>26500</v>
      </c>
      <c r="AH171" s="70">
        <v>46021</v>
      </c>
      <c r="AI171" s="69" t="s">
        <v>43</v>
      </c>
      <c r="AJ171" s="69">
        <v>1</v>
      </c>
      <c r="AK171" s="71">
        <v>45985.635416666657</v>
      </c>
      <c r="AL171" s="71">
        <v>46020.635416666657</v>
      </c>
      <c r="AM171" s="69">
        <v>524.15</v>
      </c>
      <c r="AN171" s="69">
        <v>0.65149999999999997</v>
      </c>
      <c r="AO171" s="69">
        <v>547.75</v>
      </c>
      <c r="AP171" s="69">
        <v>0.98</v>
      </c>
      <c r="AQ171" s="69">
        <v>-1534</v>
      </c>
      <c r="AR171" s="69" t="s">
        <v>46</v>
      </c>
    </row>
    <row r="172" spans="1:44" x14ac:dyDescent="0.3">
      <c r="A172" t="s">
        <v>40</v>
      </c>
      <c r="B172" t="s">
        <v>51</v>
      </c>
      <c r="C172">
        <v>25050</v>
      </c>
      <c r="D172" t="s">
        <v>279</v>
      </c>
      <c r="E172" t="s">
        <v>54</v>
      </c>
      <c r="F172">
        <v>1</v>
      </c>
      <c r="G172" t="s">
        <v>272</v>
      </c>
      <c r="H172" t="s">
        <v>280</v>
      </c>
      <c r="I172">
        <v>330.15</v>
      </c>
      <c r="J172">
        <v>-0.43159999999999998</v>
      </c>
      <c r="K172">
        <v>9.0500000000000007</v>
      </c>
      <c r="L172">
        <v>-5.0999999999999997E-2</v>
      </c>
      <c r="M172">
        <v>-20871.5</v>
      </c>
      <c r="N172" t="s">
        <v>46</v>
      </c>
      <c r="P172" t="s">
        <v>40</v>
      </c>
      <c r="Q172" t="s">
        <v>41</v>
      </c>
      <c r="R172">
        <v>26150</v>
      </c>
      <c r="S172" s="30">
        <v>46056</v>
      </c>
      <c r="T172" t="s">
        <v>43</v>
      </c>
      <c r="U172">
        <v>3</v>
      </c>
      <c r="V172" s="31">
        <v>46045.635416666657</v>
      </c>
      <c r="W172" s="31">
        <v>46055.635416666657</v>
      </c>
      <c r="X172">
        <v>26.1</v>
      </c>
      <c r="Y172">
        <v>-8.0799999999999997E-2</v>
      </c>
      <c r="Z172">
        <v>1.25</v>
      </c>
      <c r="AA172">
        <v>-8.6999999999999994E-3</v>
      </c>
      <c r="AB172">
        <v>4845.8</v>
      </c>
      <c r="AC172" t="s">
        <v>46</v>
      </c>
      <c r="AE172" s="69" t="s">
        <v>40</v>
      </c>
      <c r="AF172" s="69" t="s">
        <v>51</v>
      </c>
      <c r="AG172" s="69">
        <v>25950</v>
      </c>
      <c r="AH172" s="70">
        <v>46021</v>
      </c>
      <c r="AI172" s="69" t="s">
        <v>54</v>
      </c>
      <c r="AJ172" s="69">
        <v>1</v>
      </c>
      <c r="AK172" s="71">
        <v>45985.635416666657</v>
      </c>
      <c r="AL172" s="71">
        <v>46020.635416666657</v>
      </c>
      <c r="AM172" s="69">
        <v>261</v>
      </c>
      <c r="AN172" s="69">
        <v>-0.41199999999999998</v>
      </c>
      <c r="AO172" s="69">
        <v>48.35</v>
      </c>
      <c r="AP172" s="69">
        <v>-0.51519999999999999</v>
      </c>
      <c r="AQ172" s="69">
        <v>-13822.2</v>
      </c>
      <c r="AR172" s="69" t="s">
        <v>46</v>
      </c>
    </row>
    <row r="173" spans="1:44" x14ac:dyDescent="0.3">
      <c r="A173" t="s">
        <v>40</v>
      </c>
      <c r="B173" t="s">
        <v>51</v>
      </c>
      <c r="C173">
        <v>26000</v>
      </c>
      <c r="D173" t="s">
        <v>279</v>
      </c>
      <c r="E173" t="s">
        <v>43</v>
      </c>
      <c r="F173">
        <v>1</v>
      </c>
      <c r="G173" t="s">
        <v>272</v>
      </c>
      <c r="H173" t="s">
        <v>280</v>
      </c>
      <c r="I173">
        <v>890</v>
      </c>
      <c r="J173">
        <v>0.78110000000000002</v>
      </c>
      <c r="K173">
        <v>289.39999999999998</v>
      </c>
      <c r="L173">
        <v>0.89029999999999998</v>
      </c>
      <c r="M173">
        <v>39039</v>
      </c>
      <c r="N173" t="s">
        <v>46</v>
      </c>
      <c r="P173" t="s">
        <v>40</v>
      </c>
      <c r="Q173" t="s">
        <v>51</v>
      </c>
      <c r="R173">
        <v>25800</v>
      </c>
      <c r="S173" s="30">
        <v>46077</v>
      </c>
      <c r="T173" t="s">
        <v>43</v>
      </c>
      <c r="U173">
        <v>1</v>
      </c>
      <c r="V173" s="31">
        <v>46045.635416666657</v>
      </c>
      <c r="W173" s="31">
        <v>46062.635416666657</v>
      </c>
      <c r="X173">
        <v>735.35</v>
      </c>
      <c r="Y173">
        <v>0.71960000000000002</v>
      </c>
      <c r="Z173">
        <v>170.85</v>
      </c>
      <c r="AA173">
        <v>0.4032</v>
      </c>
      <c r="AB173">
        <v>36692.5</v>
      </c>
      <c r="AC173" t="s">
        <v>63</v>
      </c>
      <c r="AE173" s="69" t="s">
        <v>40</v>
      </c>
      <c r="AF173" s="69" t="s">
        <v>41</v>
      </c>
      <c r="AG173" s="69">
        <v>26600</v>
      </c>
      <c r="AH173" s="70">
        <v>46021</v>
      </c>
      <c r="AI173" s="69" t="s">
        <v>43</v>
      </c>
      <c r="AJ173" s="69">
        <v>3</v>
      </c>
      <c r="AK173" s="71">
        <v>46013.635416666657</v>
      </c>
      <c r="AL173" s="71">
        <v>46020.635416666657</v>
      </c>
      <c r="AM173" s="69">
        <v>16</v>
      </c>
      <c r="AN173" s="69">
        <v>-0.1079</v>
      </c>
      <c r="AO173" s="69">
        <v>1.45</v>
      </c>
      <c r="AP173" s="69">
        <v>-1.41E-2</v>
      </c>
      <c r="AQ173" s="69">
        <v>2837.2</v>
      </c>
      <c r="AR173" s="69" t="s">
        <v>46</v>
      </c>
    </row>
    <row r="174" spans="1:44" x14ac:dyDescent="0.3">
      <c r="A174" t="s">
        <v>40</v>
      </c>
      <c r="B174" t="s">
        <v>41</v>
      </c>
      <c r="C174">
        <v>26250</v>
      </c>
      <c r="D174" t="s">
        <v>279</v>
      </c>
      <c r="E174" t="s">
        <v>43</v>
      </c>
      <c r="F174">
        <v>3</v>
      </c>
      <c r="G174" t="s">
        <v>278</v>
      </c>
      <c r="H174" t="s">
        <v>280</v>
      </c>
      <c r="I174">
        <v>27.4</v>
      </c>
      <c r="J174">
        <v>-0.12379999999999999</v>
      </c>
      <c r="K174">
        <v>3.45</v>
      </c>
      <c r="L174">
        <v>-3.1800000000000002E-2</v>
      </c>
      <c r="M174">
        <v>4670.2</v>
      </c>
      <c r="N174" t="s">
        <v>46</v>
      </c>
      <c r="P174" t="s">
        <v>40</v>
      </c>
      <c r="Q174" t="s">
        <v>41</v>
      </c>
      <c r="R174">
        <v>25700</v>
      </c>
      <c r="S174" s="30">
        <v>46063</v>
      </c>
      <c r="T174" t="s">
        <v>43</v>
      </c>
      <c r="U174">
        <v>3</v>
      </c>
      <c r="V174" s="31">
        <v>46055.635416666657</v>
      </c>
      <c r="W174" s="31">
        <v>46062.635416666657</v>
      </c>
      <c r="X174">
        <v>29.5</v>
      </c>
      <c r="Y174">
        <v>-0.1242</v>
      </c>
      <c r="Z174">
        <v>187.5</v>
      </c>
      <c r="AA174">
        <v>-0.79220000000000002</v>
      </c>
      <c r="AB174">
        <v>-30810</v>
      </c>
      <c r="AC174" t="s">
        <v>46</v>
      </c>
      <c r="AE174" s="69" t="s">
        <v>40</v>
      </c>
      <c r="AF174" s="69" t="s">
        <v>51</v>
      </c>
      <c r="AG174" s="69">
        <v>26300</v>
      </c>
      <c r="AH174" s="70">
        <v>46049</v>
      </c>
      <c r="AI174" s="69" t="s">
        <v>43</v>
      </c>
      <c r="AJ174" s="69">
        <v>1</v>
      </c>
      <c r="AK174" s="71">
        <v>46020.635416666657</v>
      </c>
      <c r="AL174" s="71">
        <v>46024.635416666657</v>
      </c>
      <c r="AM174" s="69">
        <v>360</v>
      </c>
      <c r="AN174" s="69">
        <v>0.61860000000000004</v>
      </c>
      <c r="AO174" s="69">
        <v>166.1</v>
      </c>
      <c r="AP174" s="69">
        <v>0.4</v>
      </c>
      <c r="AQ174" s="69">
        <v>12603.5</v>
      </c>
      <c r="AR174" s="69" t="s">
        <v>63</v>
      </c>
    </row>
    <row r="175" spans="1:44" x14ac:dyDescent="0.3">
      <c r="A175" t="s">
        <v>40</v>
      </c>
      <c r="B175" t="s">
        <v>41</v>
      </c>
      <c r="C175">
        <v>26350</v>
      </c>
      <c r="D175" t="s">
        <v>281</v>
      </c>
      <c r="E175" t="s">
        <v>43</v>
      </c>
      <c r="F175">
        <v>3</v>
      </c>
      <c r="G175" t="s">
        <v>280</v>
      </c>
      <c r="H175" t="s">
        <v>282</v>
      </c>
      <c r="I175">
        <v>18.2</v>
      </c>
      <c r="J175">
        <v>-9.0300000000000005E-2</v>
      </c>
      <c r="K175">
        <v>2.4</v>
      </c>
      <c r="L175">
        <v>-1.35E-2</v>
      </c>
      <c r="M175">
        <v>3081</v>
      </c>
      <c r="N175" t="s">
        <v>46</v>
      </c>
      <c r="P175" t="s">
        <v>40</v>
      </c>
      <c r="Q175" t="s">
        <v>41</v>
      </c>
      <c r="R175">
        <v>26350</v>
      </c>
      <c r="S175" s="30">
        <v>46070</v>
      </c>
      <c r="T175" t="s">
        <v>43</v>
      </c>
      <c r="U175">
        <v>3</v>
      </c>
      <c r="V175" s="31">
        <v>46062.635416666657</v>
      </c>
      <c r="W175" s="31">
        <v>46069.635416666657</v>
      </c>
      <c r="X175">
        <v>27.85</v>
      </c>
      <c r="Y175">
        <v>-0.1376</v>
      </c>
      <c r="Z175">
        <v>3.1</v>
      </c>
      <c r="AA175">
        <v>-2.4799999999999999E-2</v>
      </c>
      <c r="AB175">
        <v>4826.2</v>
      </c>
      <c r="AC175" t="s">
        <v>46</v>
      </c>
      <c r="AE175" s="69" t="s">
        <v>40</v>
      </c>
      <c r="AF175" s="69" t="s">
        <v>51</v>
      </c>
      <c r="AG175" s="69">
        <v>25950</v>
      </c>
      <c r="AH175" s="70">
        <v>46049</v>
      </c>
      <c r="AI175" s="69" t="s">
        <v>54</v>
      </c>
      <c r="AJ175" s="69">
        <v>1</v>
      </c>
      <c r="AK175" s="71">
        <v>46020.635416666657</v>
      </c>
      <c r="AL175" s="71">
        <v>46024.635416666657</v>
      </c>
      <c r="AM175" s="69">
        <v>194.1</v>
      </c>
      <c r="AN175" s="69">
        <v>-0.41749999999999998</v>
      </c>
      <c r="AO175" s="69">
        <v>74.45</v>
      </c>
      <c r="AP175" s="69">
        <v>-0.21</v>
      </c>
      <c r="AQ175" s="69">
        <v>-7777.2</v>
      </c>
      <c r="AR175" s="69" t="s">
        <v>63</v>
      </c>
    </row>
    <row r="176" spans="1:44" x14ac:dyDescent="0.3">
      <c r="A176" t="s">
        <v>40</v>
      </c>
      <c r="B176" t="s">
        <v>41</v>
      </c>
      <c r="C176">
        <v>26050</v>
      </c>
      <c r="D176" t="s">
        <v>283</v>
      </c>
      <c r="E176" t="s">
        <v>43</v>
      </c>
      <c r="F176">
        <v>3</v>
      </c>
      <c r="G176" t="s">
        <v>282</v>
      </c>
      <c r="H176" t="s">
        <v>284</v>
      </c>
      <c r="I176">
        <v>18.55</v>
      </c>
      <c r="J176">
        <v>-7.4800000000000005E-2</v>
      </c>
      <c r="K176">
        <v>1.2</v>
      </c>
      <c r="L176">
        <v>-5.1000000000000004E-3</v>
      </c>
      <c r="M176">
        <v>3383.3</v>
      </c>
      <c r="N176" t="s">
        <v>46</v>
      </c>
      <c r="P176" t="s">
        <v>40</v>
      </c>
      <c r="Q176" t="s">
        <v>51</v>
      </c>
      <c r="R176">
        <v>25050</v>
      </c>
      <c r="S176" s="30">
        <v>46077</v>
      </c>
      <c r="T176" t="s">
        <v>54</v>
      </c>
      <c r="U176">
        <v>1</v>
      </c>
      <c r="V176" s="31">
        <v>46045.635416666657</v>
      </c>
      <c r="W176" s="31">
        <v>46076.635416666657</v>
      </c>
      <c r="X176">
        <v>330.15</v>
      </c>
      <c r="Y176">
        <v>-0.43159999999999998</v>
      </c>
      <c r="Z176">
        <v>9.0500000000000007</v>
      </c>
      <c r="AA176">
        <v>-5.0999999999999997E-2</v>
      </c>
      <c r="AB176">
        <v>-20871.5</v>
      </c>
      <c r="AC176" t="s">
        <v>46</v>
      </c>
      <c r="AE176" s="69" t="s">
        <v>40</v>
      </c>
      <c r="AF176" s="69" t="s">
        <v>41</v>
      </c>
      <c r="AG176" s="69">
        <v>26400</v>
      </c>
      <c r="AH176" s="70">
        <v>46028</v>
      </c>
      <c r="AI176" s="69" t="s">
        <v>43</v>
      </c>
      <c r="AJ176" s="69">
        <v>3</v>
      </c>
      <c r="AK176" s="71">
        <v>46020.635416666657</v>
      </c>
      <c r="AL176" s="71">
        <v>46027.635416666657</v>
      </c>
      <c r="AM176" s="69">
        <v>16.55</v>
      </c>
      <c r="AN176" s="69">
        <v>-0.1048</v>
      </c>
      <c r="AO176" s="69">
        <v>7</v>
      </c>
      <c r="AP176" s="69">
        <v>-0.1159</v>
      </c>
      <c r="AQ176" s="69">
        <v>1862.3</v>
      </c>
      <c r="AR176" s="69" t="s">
        <v>46</v>
      </c>
    </row>
    <row r="177" spans="1:44" x14ac:dyDescent="0.3">
      <c r="A177" t="s">
        <v>40</v>
      </c>
      <c r="B177" t="s">
        <v>41</v>
      </c>
      <c r="C177">
        <v>25500</v>
      </c>
      <c r="D177" t="s">
        <v>285</v>
      </c>
      <c r="E177" t="s">
        <v>43</v>
      </c>
      <c r="F177">
        <v>3</v>
      </c>
      <c r="G177" t="s">
        <v>284</v>
      </c>
      <c r="H177" t="s">
        <v>286</v>
      </c>
      <c r="I177">
        <v>19.8</v>
      </c>
      <c r="J177">
        <v>-5.5500000000000001E-2</v>
      </c>
      <c r="K177">
        <v>0.7</v>
      </c>
      <c r="L177">
        <v>-3.2000000000000002E-3</v>
      </c>
      <c r="M177">
        <v>3724.5</v>
      </c>
      <c r="N177" t="s">
        <v>46</v>
      </c>
      <c r="P177" t="s">
        <v>40</v>
      </c>
      <c r="Q177" t="s">
        <v>51</v>
      </c>
      <c r="R177">
        <v>26500</v>
      </c>
      <c r="S177" s="30">
        <v>46077</v>
      </c>
      <c r="T177" t="s">
        <v>43</v>
      </c>
      <c r="U177">
        <v>1</v>
      </c>
      <c r="V177" s="31">
        <v>46062.635416666657</v>
      </c>
      <c r="W177" s="31">
        <v>46076.635416666657</v>
      </c>
      <c r="X177">
        <v>624.65</v>
      </c>
      <c r="Y177">
        <v>0.84930000000000005</v>
      </c>
      <c r="Z177">
        <v>790</v>
      </c>
      <c r="AA177">
        <v>0.98440000000000005</v>
      </c>
      <c r="AB177">
        <v>-10747.8</v>
      </c>
      <c r="AC177" t="s">
        <v>46</v>
      </c>
      <c r="AE177" s="69" t="s">
        <v>40</v>
      </c>
      <c r="AF177" s="69" t="s">
        <v>41</v>
      </c>
      <c r="AG177" s="69">
        <v>26700</v>
      </c>
      <c r="AH177" s="70">
        <v>46035</v>
      </c>
      <c r="AI177" s="69" t="s">
        <v>43</v>
      </c>
      <c r="AJ177" s="69">
        <v>3</v>
      </c>
      <c r="AK177" s="71">
        <v>46027.635416666657</v>
      </c>
      <c r="AL177" s="71">
        <v>46034.635416666657</v>
      </c>
      <c r="AM177" s="69">
        <v>13.3</v>
      </c>
      <c r="AN177" s="69">
        <v>-9.2499999999999999E-2</v>
      </c>
      <c r="AO177" s="69">
        <v>1.2</v>
      </c>
      <c r="AP177" s="69">
        <v>-9.4000000000000004E-3</v>
      </c>
      <c r="AQ177" s="69">
        <v>2359.5</v>
      </c>
      <c r="AR177" s="69" t="s">
        <v>46</v>
      </c>
    </row>
    <row r="178" spans="1:44" x14ac:dyDescent="0.3">
      <c r="A178" t="s">
        <v>40</v>
      </c>
      <c r="B178" t="s">
        <v>41</v>
      </c>
      <c r="C178">
        <v>24650</v>
      </c>
      <c r="D178" t="s">
        <v>287</v>
      </c>
      <c r="E178" t="s">
        <v>43</v>
      </c>
      <c r="F178">
        <v>3</v>
      </c>
      <c r="G178" t="s">
        <v>286</v>
      </c>
      <c r="H178" t="s">
        <v>288</v>
      </c>
      <c r="I178">
        <v>20.399999999999999</v>
      </c>
      <c r="J178">
        <v>-6.2899999999999998E-2</v>
      </c>
      <c r="K178">
        <v>1.1000000000000001</v>
      </c>
      <c r="L178">
        <v>-4.5999999999999999E-3</v>
      </c>
      <c r="M178">
        <v>3763.5</v>
      </c>
      <c r="N178" t="s">
        <v>46</v>
      </c>
      <c r="P178" t="s">
        <v>40</v>
      </c>
      <c r="Q178" t="s">
        <v>41</v>
      </c>
      <c r="R178">
        <v>26250</v>
      </c>
      <c r="S178" s="30">
        <v>46077</v>
      </c>
      <c r="T178" t="s">
        <v>43</v>
      </c>
      <c r="U178">
        <v>3</v>
      </c>
      <c r="V178" s="31">
        <v>46069.635416666657</v>
      </c>
      <c r="W178" s="31">
        <v>46076.635416666657</v>
      </c>
      <c r="X178">
        <v>27.4</v>
      </c>
      <c r="Y178">
        <v>-0.12379999999999999</v>
      </c>
      <c r="Z178">
        <v>3.45</v>
      </c>
      <c r="AA178">
        <v>-3.1800000000000002E-2</v>
      </c>
      <c r="AB178">
        <v>4670.2</v>
      </c>
      <c r="AC178" t="s">
        <v>46</v>
      </c>
      <c r="AE178" s="69" t="s">
        <v>40</v>
      </c>
      <c r="AF178" s="69" t="s">
        <v>41</v>
      </c>
      <c r="AG178" s="69">
        <v>26500</v>
      </c>
      <c r="AH178" s="70">
        <v>46042</v>
      </c>
      <c r="AI178" s="69" t="s">
        <v>43</v>
      </c>
      <c r="AJ178" s="69">
        <v>3</v>
      </c>
      <c r="AK178" s="71">
        <v>46034.635416666657</v>
      </c>
      <c r="AL178" s="71">
        <v>46041.635416666657</v>
      </c>
      <c r="AM178" s="69">
        <v>13.65</v>
      </c>
      <c r="AN178" s="69">
        <v>-6.93E-2</v>
      </c>
      <c r="AO178" s="69">
        <v>1.25</v>
      </c>
      <c r="AP178" s="69">
        <v>-9.7999999999999997E-3</v>
      </c>
      <c r="AQ178" s="69">
        <v>2418</v>
      </c>
      <c r="AR178" s="69" t="s">
        <v>46</v>
      </c>
    </row>
    <row r="179" spans="1:44" x14ac:dyDescent="0.3">
      <c r="A179" t="s">
        <v>40</v>
      </c>
      <c r="B179" t="s">
        <v>51</v>
      </c>
      <c r="C179">
        <v>25700</v>
      </c>
      <c r="D179" t="s">
        <v>289</v>
      </c>
      <c r="E179" t="s">
        <v>54</v>
      </c>
      <c r="F179">
        <v>1</v>
      </c>
      <c r="G179" t="s">
        <v>280</v>
      </c>
      <c r="H179" t="s">
        <v>290</v>
      </c>
      <c r="I179">
        <v>299</v>
      </c>
      <c r="J179">
        <v>-0.41810000000000003</v>
      </c>
      <c r="K179">
        <v>2888.8</v>
      </c>
      <c r="L179">
        <v>-0.99680000000000002</v>
      </c>
      <c r="M179">
        <v>168337</v>
      </c>
      <c r="N179" t="s">
        <v>46</v>
      </c>
      <c r="P179" t="s">
        <v>40</v>
      </c>
      <c r="Q179" t="s">
        <v>41</v>
      </c>
      <c r="R179">
        <v>26350</v>
      </c>
      <c r="S179" s="30">
        <v>46083</v>
      </c>
      <c r="T179" t="s">
        <v>43</v>
      </c>
      <c r="U179">
        <v>3</v>
      </c>
      <c r="V179" s="31">
        <v>46076.635416666657</v>
      </c>
      <c r="W179" s="31">
        <v>46080.635416666657</v>
      </c>
      <c r="X179">
        <v>18.2</v>
      </c>
      <c r="Y179">
        <v>-9.0300000000000005E-2</v>
      </c>
      <c r="Z179">
        <v>2.4</v>
      </c>
      <c r="AA179">
        <v>-1.35E-2</v>
      </c>
      <c r="AB179">
        <v>3081</v>
      </c>
      <c r="AC179" t="s">
        <v>46</v>
      </c>
      <c r="AE179" s="69" t="s">
        <v>40</v>
      </c>
      <c r="AF179" s="69" t="s">
        <v>51</v>
      </c>
      <c r="AG179" s="69">
        <v>26700</v>
      </c>
      <c r="AH179" s="70">
        <v>46049</v>
      </c>
      <c r="AI179" s="69" t="s">
        <v>43</v>
      </c>
      <c r="AJ179" s="69">
        <v>1</v>
      </c>
      <c r="AK179" s="71">
        <v>46024.635416666657</v>
      </c>
      <c r="AL179" s="71">
        <v>46045.635416666657</v>
      </c>
      <c r="AM179" s="69">
        <v>364.6</v>
      </c>
      <c r="AN179" s="69">
        <v>0.67390000000000005</v>
      </c>
      <c r="AO179" s="69">
        <v>1600</v>
      </c>
      <c r="AP179" s="69">
        <v>0.99150000000000005</v>
      </c>
      <c r="AQ179" s="69">
        <v>-80301</v>
      </c>
      <c r="AR179" s="69" t="s">
        <v>46</v>
      </c>
    </row>
    <row r="180" spans="1:44" x14ac:dyDescent="0.3">
      <c r="A180" t="s">
        <v>40</v>
      </c>
      <c r="B180" t="s">
        <v>51</v>
      </c>
      <c r="C180">
        <v>26500</v>
      </c>
      <c r="D180" t="s">
        <v>289</v>
      </c>
      <c r="E180" t="s">
        <v>43</v>
      </c>
      <c r="F180">
        <v>1</v>
      </c>
      <c r="G180" t="s">
        <v>280</v>
      </c>
      <c r="H180" t="s">
        <v>290</v>
      </c>
      <c r="I180">
        <v>728</v>
      </c>
      <c r="J180">
        <v>0.76770000000000005</v>
      </c>
      <c r="K180">
        <v>3698.55</v>
      </c>
      <c r="L180">
        <v>0.99809999999999999</v>
      </c>
      <c r="M180">
        <v>-193085.8</v>
      </c>
      <c r="N180" t="s">
        <v>46</v>
      </c>
      <c r="P180" t="s">
        <v>40</v>
      </c>
      <c r="Q180" t="s">
        <v>41</v>
      </c>
      <c r="R180">
        <v>26050</v>
      </c>
      <c r="S180" s="30">
        <v>46091</v>
      </c>
      <c r="T180" t="s">
        <v>43</v>
      </c>
      <c r="U180">
        <v>3</v>
      </c>
      <c r="V180" s="31">
        <v>46080.635416666657</v>
      </c>
      <c r="W180" s="31">
        <v>46090.635416666657</v>
      </c>
      <c r="X180">
        <v>18.55</v>
      </c>
      <c r="Y180">
        <v>-7.4800000000000005E-2</v>
      </c>
      <c r="Z180">
        <v>1.2</v>
      </c>
      <c r="AA180">
        <v>-5.1000000000000004E-3</v>
      </c>
      <c r="AB180">
        <v>3383.3</v>
      </c>
      <c r="AC180" t="s">
        <v>46</v>
      </c>
      <c r="AE180" s="69" t="s">
        <v>40</v>
      </c>
      <c r="AF180" s="69" t="s">
        <v>51</v>
      </c>
      <c r="AG180" s="69">
        <v>26300</v>
      </c>
      <c r="AH180" s="70">
        <v>46049</v>
      </c>
      <c r="AI180" s="69" t="s">
        <v>54</v>
      </c>
      <c r="AJ180" s="69">
        <v>1</v>
      </c>
      <c r="AK180" s="71">
        <v>46024.635416666657</v>
      </c>
      <c r="AL180" s="71">
        <v>46045.635416666657</v>
      </c>
      <c r="AM180" s="69">
        <v>166.1</v>
      </c>
      <c r="AN180" s="69">
        <v>-0.4</v>
      </c>
      <c r="AO180" s="69">
        <v>1200</v>
      </c>
      <c r="AP180" s="69">
        <v>-0.98719999999999997</v>
      </c>
      <c r="AQ180" s="69">
        <v>67203.5</v>
      </c>
      <c r="AR180" s="69" t="s">
        <v>46</v>
      </c>
    </row>
    <row r="181" spans="1:44" x14ac:dyDescent="0.3">
      <c r="A181" t="s">
        <v>40</v>
      </c>
      <c r="B181" t="s">
        <v>41</v>
      </c>
      <c r="C181">
        <v>24150</v>
      </c>
      <c r="D181" t="s">
        <v>289</v>
      </c>
      <c r="E181" t="s">
        <v>43</v>
      </c>
      <c r="F181">
        <v>3</v>
      </c>
      <c r="G181" t="s">
        <v>288</v>
      </c>
      <c r="H181" t="s">
        <v>290</v>
      </c>
      <c r="I181">
        <v>20.6</v>
      </c>
      <c r="J181">
        <v>-5.2400000000000002E-2</v>
      </c>
      <c r="K181">
        <v>6.15</v>
      </c>
      <c r="L181">
        <v>-2.52E-2</v>
      </c>
      <c r="M181">
        <v>2817.8</v>
      </c>
      <c r="N181" t="s">
        <v>46</v>
      </c>
      <c r="P181" t="s">
        <v>40</v>
      </c>
      <c r="Q181" t="s">
        <v>41</v>
      </c>
      <c r="R181">
        <v>25500</v>
      </c>
      <c r="S181" s="30">
        <v>46098</v>
      </c>
      <c r="T181" t="s">
        <v>43</v>
      </c>
      <c r="U181">
        <v>3</v>
      </c>
      <c r="V181" s="31">
        <v>46090.635416666657</v>
      </c>
      <c r="W181" s="31">
        <v>46097.635416666657</v>
      </c>
      <c r="X181">
        <v>19.8</v>
      </c>
      <c r="Y181">
        <v>-5.5500000000000001E-2</v>
      </c>
      <c r="Z181">
        <v>0.7</v>
      </c>
      <c r="AA181">
        <v>-3.2000000000000002E-3</v>
      </c>
      <c r="AB181">
        <v>3724.5</v>
      </c>
      <c r="AC181" t="s">
        <v>46</v>
      </c>
      <c r="AE181" s="69" t="s">
        <v>40</v>
      </c>
      <c r="AF181" s="69" t="s">
        <v>41</v>
      </c>
      <c r="AG181" s="69">
        <v>26250</v>
      </c>
      <c r="AH181" s="70">
        <v>46049</v>
      </c>
      <c r="AI181" s="69" t="s">
        <v>43</v>
      </c>
      <c r="AJ181" s="69">
        <v>3</v>
      </c>
      <c r="AK181" s="71">
        <v>46041.635416666657</v>
      </c>
      <c r="AL181" s="71">
        <v>46045.635416666657</v>
      </c>
      <c r="AM181" s="69">
        <v>12.75</v>
      </c>
      <c r="AN181" s="69">
        <v>-7.0099999999999996E-2</v>
      </c>
      <c r="AO181" s="69">
        <v>2.4500000000000002</v>
      </c>
      <c r="AP181" s="69">
        <v>-1.3599999999999999E-2</v>
      </c>
      <c r="AQ181" s="69">
        <v>2008.5</v>
      </c>
      <c r="AR181" s="69" t="s">
        <v>46</v>
      </c>
    </row>
    <row r="182" spans="1:44" s="28" customFormat="1" x14ac:dyDescent="0.3">
      <c r="A182" t="s">
        <v>40</v>
      </c>
      <c r="B182" t="s">
        <v>41</v>
      </c>
      <c r="C182">
        <v>24150</v>
      </c>
      <c r="D182" t="s">
        <v>291</v>
      </c>
      <c r="E182" t="s">
        <v>43</v>
      </c>
      <c r="F182">
        <v>3</v>
      </c>
      <c r="G182" t="s">
        <v>290</v>
      </c>
      <c r="H182" t="s">
        <v>292</v>
      </c>
      <c r="I182">
        <v>56.45</v>
      </c>
      <c r="J182">
        <v>-0.115</v>
      </c>
      <c r="K182">
        <v>2.2000000000000002</v>
      </c>
      <c r="L182">
        <v>-1.26E-2</v>
      </c>
      <c r="M182">
        <v>10578.8</v>
      </c>
      <c r="N182" t="s">
        <v>46</v>
      </c>
      <c r="P182" t="s">
        <v>40</v>
      </c>
      <c r="Q182" t="s">
        <v>41</v>
      </c>
      <c r="R182">
        <v>24650</v>
      </c>
      <c r="S182" s="30">
        <v>46105</v>
      </c>
      <c r="T182" t="s">
        <v>43</v>
      </c>
      <c r="U182">
        <v>3</v>
      </c>
      <c r="V182" s="31">
        <v>46097.635416666657</v>
      </c>
      <c r="W182" s="31">
        <v>46104.635416666657</v>
      </c>
      <c r="X182">
        <v>20.399999999999999</v>
      </c>
      <c r="Y182">
        <v>-6.2899999999999998E-2</v>
      </c>
      <c r="Z182">
        <v>1.1000000000000001</v>
      </c>
      <c r="AA182">
        <v>-4.5999999999999999E-3</v>
      </c>
      <c r="AB182">
        <v>3763.5</v>
      </c>
      <c r="AC182" t="s">
        <v>46</v>
      </c>
      <c r="AE182" s="69" t="s">
        <v>40</v>
      </c>
      <c r="AF182" s="69" t="s">
        <v>41</v>
      </c>
      <c r="AG182" s="69">
        <v>26150</v>
      </c>
      <c r="AH182" s="70">
        <v>46056</v>
      </c>
      <c r="AI182" s="69" t="s">
        <v>43</v>
      </c>
      <c r="AJ182" s="69">
        <v>3</v>
      </c>
      <c r="AK182" s="71">
        <v>46045.635416666657</v>
      </c>
      <c r="AL182" s="71">
        <v>46055.635416666657</v>
      </c>
      <c r="AM182" s="69">
        <v>26.1</v>
      </c>
      <c r="AN182" s="69">
        <v>-8.0799999999999997E-2</v>
      </c>
      <c r="AO182" s="69">
        <v>1.25</v>
      </c>
      <c r="AP182" s="69">
        <v>-8.6999999999999994E-3</v>
      </c>
      <c r="AQ182" s="69">
        <v>4845.8</v>
      </c>
      <c r="AR182" s="69" t="s">
        <v>46</v>
      </c>
    </row>
    <row r="183" spans="1:44" s="28" customFormat="1" x14ac:dyDescent="0.3">
      <c r="A183" t="s">
        <v>40</v>
      </c>
      <c r="B183" t="s">
        <v>41</v>
      </c>
      <c r="C183">
        <v>23950</v>
      </c>
      <c r="D183" t="s">
        <v>293</v>
      </c>
      <c r="E183" t="s">
        <v>43</v>
      </c>
      <c r="F183">
        <v>3</v>
      </c>
      <c r="G183" t="s">
        <v>292</v>
      </c>
      <c r="H183" t="s">
        <v>294</v>
      </c>
      <c r="I183">
        <v>58.9</v>
      </c>
      <c r="J183">
        <v>-0.14030000000000001</v>
      </c>
      <c r="K183">
        <v>201.35</v>
      </c>
      <c r="L183">
        <v>-0.61899999999999999</v>
      </c>
      <c r="M183">
        <v>-27777.7</v>
      </c>
      <c r="N183" t="s">
        <v>46</v>
      </c>
      <c r="P183" t="s">
        <v>40</v>
      </c>
      <c r="Q183" t="s">
        <v>51</v>
      </c>
      <c r="R183">
        <v>25700</v>
      </c>
      <c r="S183" s="30">
        <v>46111</v>
      </c>
      <c r="T183" t="s">
        <v>54</v>
      </c>
      <c r="U183">
        <v>1</v>
      </c>
      <c r="V183" s="31">
        <v>46076.635416666657</v>
      </c>
      <c r="W183" s="31">
        <v>46108.635416666657</v>
      </c>
      <c r="X183">
        <v>299</v>
      </c>
      <c r="Y183">
        <v>-0.41810000000000003</v>
      </c>
      <c r="Z183">
        <v>2888.8</v>
      </c>
      <c r="AA183">
        <v>-0.99680000000000002</v>
      </c>
      <c r="AB183">
        <v>168337</v>
      </c>
      <c r="AC183" t="s">
        <v>46</v>
      </c>
      <c r="AE183" s="69" t="s">
        <v>40</v>
      </c>
      <c r="AF183" s="69" t="s">
        <v>51</v>
      </c>
      <c r="AG183" s="69">
        <v>25800</v>
      </c>
      <c r="AH183" s="70">
        <v>46077</v>
      </c>
      <c r="AI183" s="69" t="s">
        <v>43</v>
      </c>
      <c r="AJ183" s="69">
        <v>1</v>
      </c>
      <c r="AK183" s="71">
        <v>46045.635416666657</v>
      </c>
      <c r="AL183" s="71">
        <v>46062.635416666657</v>
      </c>
      <c r="AM183" s="69">
        <v>735.35</v>
      </c>
      <c r="AN183" s="69">
        <v>0.71960000000000002</v>
      </c>
      <c r="AO183" s="69">
        <v>170.85</v>
      </c>
      <c r="AP183" s="69">
        <v>0.4032</v>
      </c>
      <c r="AQ183" s="69">
        <v>36692.5</v>
      </c>
      <c r="AR183" s="69" t="s">
        <v>63</v>
      </c>
    </row>
    <row r="184" spans="1:44" s="28" customFormat="1" x14ac:dyDescent="0.3">
      <c r="A184" t="s">
        <v>40</v>
      </c>
      <c r="B184" t="s">
        <v>41</v>
      </c>
      <c r="C184">
        <v>24750</v>
      </c>
      <c r="D184" t="s">
        <v>295</v>
      </c>
      <c r="E184" t="s">
        <v>43</v>
      </c>
      <c r="F184">
        <v>3</v>
      </c>
      <c r="G184" t="s">
        <v>294</v>
      </c>
      <c r="H184" t="s">
        <v>296</v>
      </c>
      <c r="I184">
        <v>55.75</v>
      </c>
      <c r="J184">
        <v>-0.16389999999999999</v>
      </c>
      <c r="K184">
        <v>17.350000000000001</v>
      </c>
      <c r="L184">
        <v>-0.11609999999999999</v>
      </c>
      <c r="M184">
        <v>7488</v>
      </c>
      <c r="N184" t="s">
        <v>46</v>
      </c>
      <c r="P184" t="s">
        <v>40</v>
      </c>
      <c r="Q184" t="s">
        <v>51</v>
      </c>
      <c r="R184">
        <v>26200</v>
      </c>
      <c r="S184" s="30">
        <v>46111</v>
      </c>
      <c r="T184" t="s">
        <v>43</v>
      </c>
      <c r="U184">
        <v>1</v>
      </c>
      <c r="V184" s="31">
        <v>46076.635416666657</v>
      </c>
      <c r="W184" s="31">
        <v>46108.635416666657</v>
      </c>
      <c r="X184">
        <v>530.6</v>
      </c>
      <c r="Y184">
        <v>0.63819999999999999</v>
      </c>
      <c r="Z184">
        <v>3393</v>
      </c>
      <c r="AA184">
        <v>0.99780000000000002</v>
      </c>
      <c r="AB184">
        <v>-186056</v>
      </c>
      <c r="AC184" t="s">
        <v>46</v>
      </c>
      <c r="AE184" s="69" t="s">
        <v>40</v>
      </c>
      <c r="AF184" s="69" t="s">
        <v>51</v>
      </c>
      <c r="AG184" s="69">
        <v>25050</v>
      </c>
      <c r="AH184" s="70">
        <v>46077</v>
      </c>
      <c r="AI184" s="69" t="s">
        <v>54</v>
      </c>
      <c r="AJ184" s="69">
        <v>1</v>
      </c>
      <c r="AK184" s="71">
        <v>46045.635416666657</v>
      </c>
      <c r="AL184" s="71">
        <v>46062.635416666657</v>
      </c>
      <c r="AM184" s="69">
        <v>330.15</v>
      </c>
      <c r="AN184" s="69">
        <v>-0.43159999999999998</v>
      </c>
      <c r="AO184" s="69">
        <v>38.4</v>
      </c>
      <c r="AP184" s="69">
        <v>-0.1075</v>
      </c>
      <c r="AQ184" s="69">
        <v>-18963.8</v>
      </c>
      <c r="AR184" s="69" t="s">
        <v>63</v>
      </c>
    </row>
    <row r="185" spans="1:44" s="28" customFormat="1" x14ac:dyDescent="0.3">
      <c r="A185" t="s">
        <v>40</v>
      </c>
      <c r="B185" t="s">
        <v>51</v>
      </c>
      <c r="C185">
        <v>24500</v>
      </c>
      <c r="D185" t="s">
        <v>297</v>
      </c>
      <c r="E185" t="s">
        <v>43</v>
      </c>
      <c r="F185">
        <v>1</v>
      </c>
      <c r="G185" t="s">
        <v>290</v>
      </c>
      <c r="H185" t="s">
        <v>298</v>
      </c>
      <c r="I185">
        <v>1699</v>
      </c>
      <c r="J185">
        <v>0.82689999999999997</v>
      </c>
      <c r="K185">
        <v>206.35</v>
      </c>
      <c r="L185">
        <v>0.42670000000000002</v>
      </c>
      <c r="M185">
        <v>97022.2</v>
      </c>
      <c r="N185" t="s">
        <v>63</v>
      </c>
      <c r="P185" t="s">
        <v>40</v>
      </c>
      <c r="Q185" t="s">
        <v>41</v>
      </c>
      <c r="R185">
        <v>24150</v>
      </c>
      <c r="S185" s="30">
        <v>46111</v>
      </c>
      <c r="T185" t="s">
        <v>43</v>
      </c>
      <c r="U185">
        <v>3</v>
      </c>
      <c r="V185" s="31">
        <v>46104.635416666657</v>
      </c>
      <c r="W185" s="31">
        <v>46108.635416666657</v>
      </c>
      <c r="X185">
        <v>20.6</v>
      </c>
      <c r="Y185">
        <v>-5.2400000000000002E-2</v>
      </c>
      <c r="Z185">
        <v>6.15</v>
      </c>
      <c r="AA185">
        <v>-2.52E-2</v>
      </c>
      <c r="AB185">
        <v>2817.8</v>
      </c>
      <c r="AC185" t="s">
        <v>46</v>
      </c>
      <c r="AE185" s="69" t="s">
        <v>40</v>
      </c>
      <c r="AF185" s="69" t="s">
        <v>41</v>
      </c>
      <c r="AG185" s="69">
        <v>25700</v>
      </c>
      <c r="AH185" s="70">
        <v>46063</v>
      </c>
      <c r="AI185" s="69" t="s">
        <v>43</v>
      </c>
      <c r="AJ185" s="69">
        <v>3</v>
      </c>
      <c r="AK185" s="71">
        <v>46055.635416666657</v>
      </c>
      <c r="AL185" s="71">
        <v>46062.635416666657</v>
      </c>
      <c r="AM185" s="69">
        <v>29.5</v>
      </c>
      <c r="AN185" s="69">
        <v>-0.1242</v>
      </c>
      <c r="AO185" s="69">
        <v>187.5</v>
      </c>
      <c r="AP185" s="69">
        <v>-0.79220000000000002</v>
      </c>
      <c r="AQ185" s="69">
        <v>-30810</v>
      </c>
      <c r="AR185" s="69" t="s">
        <v>46</v>
      </c>
    </row>
    <row r="186" spans="1:44" s="28" customFormat="1" x14ac:dyDescent="0.3">
      <c r="A186" t="s">
        <v>40</v>
      </c>
      <c r="B186" t="s">
        <v>51</v>
      </c>
      <c r="C186">
        <v>22800</v>
      </c>
      <c r="D186" t="s">
        <v>297</v>
      </c>
      <c r="E186" t="s">
        <v>54</v>
      </c>
      <c r="F186">
        <v>1</v>
      </c>
      <c r="G186" t="s">
        <v>290</v>
      </c>
      <c r="H186" t="s">
        <v>299</v>
      </c>
      <c r="I186">
        <v>692.95</v>
      </c>
      <c r="J186">
        <v>-0.45369999999999999</v>
      </c>
      <c r="K186">
        <v>1</v>
      </c>
      <c r="L186">
        <v>-5.7999999999999996E-3</v>
      </c>
      <c r="M186">
        <v>-44976.800000000003</v>
      </c>
      <c r="N186" t="s">
        <v>46</v>
      </c>
      <c r="P186" t="s">
        <v>40</v>
      </c>
      <c r="Q186" t="s">
        <v>41</v>
      </c>
      <c r="R186">
        <v>24150</v>
      </c>
      <c r="S186" s="30">
        <v>46119</v>
      </c>
      <c r="T186" t="s">
        <v>43</v>
      </c>
      <c r="U186">
        <v>3</v>
      </c>
      <c r="V186" s="31">
        <v>46108.635416666657</v>
      </c>
      <c r="W186" s="31">
        <v>46118.635416666657</v>
      </c>
      <c r="X186">
        <v>56.45</v>
      </c>
      <c r="Y186">
        <v>-0.115</v>
      </c>
      <c r="Z186">
        <v>2.2000000000000002</v>
      </c>
      <c r="AA186">
        <v>-1.26E-2</v>
      </c>
      <c r="AB186">
        <v>10578.8</v>
      </c>
      <c r="AC186" t="s">
        <v>46</v>
      </c>
      <c r="AE186" s="69" t="s">
        <v>40</v>
      </c>
      <c r="AF186" s="69" t="s">
        <v>41</v>
      </c>
      <c r="AG186" s="69">
        <v>26500</v>
      </c>
      <c r="AH186" s="70">
        <v>46070</v>
      </c>
      <c r="AI186" s="69" t="s">
        <v>43</v>
      </c>
      <c r="AJ186" s="69">
        <v>3</v>
      </c>
      <c r="AK186" s="71">
        <v>46062.635416666657</v>
      </c>
      <c r="AL186" s="71">
        <v>46069.635416666657</v>
      </c>
      <c r="AM186" s="69">
        <v>17.100000000000001</v>
      </c>
      <c r="AN186" s="69">
        <v>-8.6999999999999994E-2</v>
      </c>
      <c r="AO186" s="69">
        <v>2.25</v>
      </c>
      <c r="AP186" s="69">
        <v>-1.6799999999999999E-2</v>
      </c>
      <c r="AQ186" s="69">
        <v>2895.8</v>
      </c>
      <c r="AR186" s="69" t="s">
        <v>46</v>
      </c>
    </row>
    <row r="187" spans="1:44" s="28" customFormat="1" x14ac:dyDescent="0.3">
      <c r="A187" t="s">
        <v>40</v>
      </c>
      <c r="B187" t="s">
        <v>51</v>
      </c>
      <c r="C187">
        <v>27000</v>
      </c>
      <c r="D187" t="s">
        <v>297</v>
      </c>
      <c r="E187" t="s">
        <v>43</v>
      </c>
      <c r="F187">
        <v>1</v>
      </c>
      <c r="G187" t="s">
        <v>298</v>
      </c>
      <c r="H187" t="s">
        <v>299</v>
      </c>
      <c r="I187">
        <v>2420.9499999999998</v>
      </c>
      <c r="J187">
        <v>0.99680000000000002</v>
      </c>
      <c r="K187">
        <v>2879</v>
      </c>
      <c r="L187">
        <v>0.99850000000000005</v>
      </c>
      <c r="M187">
        <v>-29773.3</v>
      </c>
      <c r="N187" t="s">
        <v>46</v>
      </c>
      <c r="P187" t="s">
        <v>40</v>
      </c>
      <c r="Q187" t="s">
        <v>41</v>
      </c>
      <c r="R187">
        <v>23950</v>
      </c>
      <c r="S187" s="30">
        <v>46125</v>
      </c>
      <c r="T187" t="s">
        <v>43</v>
      </c>
      <c r="U187">
        <v>3</v>
      </c>
      <c r="V187" s="31">
        <v>46118.635416666657</v>
      </c>
      <c r="W187" s="31">
        <v>46122.635416666657</v>
      </c>
      <c r="X187">
        <v>58.9</v>
      </c>
      <c r="Y187">
        <v>-0.14030000000000001</v>
      </c>
      <c r="Z187">
        <v>201.35</v>
      </c>
      <c r="AA187">
        <v>-0.61899999999999999</v>
      </c>
      <c r="AB187">
        <v>-27777.7</v>
      </c>
      <c r="AC187" t="s">
        <v>46</v>
      </c>
      <c r="AE187" s="69" t="s">
        <v>40</v>
      </c>
      <c r="AF187" s="69" t="s">
        <v>51</v>
      </c>
      <c r="AG187" s="69">
        <v>26500</v>
      </c>
      <c r="AH187" s="70">
        <v>46077</v>
      </c>
      <c r="AI187" s="69" t="s">
        <v>43</v>
      </c>
      <c r="AJ187" s="69">
        <v>1</v>
      </c>
      <c r="AK187" s="71">
        <v>46062.635416666657</v>
      </c>
      <c r="AL187" s="71">
        <v>46076.635416666657</v>
      </c>
      <c r="AM187" s="69">
        <v>624.65</v>
      </c>
      <c r="AN187" s="69">
        <v>0.84930000000000005</v>
      </c>
      <c r="AO187" s="69">
        <v>790</v>
      </c>
      <c r="AP187" s="69">
        <v>0.98440000000000005</v>
      </c>
      <c r="AQ187" s="69">
        <v>-10747.8</v>
      </c>
      <c r="AR187" s="69" t="s">
        <v>46</v>
      </c>
    </row>
    <row r="188" spans="1:44" s="28" customFormat="1" x14ac:dyDescent="0.3">
      <c r="A188" t="s">
        <v>40</v>
      </c>
      <c r="B188" t="s">
        <v>41</v>
      </c>
      <c r="C188">
        <v>25000</v>
      </c>
      <c r="D188" t="s">
        <v>297</v>
      </c>
      <c r="E188" t="s">
        <v>43</v>
      </c>
      <c r="F188">
        <v>3</v>
      </c>
      <c r="G188" t="s">
        <v>296</v>
      </c>
      <c r="H188" t="s">
        <v>299</v>
      </c>
      <c r="I188">
        <v>60.7</v>
      </c>
      <c r="J188">
        <v>-0.18</v>
      </c>
      <c r="K188">
        <v>1.45</v>
      </c>
      <c r="L188">
        <v>-1.0999999999999999E-2</v>
      </c>
      <c r="M188">
        <v>11553.8</v>
      </c>
      <c r="N188" t="s">
        <v>46</v>
      </c>
      <c r="P188" t="s">
        <v>40</v>
      </c>
      <c r="Q188" t="s">
        <v>41</v>
      </c>
      <c r="R188">
        <v>24750</v>
      </c>
      <c r="S188" s="30">
        <v>46133</v>
      </c>
      <c r="T188" t="s">
        <v>43</v>
      </c>
      <c r="U188">
        <v>3</v>
      </c>
      <c r="V188" s="31">
        <v>46122.635416666657</v>
      </c>
      <c r="W188" s="31">
        <v>46132.635416666657</v>
      </c>
      <c r="X188">
        <v>55.75</v>
      </c>
      <c r="Y188">
        <v>-0.16389999999999999</v>
      </c>
      <c r="Z188">
        <v>17.350000000000001</v>
      </c>
      <c r="AA188">
        <v>-0.11609999999999999</v>
      </c>
      <c r="AB188">
        <v>7488</v>
      </c>
      <c r="AC188" t="s">
        <v>46</v>
      </c>
      <c r="AE188" s="69" t="s">
        <v>40</v>
      </c>
      <c r="AF188" s="69" t="s">
        <v>51</v>
      </c>
      <c r="AG188" s="69">
        <v>25850</v>
      </c>
      <c r="AH188" s="70">
        <v>46077</v>
      </c>
      <c r="AI188" s="69" t="s">
        <v>54</v>
      </c>
      <c r="AJ188" s="69">
        <v>1</v>
      </c>
      <c r="AK188" s="71">
        <v>46062.635416666657</v>
      </c>
      <c r="AL188" s="71">
        <v>46076.635416666657</v>
      </c>
      <c r="AM188" s="69">
        <v>190.5</v>
      </c>
      <c r="AN188" s="69">
        <v>-0.43540000000000001</v>
      </c>
      <c r="AO188" s="69">
        <v>163</v>
      </c>
      <c r="AP188" s="69">
        <v>-0.72250000000000003</v>
      </c>
      <c r="AQ188" s="69">
        <v>-1787.5</v>
      </c>
      <c r="AR188" s="69" t="s">
        <v>46</v>
      </c>
    </row>
    <row r="189" spans="1:44" x14ac:dyDescent="0.3">
      <c r="A189" t="s">
        <v>40</v>
      </c>
      <c r="B189" t="s">
        <v>41</v>
      </c>
      <c r="C189">
        <v>24900</v>
      </c>
      <c r="D189" t="s">
        <v>300</v>
      </c>
      <c r="E189" t="s">
        <v>43</v>
      </c>
      <c r="F189">
        <v>3</v>
      </c>
      <c r="G189" t="s">
        <v>299</v>
      </c>
      <c r="H189" t="s">
        <v>301</v>
      </c>
      <c r="I189">
        <v>32.1</v>
      </c>
      <c r="J189">
        <v>-0.10970000000000001</v>
      </c>
      <c r="K189">
        <v>3.1</v>
      </c>
      <c r="L189">
        <v>-2.24E-2</v>
      </c>
      <c r="M189">
        <v>5655</v>
      </c>
      <c r="N189" t="s">
        <v>46</v>
      </c>
      <c r="P189" t="s">
        <v>40</v>
      </c>
      <c r="Q189" t="s">
        <v>51</v>
      </c>
      <c r="R189">
        <v>24500</v>
      </c>
      <c r="S189" s="30">
        <v>46140</v>
      </c>
      <c r="T189" t="s">
        <v>43</v>
      </c>
      <c r="U189">
        <v>1</v>
      </c>
      <c r="V189" s="31">
        <v>46108.635416666657</v>
      </c>
      <c r="W189" s="31">
        <v>46133.635416666657</v>
      </c>
      <c r="X189">
        <v>1699</v>
      </c>
      <c r="Y189">
        <v>0.82689999999999997</v>
      </c>
      <c r="Z189">
        <v>206.35</v>
      </c>
      <c r="AA189">
        <v>0.42670000000000002</v>
      </c>
      <c r="AB189">
        <v>97022.2</v>
      </c>
      <c r="AC189" t="s">
        <v>63</v>
      </c>
      <c r="AE189" s="69" t="s">
        <v>40</v>
      </c>
      <c r="AF189" s="69" t="s">
        <v>41</v>
      </c>
      <c r="AG189" s="69">
        <v>26450</v>
      </c>
      <c r="AH189" s="70">
        <v>46077</v>
      </c>
      <c r="AI189" s="69" t="s">
        <v>43</v>
      </c>
      <c r="AJ189" s="69">
        <v>3</v>
      </c>
      <c r="AK189" s="71">
        <v>46069.635416666657</v>
      </c>
      <c r="AL189" s="71">
        <v>46076.635416666657</v>
      </c>
      <c r="AM189" s="69">
        <v>15.75</v>
      </c>
      <c r="AN189" s="69">
        <v>-7.2599999999999998E-2</v>
      </c>
      <c r="AO189" s="69">
        <v>2.1</v>
      </c>
      <c r="AP189" s="69">
        <v>-1.7299999999999999E-2</v>
      </c>
      <c r="AQ189" s="69">
        <v>2661.8</v>
      </c>
      <c r="AR189" s="69" t="s">
        <v>46</v>
      </c>
    </row>
    <row r="190" spans="1:44" x14ac:dyDescent="0.3">
      <c r="A190" t="s">
        <v>40</v>
      </c>
      <c r="B190" t="s">
        <v>41</v>
      </c>
      <c r="C190">
        <v>24950</v>
      </c>
      <c r="D190" t="s">
        <v>302</v>
      </c>
      <c r="E190" t="s">
        <v>43</v>
      </c>
      <c r="F190">
        <v>3</v>
      </c>
      <c r="G190" t="s">
        <v>301</v>
      </c>
      <c r="H190" t="s">
        <v>303</v>
      </c>
      <c r="I190">
        <v>35</v>
      </c>
      <c r="J190">
        <v>-0.11459999999999999</v>
      </c>
      <c r="K190">
        <v>1.8</v>
      </c>
      <c r="L190">
        <v>-1.0999999999999999E-2</v>
      </c>
      <c r="M190">
        <v>6474</v>
      </c>
      <c r="N190" t="s">
        <v>46</v>
      </c>
      <c r="P190" t="s">
        <v>40</v>
      </c>
      <c r="Q190" t="s">
        <v>51</v>
      </c>
      <c r="R190">
        <v>22800</v>
      </c>
      <c r="S190" s="30">
        <v>46140</v>
      </c>
      <c r="T190" t="s">
        <v>54</v>
      </c>
      <c r="U190">
        <v>1</v>
      </c>
      <c r="V190" s="31">
        <v>46108.635416666657</v>
      </c>
      <c r="W190" s="31">
        <v>46139.635416666657</v>
      </c>
      <c r="X190">
        <v>692.95</v>
      </c>
      <c r="Y190">
        <v>-0.45369999999999999</v>
      </c>
      <c r="Z190">
        <v>1</v>
      </c>
      <c r="AA190">
        <v>-5.7999999999999996E-3</v>
      </c>
      <c r="AB190">
        <v>-44976.800000000003</v>
      </c>
      <c r="AC190" t="s">
        <v>46</v>
      </c>
      <c r="AE190" s="69" t="s">
        <v>40</v>
      </c>
      <c r="AF190" s="69" t="s">
        <v>41</v>
      </c>
      <c r="AG190" s="69">
        <v>26350</v>
      </c>
      <c r="AH190" s="70">
        <v>46083</v>
      </c>
      <c r="AI190" s="69" t="s">
        <v>43</v>
      </c>
      <c r="AJ190" s="69">
        <v>3</v>
      </c>
      <c r="AK190" s="71">
        <v>46076.635416666657</v>
      </c>
      <c r="AL190" s="71">
        <v>46080.635416666657</v>
      </c>
      <c r="AM190" s="69">
        <v>18.2</v>
      </c>
      <c r="AN190" s="69">
        <v>-9.0300000000000005E-2</v>
      </c>
      <c r="AO190" s="69">
        <v>2.4</v>
      </c>
      <c r="AP190" s="69">
        <v>-1.35E-2</v>
      </c>
      <c r="AQ190" s="69">
        <v>3081</v>
      </c>
      <c r="AR190" s="69" t="s">
        <v>46</v>
      </c>
    </row>
    <row r="191" spans="1:44" x14ac:dyDescent="0.3">
      <c r="A191" t="s">
        <v>40</v>
      </c>
      <c r="B191" t="s">
        <v>41</v>
      </c>
      <c r="C191">
        <v>24650</v>
      </c>
      <c r="D191" t="s">
        <v>304</v>
      </c>
      <c r="E191" t="s">
        <v>43</v>
      </c>
      <c r="F191">
        <v>3</v>
      </c>
      <c r="G191" t="s">
        <v>303</v>
      </c>
      <c r="H191" t="s">
        <v>305</v>
      </c>
      <c r="I191">
        <v>35.200000000000003</v>
      </c>
      <c r="J191">
        <v>-0.1139</v>
      </c>
      <c r="K191">
        <v>1.35</v>
      </c>
      <c r="L191">
        <v>-9.4999999999999998E-3</v>
      </c>
      <c r="M191">
        <v>6600.8</v>
      </c>
      <c r="N191" t="s">
        <v>46</v>
      </c>
      <c r="P191" t="s">
        <v>40</v>
      </c>
      <c r="Q191" t="s">
        <v>51</v>
      </c>
      <c r="R191">
        <v>25500</v>
      </c>
      <c r="S191" s="30">
        <v>46140</v>
      </c>
      <c r="T191" t="s">
        <v>43</v>
      </c>
      <c r="U191">
        <v>1</v>
      </c>
      <c r="V191" s="31">
        <v>46133.635416666657</v>
      </c>
      <c r="W191" s="31">
        <v>46139.635416666657</v>
      </c>
      <c r="X191">
        <v>923.8</v>
      </c>
      <c r="Y191">
        <v>0.95279999999999998</v>
      </c>
      <c r="Z191">
        <v>1374.95</v>
      </c>
      <c r="AA191">
        <v>0.99509999999999998</v>
      </c>
      <c r="AB191">
        <v>-29324.799999999999</v>
      </c>
      <c r="AC191" t="s">
        <v>46</v>
      </c>
      <c r="AE191" s="69" t="s">
        <v>40</v>
      </c>
      <c r="AF191" s="69" t="s">
        <v>41</v>
      </c>
      <c r="AG191" s="69">
        <v>26050</v>
      </c>
      <c r="AH191" s="70">
        <v>46091</v>
      </c>
      <c r="AI191" s="69" t="s">
        <v>43</v>
      </c>
      <c r="AJ191" s="69">
        <v>3</v>
      </c>
      <c r="AK191" s="71">
        <v>46080.635416666657</v>
      </c>
      <c r="AL191" s="71">
        <v>46090.635416666657</v>
      </c>
      <c r="AM191" s="69">
        <v>18.55</v>
      </c>
      <c r="AN191" s="69">
        <v>-7.4800000000000005E-2</v>
      </c>
      <c r="AO191" s="69">
        <v>1.2</v>
      </c>
      <c r="AP191" s="69">
        <v>-5.1000000000000004E-3</v>
      </c>
      <c r="AQ191" s="69">
        <v>3383.3</v>
      </c>
      <c r="AR191" s="69" t="s">
        <v>46</v>
      </c>
    </row>
    <row r="192" spans="1:44" x14ac:dyDescent="0.3">
      <c r="A192" t="s">
        <v>40</v>
      </c>
      <c r="B192" t="s">
        <v>51</v>
      </c>
      <c r="C192">
        <v>24100</v>
      </c>
      <c r="D192" t="s">
        <v>306</v>
      </c>
      <c r="E192" t="s">
        <v>54</v>
      </c>
      <c r="F192">
        <v>1</v>
      </c>
      <c r="G192" t="s">
        <v>299</v>
      </c>
      <c r="H192" t="s">
        <v>307</v>
      </c>
      <c r="I192">
        <v>418.2</v>
      </c>
      <c r="J192">
        <v>-0.4511</v>
      </c>
      <c r="K192">
        <v>112.85</v>
      </c>
      <c r="L192">
        <v>-0.61729999999999996</v>
      </c>
      <c r="M192">
        <v>-19847.8</v>
      </c>
      <c r="N192" t="s">
        <v>46</v>
      </c>
      <c r="P192" t="s">
        <v>40</v>
      </c>
      <c r="Q192" t="s">
        <v>41</v>
      </c>
      <c r="R192">
        <v>25000</v>
      </c>
      <c r="S192" s="30">
        <v>46140</v>
      </c>
      <c r="T192" t="s">
        <v>43</v>
      </c>
      <c r="U192">
        <v>3</v>
      </c>
      <c r="V192" s="31">
        <v>46132.635416666657</v>
      </c>
      <c r="W192" s="31">
        <v>46139.635416666657</v>
      </c>
      <c r="X192">
        <v>60.7</v>
      </c>
      <c r="Y192">
        <v>-0.18</v>
      </c>
      <c r="Z192">
        <v>1.45</v>
      </c>
      <c r="AA192">
        <v>-1.0999999999999999E-2</v>
      </c>
      <c r="AB192">
        <v>11553.8</v>
      </c>
      <c r="AC192" t="s">
        <v>46</v>
      </c>
      <c r="AE192" s="69" t="s">
        <v>40</v>
      </c>
      <c r="AF192" s="69" t="s">
        <v>41</v>
      </c>
      <c r="AG192" s="69">
        <v>25500</v>
      </c>
      <c r="AH192" s="70">
        <v>46098</v>
      </c>
      <c r="AI192" s="69" t="s">
        <v>43</v>
      </c>
      <c r="AJ192" s="69">
        <v>3</v>
      </c>
      <c r="AK192" s="71">
        <v>46090.635416666657</v>
      </c>
      <c r="AL192" s="71">
        <v>46097.635416666657</v>
      </c>
      <c r="AM192" s="69">
        <v>19.8</v>
      </c>
      <c r="AN192" s="69">
        <v>-5.5500000000000001E-2</v>
      </c>
      <c r="AO192" s="69">
        <v>0.7</v>
      </c>
      <c r="AP192" s="69">
        <v>-3.2000000000000002E-3</v>
      </c>
      <c r="AQ192" s="69">
        <v>3724.5</v>
      </c>
      <c r="AR192" s="69" t="s">
        <v>46</v>
      </c>
    </row>
    <row r="193" spans="1:44" x14ac:dyDescent="0.3">
      <c r="A193" t="s">
        <v>40</v>
      </c>
      <c r="B193" t="s">
        <v>51</v>
      </c>
      <c r="C193">
        <v>25000</v>
      </c>
      <c r="D193" t="s">
        <v>306</v>
      </c>
      <c r="E193" t="s">
        <v>43</v>
      </c>
      <c r="F193">
        <v>1</v>
      </c>
      <c r="G193" t="s">
        <v>299</v>
      </c>
      <c r="H193" t="s">
        <v>307</v>
      </c>
      <c r="I193">
        <v>911</v>
      </c>
      <c r="J193">
        <v>0.75170000000000003</v>
      </c>
      <c r="K193">
        <v>951.3</v>
      </c>
      <c r="L193">
        <v>0.99070000000000003</v>
      </c>
      <c r="M193">
        <v>-2619.5</v>
      </c>
      <c r="N193" t="s">
        <v>46</v>
      </c>
      <c r="P193" t="s">
        <v>40</v>
      </c>
      <c r="Q193" t="s">
        <v>41</v>
      </c>
      <c r="R193">
        <v>24900</v>
      </c>
      <c r="S193" s="30">
        <v>46147</v>
      </c>
      <c r="T193" t="s">
        <v>43</v>
      </c>
      <c r="U193">
        <v>3</v>
      </c>
      <c r="V193" s="31">
        <v>46139.635416666657</v>
      </c>
      <c r="W193" s="31">
        <v>46146.635416666657</v>
      </c>
      <c r="X193">
        <v>32.1</v>
      </c>
      <c r="Y193">
        <v>-0.10970000000000001</v>
      </c>
      <c r="Z193">
        <v>3.1</v>
      </c>
      <c r="AA193">
        <v>-2.24E-2</v>
      </c>
      <c r="AB193">
        <v>5655</v>
      </c>
      <c r="AC193" t="s">
        <v>46</v>
      </c>
      <c r="AE193" s="69" t="s">
        <v>40</v>
      </c>
      <c r="AF193" s="69" t="s">
        <v>41</v>
      </c>
      <c r="AG193" s="69">
        <v>24650</v>
      </c>
      <c r="AH193" s="70">
        <v>46105</v>
      </c>
      <c r="AI193" s="69" t="s">
        <v>43</v>
      </c>
      <c r="AJ193" s="69">
        <v>3</v>
      </c>
      <c r="AK193" s="71">
        <v>46097.635416666657</v>
      </c>
      <c r="AL193" s="71">
        <v>46104.635416666657</v>
      </c>
      <c r="AM193" s="69">
        <v>20.399999999999999</v>
      </c>
      <c r="AN193" s="69">
        <v>-6.2899999999999998E-2</v>
      </c>
      <c r="AO193" s="69">
        <v>1.1000000000000001</v>
      </c>
      <c r="AP193" s="69">
        <v>-4.5999999999999999E-3</v>
      </c>
      <c r="AQ193" s="69">
        <v>3763.5</v>
      </c>
      <c r="AR193" s="69" t="s">
        <v>46</v>
      </c>
    </row>
    <row r="194" spans="1:44" x14ac:dyDescent="0.3">
      <c r="A194" t="s">
        <v>40</v>
      </c>
      <c r="B194" t="s">
        <v>41</v>
      </c>
      <c r="C194">
        <v>24400</v>
      </c>
      <c r="D194" t="s">
        <v>306</v>
      </c>
      <c r="E194" t="s">
        <v>43</v>
      </c>
      <c r="F194">
        <v>3</v>
      </c>
      <c r="G194" t="s">
        <v>305</v>
      </c>
      <c r="H194" t="s">
        <v>307</v>
      </c>
      <c r="I194">
        <v>33.950000000000003</v>
      </c>
      <c r="J194">
        <v>-0.1168</v>
      </c>
      <c r="K194">
        <v>8.6</v>
      </c>
      <c r="L194">
        <v>-7.6100000000000001E-2</v>
      </c>
      <c r="M194">
        <v>4943.2</v>
      </c>
      <c r="N194" t="s">
        <v>46</v>
      </c>
      <c r="P194" t="s">
        <v>40</v>
      </c>
      <c r="Q194" t="s">
        <v>41</v>
      </c>
      <c r="R194">
        <v>24950</v>
      </c>
      <c r="S194" s="30">
        <v>46154</v>
      </c>
      <c r="T194" t="s">
        <v>43</v>
      </c>
      <c r="U194">
        <v>3</v>
      </c>
      <c r="V194" s="31">
        <v>46146.635416666657</v>
      </c>
      <c r="W194" s="31">
        <v>46153.635416666657</v>
      </c>
      <c r="X194">
        <v>35</v>
      </c>
      <c r="Y194">
        <v>-0.11459999999999999</v>
      </c>
      <c r="Z194">
        <v>1.8</v>
      </c>
      <c r="AA194">
        <v>-1.0999999999999999E-2</v>
      </c>
      <c r="AB194">
        <v>6474</v>
      </c>
      <c r="AC194" t="s">
        <v>46</v>
      </c>
      <c r="AE194" s="69" t="s">
        <v>40</v>
      </c>
      <c r="AF194" s="69" t="s">
        <v>51</v>
      </c>
      <c r="AG194" s="69">
        <v>26200</v>
      </c>
      <c r="AH194" s="70">
        <v>46111</v>
      </c>
      <c r="AI194" s="69" t="s">
        <v>43</v>
      </c>
      <c r="AJ194" s="69">
        <v>1</v>
      </c>
      <c r="AK194" s="71">
        <v>46076.635416666657</v>
      </c>
      <c r="AL194" s="71">
        <v>46108.635416666657</v>
      </c>
      <c r="AM194" s="69">
        <v>530.6</v>
      </c>
      <c r="AN194" s="69">
        <v>0.63819999999999999</v>
      </c>
      <c r="AO194" s="69">
        <v>3393</v>
      </c>
      <c r="AP194" s="69">
        <v>0.99780000000000002</v>
      </c>
      <c r="AQ194" s="69">
        <v>-186056</v>
      </c>
      <c r="AR194" s="69" t="s">
        <v>46</v>
      </c>
    </row>
    <row r="195" spans="1:44" x14ac:dyDescent="0.3">
      <c r="A195" t="s">
        <v>40</v>
      </c>
      <c r="B195" t="s">
        <v>41</v>
      </c>
      <c r="C195">
        <v>24700</v>
      </c>
      <c r="D195" t="s">
        <v>308</v>
      </c>
      <c r="E195" t="s">
        <v>43</v>
      </c>
      <c r="F195">
        <v>3</v>
      </c>
      <c r="G195" t="s">
        <v>307</v>
      </c>
      <c r="H195" t="s">
        <v>309</v>
      </c>
      <c r="I195">
        <v>25.4</v>
      </c>
      <c r="J195">
        <v>-0.10680000000000001</v>
      </c>
      <c r="K195">
        <v>1.5</v>
      </c>
      <c r="L195">
        <v>-8.6E-3</v>
      </c>
      <c r="M195">
        <v>4660.5</v>
      </c>
      <c r="N195" t="s">
        <v>46</v>
      </c>
      <c r="P195" t="s">
        <v>40</v>
      </c>
      <c r="Q195" t="s">
        <v>41</v>
      </c>
      <c r="R195">
        <v>24650</v>
      </c>
      <c r="S195" s="30">
        <v>46161</v>
      </c>
      <c r="T195" t="s">
        <v>43</v>
      </c>
      <c r="U195">
        <v>3</v>
      </c>
      <c r="V195" s="31">
        <v>46153.635416666657</v>
      </c>
      <c r="W195" s="31">
        <v>46160.635416666657</v>
      </c>
      <c r="X195">
        <v>35.200000000000003</v>
      </c>
      <c r="Y195">
        <v>-0.1139</v>
      </c>
      <c r="Z195">
        <v>1.35</v>
      </c>
      <c r="AA195">
        <v>-9.4999999999999998E-3</v>
      </c>
      <c r="AB195">
        <v>6600.8</v>
      </c>
      <c r="AC195" t="s">
        <v>46</v>
      </c>
      <c r="AE195" s="69" t="s">
        <v>40</v>
      </c>
      <c r="AF195" s="69" t="s">
        <v>51</v>
      </c>
      <c r="AG195" s="69">
        <v>25700</v>
      </c>
      <c r="AH195" s="70">
        <v>46111</v>
      </c>
      <c r="AI195" s="69" t="s">
        <v>54</v>
      </c>
      <c r="AJ195" s="69">
        <v>1</v>
      </c>
      <c r="AK195" s="71">
        <v>46076.635416666657</v>
      </c>
      <c r="AL195" s="71">
        <v>46108.635416666657</v>
      </c>
      <c r="AM195" s="69">
        <v>299</v>
      </c>
      <c r="AN195" s="69">
        <v>-0.41810000000000003</v>
      </c>
      <c r="AO195" s="69">
        <v>2888.8</v>
      </c>
      <c r="AP195" s="69">
        <v>-0.99680000000000002</v>
      </c>
      <c r="AQ195" s="69">
        <v>168337</v>
      </c>
      <c r="AR195" s="69" t="s">
        <v>46</v>
      </c>
    </row>
    <row r="196" spans="1:44" x14ac:dyDescent="0.3">
      <c r="A196" t="s">
        <v>40</v>
      </c>
      <c r="B196" t="s">
        <v>41</v>
      </c>
      <c r="C196">
        <v>24200</v>
      </c>
      <c r="D196" t="s">
        <v>310</v>
      </c>
      <c r="E196" t="s">
        <v>43</v>
      </c>
      <c r="F196">
        <v>3</v>
      </c>
      <c r="G196" t="s">
        <v>309</v>
      </c>
      <c r="H196" t="s">
        <v>311</v>
      </c>
      <c r="I196">
        <v>28.15</v>
      </c>
      <c r="J196">
        <v>-0.1014</v>
      </c>
      <c r="K196">
        <v>1.55</v>
      </c>
      <c r="L196">
        <v>-1.0200000000000001E-2</v>
      </c>
      <c r="M196">
        <v>5187</v>
      </c>
      <c r="N196" t="s">
        <v>46</v>
      </c>
      <c r="P196" t="s">
        <v>40</v>
      </c>
      <c r="Q196" t="s">
        <v>51</v>
      </c>
      <c r="R196">
        <v>24100</v>
      </c>
      <c r="S196" s="30">
        <v>46168</v>
      </c>
      <c r="T196" t="s">
        <v>54</v>
      </c>
      <c r="U196">
        <v>1</v>
      </c>
      <c r="V196" s="31">
        <v>46139.635416666657</v>
      </c>
      <c r="W196" s="31">
        <v>46167.635416666657</v>
      </c>
      <c r="X196">
        <v>418.2</v>
      </c>
      <c r="Y196">
        <v>-0.4511</v>
      </c>
      <c r="Z196">
        <v>112.85</v>
      </c>
      <c r="AA196">
        <v>-0.61729999999999996</v>
      </c>
      <c r="AB196">
        <v>-19847.8</v>
      </c>
      <c r="AC196" t="s">
        <v>46</v>
      </c>
      <c r="AE196" s="69" t="s">
        <v>40</v>
      </c>
      <c r="AF196" s="69" t="s">
        <v>41</v>
      </c>
      <c r="AG196" s="69">
        <v>24150</v>
      </c>
      <c r="AH196" s="70">
        <v>46111</v>
      </c>
      <c r="AI196" s="69" t="s">
        <v>43</v>
      </c>
      <c r="AJ196" s="69">
        <v>3</v>
      </c>
      <c r="AK196" s="71">
        <v>46104.635416666657</v>
      </c>
      <c r="AL196" s="71">
        <v>46108.635416666657</v>
      </c>
      <c r="AM196" s="69">
        <v>20.6</v>
      </c>
      <c r="AN196" s="69">
        <v>-5.2400000000000002E-2</v>
      </c>
      <c r="AO196" s="69">
        <v>6.15</v>
      </c>
      <c r="AP196" s="69">
        <v>-2.52E-2</v>
      </c>
      <c r="AQ196" s="69">
        <v>2817.8</v>
      </c>
      <c r="AR196" s="69" t="s">
        <v>46</v>
      </c>
    </row>
    <row r="197" spans="1:44" x14ac:dyDescent="0.3">
      <c r="A197" t="s">
        <v>40</v>
      </c>
      <c r="B197" t="s">
        <v>41</v>
      </c>
      <c r="C197">
        <v>23950</v>
      </c>
      <c r="D197" t="s">
        <v>312</v>
      </c>
      <c r="E197" t="s">
        <v>43</v>
      </c>
      <c r="F197">
        <v>3</v>
      </c>
      <c r="G197" t="s">
        <v>311</v>
      </c>
      <c r="H197" t="s">
        <v>313</v>
      </c>
      <c r="I197">
        <v>24.7</v>
      </c>
      <c r="J197">
        <v>-9.2399999999999996E-2</v>
      </c>
      <c r="K197">
        <v>53.8</v>
      </c>
      <c r="L197">
        <v>-0.34460000000000002</v>
      </c>
      <c r="M197">
        <v>-5674.5</v>
      </c>
      <c r="N197" t="s">
        <v>46</v>
      </c>
      <c r="P197" t="s">
        <v>40</v>
      </c>
      <c r="Q197" t="s">
        <v>51</v>
      </c>
      <c r="R197">
        <v>25000</v>
      </c>
      <c r="S197" s="30">
        <v>46168</v>
      </c>
      <c r="T197" t="s">
        <v>43</v>
      </c>
      <c r="U197">
        <v>1</v>
      </c>
      <c r="V197" s="31">
        <v>46139.635416666657</v>
      </c>
      <c r="W197" s="31">
        <v>46167.635416666657</v>
      </c>
      <c r="X197">
        <v>911</v>
      </c>
      <c r="Y197">
        <v>0.75170000000000003</v>
      </c>
      <c r="Z197">
        <v>951.3</v>
      </c>
      <c r="AA197">
        <v>0.99070000000000003</v>
      </c>
      <c r="AB197">
        <v>-2619.5</v>
      </c>
      <c r="AC197" t="s">
        <v>46</v>
      </c>
      <c r="AE197" s="69" t="s">
        <v>40</v>
      </c>
      <c r="AF197" s="69" t="s">
        <v>41</v>
      </c>
      <c r="AG197" s="69">
        <v>24150</v>
      </c>
      <c r="AH197" s="70">
        <v>46119</v>
      </c>
      <c r="AI197" s="69" t="s">
        <v>43</v>
      </c>
      <c r="AJ197" s="69">
        <v>3</v>
      </c>
      <c r="AK197" s="71">
        <v>46108.635416666657</v>
      </c>
      <c r="AL197" s="71">
        <v>46118.635416666657</v>
      </c>
      <c r="AM197" s="69">
        <v>56.45</v>
      </c>
      <c r="AN197" s="69">
        <v>-0.115</v>
      </c>
      <c r="AO197" s="69">
        <v>2.2000000000000002</v>
      </c>
      <c r="AP197" s="69">
        <v>-1.26E-2</v>
      </c>
      <c r="AQ197" s="69">
        <v>10578.8</v>
      </c>
      <c r="AR197" s="69" t="s">
        <v>46</v>
      </c>
    </row>
    <row r="198" spans="1:44" x14ac:dyDescent="0.3">
      <c r="A198" t="s">
        <v>40</v>
      </c>
      <c r="B198" t="s">
        <v>41</v>
      </c>
      <c r="C198">
        <v>24550</v>
      </c>
      <c r="D198" t="s">
        <v>314</v>
      </c>
      <c r="E198" t="s">
        <v>43</v>
      </c>
      <c r="F198">
        <v>3</v>
      </c>
      <c r="G198" t="s">
        <v>313</v>
      </c>
      <c r="H198" t="s">
        <v>315</v>
      </c>
      <c r="I198">
        <v>28.25</v>
      </c>
      <c r="J198">
        <v>-0.1111</v>
      </c>
      <c r="K198">
        <v>2.85</v>
      </c>
      <c r="L198">
        <v>-2.2700000000000001E-2</v>
      </c>
      <c r="M198">
        <v>4953</v>
      </c>
      <c r="N198" t="s">
        <v>46</v>
      </c>
      <c r="P198" t="s">
        <v>40</v>
      </c>
      <c r="Q198" t="s">
        <v>41</v>
      </c>
      <c r="R198">
        <v>24400</v>
      </c>
      <c r="S198" s="30">
        <v>46168</v>
      </c>
      <c r="T198" t="s">
        <v>43</v>
      </c>
      <c r="U198">
        <v>3</v>
      </c>
      <c r="V198" s="31">
        <v>46160.635416666657</v>
      </c>
      <c r="W198" s="31">
        <v>46167.635416666657</v>
      </c>
      <c r="X198">
        <v>33.950000000000003</v>
      </c>
      <c r="Y198">
        <v>-0.1168</v>
      </c>
      <c r="Z198">
        <v>8.6</v>
      </c>
      <c r="AA198">
        <v>-7.6100000000000001E-2</v>
      </c>
      <c r="AB198">
        <v>4943.2</v>
      </c>
      <c r="AC198" t="s">
        <v>46</v>
      </c>
      <c r="AE198" s="69" t="s">
        <v>40</v>
      </c>
      <c r="AF198" s="69" t="s">
        <v>41</v>
      </c>
      <c r="AG198" s="69">
        <v>23950</v>
      </c>
      <c r="AH198" s="70">
        <v>46125</v>
      </c>
      <c r="AI198" s="69" t="s">
        <v>43</v>
      </c>
      <c r="AJ198" s="69">
        <v>3</v>
      </c>
      <c r="AK198" s="71">
        <v>46118.635416666657</v>
      </c>
      <c r="AL198" s="71">
        <v>46122.635416666657</v>
      </c>
      <c r="AM198" s="69">
        <v>58.9</v>
      </c>
      <c r="AN198" s="69">
        <v>-0.14030000000000001</v>
      </c>
      <c r="AO198" s="69">
        <v>201.35</v>
      </c>
      <c r="AP198" s="69">
        <v>-0.61899999999999999</v>
      </c>
      <c r="AQ198" s="69">
        <v>-27777.7</v>
      </c>
      <c r="AR198" s="69" t="s">
        <v>46</v>
      </c>
    </row>
    <row r="199" spans="1:44" x14ac:dyDescent="0.3">
      <c r="A199" t="s">
        <v>40</v>
      </c>
      <c r="B199" t="s">
        <v>51</v>
      </c>
      <c r="C199">
        <v>24050</v>
      </c>
      <c r="D199" t="s">
        <v>316</v>
      </c>
      <c r="E199" t="s">
        <v>54</v>
      </c>
      <c r="F199">
        <v>1</v>
      </c>
      <c r="G199" t="s">
        <v>307</v>
      </c>
      <c r="H199" t="s">
        <v>317</v>
      </c>
      <c r="I199">
        <v>400.85</v>
      </c>
      <c r="J199">
        <v>-0.44469999999999998</v>
      </c>
      <c r="K199">
        <v>135.4</v>
      </c>
      <c r="L199">
        <v>-0.747</v>
      </c>
      <c r="M199">
        <v>-17254.3</v>
      </c>
      <c r="N199" t="s">
        <v>318</v>
      </c>
      <c r="P199" t="s">
        <v>40</v>
      </c>
      <c r="Q199" t="s">
        <v>41</v>
      </c>
      <c r="R199">
        <v>24700</v>
      </c>
      <c r="S199" s="30">
        <v>46175</v>
      </c>
      <c r="T199" t="s">
        <v>43</v>
      </c>
      <c r="U199">
        <v>3</v>
      </c>
      <c r="V199" s="31">
        <v>46167.635416666657</v>
      </c>
      <c r="W199" s="31">
        <v>46174.635416666657</v>
      </c>
      <c r="X199">
        <v>25.4</v>
      </c>
      <c r="Y199">
        <v>-0.10680000000000001</v>
      </c>
      <c r="Z199">
        <v>1.5</v>
      </c>
      <c r="AA199">
        <v>-8.6E-3</v>
      </c>
      <c r="AB199">
        <v>4660.5</v>
      </c>
      <c r="AC199" t="s">
        <v>46</v>
      </c>
      <c r="AE199" s="69" t="s">
        <v>40</v>
      </c>
      <c r="AF199" s="69" t="s">
        <v>41</v>
      </c>
      <c r="AG199" s="69">
        <v>24750</v>
      </c>
      <c r="AH199" s="70">
        <v>46133</v>
      </c>
      <c r="AI199" s="69" t="s">
        <v>43</v>
      </c>
      <c r="AJ199" s="69">
        <v>3</v>
      </c>
      <c r="AK199" s="71">
        <v>46122.635416666657</v>
      </c>
      <c r="AL199" s="71">
        <v>46132.635416666657</v>
      </c>
      <c r="AM199" s="69">
        <v>55.75</v>
      </c>
      <c r="AN199" s="69">
        <v>-0.16389999999999999</v>
      </c>
      <c r="AO199" s="69">
        <v>17.350000000000001</v>
      </c>
      <c r="AP199" s="69">
        <v>-0.11609999999999999</v>
      </c>
      <c r="AQ199" s="69">
        <v>7488</v>
      </c>
      <c r="AR199" s="69" t="s">
        <v>46</v>
      </c>
    </row>
    <row r="200" spans="1:44" x14ac:dyDescent="0.3">
      <c r="A200" t="s">
        <v>40</v>
      </c>
      <c r="B200" t="s">
        <v>51</v>
      </c>
      <c r="C200">
        <v>25000</v>
      </c>
      <c r="D200" t="s">
        <v>316</v>
      </c>
      <c r="E200" t="s">
        <v>43</v>
      </c>
      <c r="F200">
        <v>1</v>
      </c>
      <c r="G200" t="s">
        <v>307</v>
      </c>
      <c r="H200" t="s">
        <v>317</v>
      </c>
      <c r="I200">
        <v>981.95</v>
      </c>
      <c r="J200">
        <v>0.79520000000000002</v>
      </c>
      <c r="K200">
        <v>1049.8499999999999</v>
      </c>
      <c r="L200">
        <v>0.99150000000000005</v>
      </c>
      <c r="M200">
        <v>-4413.5</v>
      </c>
      <c r="N200" t="s">
        <v>318</v>
      </c>
      <c r="P200" t="s">
        <v>40</v>
      </c>
      <c r="Q200" t="s">
        <v>41</v>
      </c>
      <c r="R200">
        <v>24200</v>
      </c>
      <c r="S200" s="30">
        <v>46182</v>
      </c>
      <c r="T200" t="s">
        <v>43</v>
      </c>
      <c r="U200">
        <v>3</v>
      </c>
      <c r="V200" s="31">
        <v>46174.635416666657</v>
      </c>
      <c r="W200" s="31">
        <v>46181.635416666657</v>
      </c>
      <c r="X200">
        <v>28.15</v>
      </c>
      <c r="Y200">
        <v>-0.1014</v>
      </c>
      <c r="Z200">
        <v>1.55</v>
      </c>
      <c r="AA200">
        <v>-1.0200000000000001E-2</v>
      </c>
      <c r="AB200">
        <v>5187</v>
      </c>
      <c r="AC200" t="s">
        <v>46</v>
      </c>
      <c r="AE200" s="69" t="s">
        <v>40</v>
      </c>
      <c r="AF200" s="69" t="s">
        <v>51</v>
      </c>
      <c r="AG200" s="69">
        <v>24500</v>
      </c>
      <c r="AH200" s="70">
        <v>46140</v>
      </c>
      <c r="AI200" s="69" t="s">
        <v>43</v>
      </c>
      <c r="AJ200" s="69">
        <v>1</v>
      </c>
      <c r="AK200" s="71">
        <v>46108.635416666657</v>
      </c>
      <c r="AL200" s="71">
        <v>46133.635416666657</v>
      </c>
      <c r="AM200" s="69">
        <v>1699</v>
      </c>
      <c r="AN200" s="69">
        <v>0.82689999999999997</v>
      </c>
      <c r="AO200" s="69">
        <v>206.35</v>
      </c>
      <c r="AP200" s="69">
        <v>0.42670000000000002</v>
      </c>
      <c r="AQ200" s="69">
        <v>97022.2</v>
      </c>
      <c r="AR200" s="69" t="s">
        <v>63</v>
      </c>
    </row>
    <row r="201" spans="1:44" x14ac:dyDescent="0.3">
      <c r="A201" t="s">
        <v>40</v>
      </c>
      <c r="B201" t="s">
        <v>41</v>
      </c>
      <c r="C201">
        <v>24600</v>
      </c>
      <c r="D201" t="s">
        <v>316</v>
      </c>
      <c r="E201" t="s">
        <v>43</v>
      </c>
      <c r="F201">
        <v>3</v>
      </c>
      <c r="G201" t="s">
        <v>315</v>
      </c>
      <c r="H201" t="s">
        <v>317</v>
      </c>
      <c r="I201">
        <v>25.4</v>
      </c>
      <c r="J201">
        <v>-0.1002</v>
      </c>
      <c r="K201">
        <v>2.15</v>
      </c>
      <c r="L201">
        <v>-1.7399999999999999E-2</v>
      </c>
      <c r="M201">
        <v>4533.8</v>
      </c>
      <c r="N201" t="s">
        <v>318</v>
      </c>
      <c r="P201" t="s">
        <v>40</v>
      </c>
      <c r="Q201" t="s">
        <v>41</v>
      </c>
      <c r="R201">
        <v>23950</v>
      </c>
      <c r="S201" s="30">
        <v>46189</v>
      </c>
      <c r="T201" t="s">
        <v>43</v>
      </c>
      <c r="U201">
        <v>3</v>
      </c>
      <c r="V201" s="31">
        <v>46181.635416666657</v>
      </c>
      <c r="W201" s="31">
        <v>46188.635416666657</v>
      </c>
      <c r="X201">
        <v>24.7</v>
      </c>
      <c r="Y201">
        <v>-9.2399999999999996E-2</v>
      </c>
      <c r="Z201">
        <v>53.8</v>
      </c>
      <c r="AA201">
        <v>-0.34460000000000002</v>
      </c>
      <c r="AB201">
        <v>-5674.5</v>
      </c>
      <c r="AC201" t="s">
        <v>46</v>
      </c>
      <c r="AE201" s="69" t="s">
        <v>40</v>
      </c>
      <c r="AF201" s="69" t="s">
        <v>51</v>
      </c>
      <c r="AG201" s="69">
        <v>22800</v>
      </c>
      <c r="AH201" s="70">
        <v>46140</v>
      </c>
      <c r="AI201" s="69" t="s">
        <v>54</v>
      </c>
      <c r="AJ201" s="69">
        <v>1</v>
      </c>
      <c r="AK201" s="71">
        <v>46108.635416666657</v>
      </c>
      <c r="AL201" s="71">
        <v>46133.635416666657</v>
      </c>
      <c r="AM201" s="69">
        <v>692.95</v>
      </c>
      <c r="AN201" s="69">
        <v>-0.45369999999999999</v>
      </c>
      <c r="AO201" s="69">
        <v>7.25</v>
      </c>
      <c r="AP201" s="69">
        <v>-2.0799999999999999E-2</v>
      </c>
      <c r="AQ201" s="69">
        <v>-44570.5</v>
      </c>
      <c r="AR201" s="69" t="s">
        <v>63</v>
      </c>
    </row>
    <row r="202" spans="1:44" x14ac:dyDescent="0.3">
      <c r="P202" t="s">
        <v>40</v>
      </c>
      <c r="Q202" t="s">
        <v>41</v>
      </c>
      <c r="R202">
        <v>24550</v>
      </c>
      <c r="S202" s="30">
        <v>46196</v>
      </c>
      <c r="T202" t="s">
        <v>43</v>
      </c>
      <c r="U202">
        <v>3</v>
      </c>
      <c r="V202" s="31">
        <v>46188.635416666657</v>
      </c>
      <c r="W202" s="31">
        <v>46195.635416666657</v>
      </c>
      <c r="X202">
        <v>28.25</v>
      </c>
      <c r="Y202">
        <v>-0.1111</v>
      </c>
      <c r="Z202">
        <v>2.85</v>
      </c>
      <c r="AA202">
        <v>-3.15E-2</v>
      </c>
      <c r="AB202">
        <v>4953</v>
      </c>
      <c r="AC202" t="s">
        <v>46</v>
      </c>
      <c r="AE202" s="69" t="s">
        <v>40</v>
      </c>
      <c r="AF202" s="69" t="s">
        <v>51</v>
      </c>
      <c r="AG202" s="69">
        <v>25500</v>
      </c>
      <c r="AH202" s="70">
        <v>46140</v>
      </c>
      <c r="AI202" s="69" t="s">
        <v>43</v>
      </c>
      <c r="AJ202" s="69">
        <v>1</v>
      </c>
      <c r="AK202" s="71">
        <v>46133.635416666657</v>
      </c>
      <c r="AL202" s="71">
        <v>46139.635416666657</v>
      </c>
      <c r="AM202" s="69">
        <v>923.8</v>
      </c>
      <c r="AN202" s="69">
        <v>0.95279999999999998</v>
      </c>
      <c r="AO202" s="69">
        <v>1374.95</v>
      </c>
      <c r="AP202" s="69">
        <v>0.99509999999999998</v>
      </c>
      <c r="AQ202" s="69">
        <v>-29324.799999999999</v>
      </c>
      <c r="AR202" s="69" t="s">
        <v>46</v>
      </c>
    </row>
    <row r="203" spans="1:44" x14ac:dyDescent="0.3">
      <c r="P203" t="s">
        <v>40</v>
      </c>
      <c r="Q203" t="s">
        <v>51</v>
      </c>
      <c r="R203">
        <v>24050</v>
      </c>
      <c r="S203" s="30">
        <v>46203</v>
      </c>
      <c r="T203" t="s">
        <v>54</v>
      </c>
      <c r="U203">
        <v>1</v>
      </c>
      <c r="V203" s="31">
        <v>46167.635416666657</v>
      </c>
      <c r="W203" s="31">
        <v>46202.635416666657</v>
      </c>
      <c r="X203">
        <v>400.85</v>
      </c>
      <c r="Y203">
        <v>-0.44469999999999998</v>
      </c>
      <c r="Z203">
        <v>135.4</v>
      </c>
      <c r="AA203">
        <v>-0.69369999999999998</v>
      </c>
      <c r="AB203">
        <v>-17254.3</v>
      </c>
      <c r="AC203" t="s">
        <v>318</v>
      </c>
      <c r="AE203" s="69" t="s">
        <v>40</v>
      </c>
      <c r="AF203" s="69" t="s">
        <v>51</v>
      </c>
      <c r="AG203" s="69">
        <v>24600</v>
      </c>
      <c r="AH203" s="70">
        <v>46140</v>
      </c>
      <c r="AI203" s="69" t="s">
        <v>54</v>
      </c>
      <c r="AJ203" s="69">
        <v>1</v>
      </c>
      <c r="AK203" s="71">
        <v>46133.635416666657</v>
      </c>
      <c r="AL203" s="71">
        <v>46139.635416666657</v>
      </c>
      <c r="AM203" s="69">
        <v>249.45</v>
      </c>
      <c r="AN203" s="69">
        <v>-0.48820000000000002</v>
      </c>
      <c r="AO203" s="69">
        <v>476.75</v>
      </c>
      <c r="AP203" s="69">
        <v>-0.94850000000000001</v>
      </c>
      <c r="AQ203" s="69">
        <v>14774.5</v>
      </c>
      <c r="AR203" s="69" t="s">
        <v>46</v>
      </c>
    </row>
    <row r="204" spans="1:44" x14ac:dyDescent="0.3">
      <c r="P204" t="s">
        <v>40</v>
      </c>
      <c r="Q204" t="s">
        <v>51</v>
      </c>
      <c r="R204">
        <v>25000</v>
      </c>
      <c r="S204" s="30">
        <v>46203</v>
      </c>
      <c r="T204" t="s">
        <v>43</v>
      </c>
      <c r="U204">
        <v>1</v>
      </c>
      <c r="V204" s="31">
        <v>46167.635416666657</v>
      </c>
      <c r="W204" s="31">
        <v>46202.635416666657</v>
      </c>
      <c r="X204">
        <v>981.95</v>
      </c>
      <c r="Y204">
        <v>0.79520000000000002</v>
      </c>
      <c r="Z204">
        <v>1049.8499999999999</v>
      </c>
      <c r="AA204">
        <v>0.99099999999999999</v>
      </c>
      <c r="AB204">
        <v>-4413.5</v>
      </c>
      <c r="AC204" t="s">
        <v>318</v>
      </c>
      <c r="AE204" s="69" t="s">
        <v>40</v>
      </c>
      <c r="AF204" s="69" t="s">
        <v>41</v>
      </c>
      <c r="AG204" s="69">
        <v>25000</v>
      </c>
      <c r="AH204" s="70">
        <v>46140</v>
      </c>
      <c r="AI204" s="69" t="s">
        <v>43</v>
      </c>
      <c r="AJ204" s="69">
        <v>3</v>
      </c>
      <c r="AK204" s="71">
        <v>46132.635416666657</v>
      </c>
      <c r="AL204" s="71">
        <v>46139.635416666657</v>
      </c>
      <c r="AM204" s="69">
        <v>60.7</v>
      </c>
      <c r="AN204" s="69">
        <v>-0.18</v>
      </c>
      <c r="AO204" s="69">
        <v>1.45</v>
      </c>
      <c r="AP204" s="69">
        <v>-1.0999999999999999E-2</v>
      </c>
      <c r="AQ204" s="69">
        <v>11553.8</v>
      </c>
      <c r="AR204" s="69" t="s">
        <v>46</v>
      </c>
    </row>
    <row r="205" spans="1:44" x14ac:dyDescent="0.3">
      <c r="P205" t="s">
        <v>40</v>
      </c>
      <c r="Q205" t="s">
        <v>41</v>
      </c>
      <c r="R205">
        <v>24600</v>
      </c>
      <c r="S205" s="30">
        <v>46203</v>
      </c>
      <c r="T205" t="s">
        <v>43</v>
      </c>
      <c r="U205">
        <v>3</v>
      </c>
      <c r="V205" s="31">
        <v>46195.635416666657</v>
      </c>
      <c r="W205" s="31">
        <v>46202.635416666657</v>
      </c>
      <c r="X205">
        <v>25.4</v>
      </c>
      <c r="Y205">
        <v>-0.12889999999999999</v>
      </c>
      <c r="Z205">
        <v>2.15</v>
      </c>
      <c r="AA205">
        <v>-1.9E-2</v>
      </c>
      <c r="AB205">
        <v>4533.8</v>
      </c>
      <c r="AC205" t="s">
        <v>318</v>
      </c>
      <c r="AE205" s="69" t="s">
        <v>40</v>
      </c>
      <c r="AF205" s="69" t="s">
        <v>41</v>
      </c>
      <c r="AG205" s="69">
        <v>24900</v>
      </c>
      <c r="AH205" s="70">
        <v>46147</v>
      </c>
      <c r="AI205" s="69" t="s">
        <v>43</v>
      </c>
      <c r="AJ205" s="69">
        <v>3</v>
      </c>
      <c r="AK205" s="71">
        <v>46139.635416666657</v>
      </c>
      <c r="AL205" s="71">
        <v>46146.635416666657</v>
      </c>
      <c r="AM205" s="69">
        <v>32.1</v>
      </c>
      <c r="AN205" s="69">
        <v>-0.10970000000000001</v>
      </c>
      <c r="AO205" s="69">
        <v>3.1</v>
      </c>
      <c r="AP205" s="69">
        <v>-2.24E-2</v>
      </c>
      <c r="AQ205" s="69">
        <v>5655</v>
      </c>
      <c r="AR205" s="69" t="s">
        <v>46</v>
      </c>
    </row>
    <row r="206" spans="1:44" x14ac:dyDescent="0.3">
      <c r="AE206" s="69" t="s">
        <v>40</v>
      </c>
      <c r="AF206" s="69" t="s">
        <v>41</v>
      </c>
      <c r="AG206" s="69">
        <v>24950</v>
      </c>
      <c r="AH206" s="70">
        <v>46154</v>
      </c>
      <c r="AI206" s="69" t="s">
        <v>43</v>
      </c>
      <c r="AJ206" s="69">
        <v>3</v>
      </c>
      <c r="AK206" s="71">
        <v>46146.635416666657</v>
      </c>
      <c r="AL206" s="71">
        <v>46153.635416666657</v>
      </c>
      <c r="AM206" s="69">
        <v>35</v>
      </c>
      <c r="AN206" s="69">
        <v>-0.11459999999999999</v>
      </c>
      <c r="AO206" s="69">
        <v>1.8</v>
      </c>
      <c r="AP206" s="69">
        <v>-1.0999999999999999E-2</v>
      </c>
      <c r="AQ206" s="69">
        <v>6474</v>
      </c>
      <c r="AR206" s="69" t="s">
        <v>46</v>
      </c>
    </row>
    <row r="207" spans="1:44" x14ac:dyDescent="0.3">
      <c r="AE207" s="69" t="s">
        <v>40</v>
      </c>
      <c r="AF207" s="69" t="s">
        <v>41</v>
      </c>
      <c r="AG207" s="69">
        <v>24650</v>
      </c>
      <c r="AH207" s="70">
        <v>46161</v>
      </c>
      <c r="AI207" s="69" t="s">
        <v>43</v>
      </c>
      <c r="AJ207" s="69">
        <v>3</v>
      </c>
      <c r="AK207" s="71">
        <v>46153.635416666657</v>
      </c>
      <c r="AL207" s="71">
        <v>46160.635416666657</v>
      </c>
      <c r="AM207" s="69">
        <v>35.200000000000003</v>
      </c>
      <c r="AN207" s="69">
        <v>-0.1139</v>
      </c>
      <c r="AO207" s="69">
        <v>1.35</v>
      </c>
      <c r="AP207" s="69">
        <v>-9.4999999999999998E-3</v>
      </c>
      <c r="AQ207" s="69">
        <v>6600.8</v>
      </c>
      <c r="AR207" s="69" t="s">
        <v>46</v>
      </c>
    </row>
    <row r="208" spans="1:44" x14ac:dyDescent="0.3">
      <c r="AE208" s="69" t="s">
        <v>40</v>
      </c>
      <c r="AF208" s="69" t="s">
        <v>51</v>
      </c>
      <c r="AG208" s="69">
        <v>25000</v>
      </c>
      <c r="AH208" s="70">
        <v>46168</v>
      </c>
      <c r="AI208" s="69" t="s">
        <v>43</v>
      </c>
      <c r="AJ208" s="69">
        <v>1</v>
      </c>
      <c r="AK208" s="71">
        <v>46139.635416666657</v>
      </c>
      <c r="AL208" s="71">
        <v>46167.635416666657</v>
      </c>
      <c r="AM208" s="69">
        <v>911</v>
      </c>
      <c r="AN208" s="69">
        <v>0.75170000000000003</v>
      </c>
      <c r="AO208" s="69">
        <v>951.3</v>
      </c>
      <c r="AP208" s="69">
        <v>0.99070000000000003</v>
      </c>
      <c r="AQ208" s="69">
        <v>-2619.5</v>
      </c>
      <c r="AR208" s="69" t="s">
        <v>46</v>
      </c>
    </row>
    <row r="209" spans="31:44" x14ac:dyDescent="0.3">
      <c r="AE209" s="69" t="s">
        <v>40</v>
      </c>
      <c r="AF209" s="69" t="s">
        <v>51</v>
      </c>
      <c r="AG209" s="69">
        <v>24100</v>
      </c>
      <c r="AH209" s="70">
        <v>46168</v>
      </c>
      <c r="AI209" s="69" t="s">
        <v>54</v>
      </c>
      <c r="AJ209" s="69">
        <v>1</v>
      </c>
      <c r="AK209" s="71">
        <v>46139.635416666657</v>
      </c>
      <c r="AL209" s="71">
        <v>46167.635416666657</v>
      </c>
      <c r="AM209" s="69">
        <v>418.2</v>
      </c>
      <c r="AN209" s="69">
        <v>-0.4511</v>
      </c>
      <c r="AO209" s="69">
        <v>112.85</v>
      </c>
      <c r="AP209" s="69">
        <v>-0.61729999999999996</v>
      </c>
      <c r="AQ209" s="69">
        <v>-19847.8</v>
      </c>
      <c r="AR209" s="69" t="s">
        <v>46</v>
      </c>
    </row>
    <row r="210" spans="31:44" x14ac:dyDescent="0.3">
      <c r="AE210" s="69" t="s">
        <v>40</v>
      </c>
      <c r="AF210" s="69" t="s">
        <v>41</v>
      </c>
      <c r="AG210" s="69">
        <v>24400</v>
      </c>
      <c r="AH210" s="70">
        <v>46168</v>
      </c>
      <c r="AI210" s="69" t="s">
        <v>43</v>
      </c>
      <c r="AJ210" s="69">
        <v>3</v>
      </c>
      <c r="AK210" s="71">
        <v>46160.635416666657</v>
      </c>
      <c r="AL210" s="71">
        <v>46167.635416666657</v>
      </c>
      <c r="AM210" s="69">
        <v>33.950000000000003</v>
      </c>
      <c r="AN210" s="69">
        <v>-0.1168</v>
      </c>
      <c r="AO210" s="69">
        <v>8.6</v>
      </c>
      <c r="AP210" s="69">
        <v>-7.6100000000000001E-2</v>
      </c>
      <c r="AQ210" s="69">
        <v>4943.2</v>
      </c>
      <c r="AR210" s="69" t="s">
        <v>46</v>
      </c>
    </row>
    <row r="211" spans="31:44" x14ac:dyDescent="0.3">
      <c r="AE211" s="69" t="s">
        <v>40</v>
      </c>
      <c r="AF211" s="69" t="s">
        <v>41</v>
      </c>
      <c r="AG211" s="69">
        <v>24700</v>
      </c>
      <c r="AH211" s="70">
        <v>46175</v>
      </c>
      <c r="AI211" s="69" t="s">
        <v>43</v>
      </c>
      <c r="AJ211" s="69">
        <v>3</v>
      </c>
      <c r="AK211" s="71">
        <v>46167.635416666657</v>
      </c>
      <c r="AL211" s="71">
        <v>46174.635416666657</v>
      </c>
      <c r="AM211" s="69">
        <v>25.4</v>
      </c>
      <c r="AN211" s="69">
        <v>-0.10680000000000001</v>
      </c>
      <c r="AO211" s="69">
        <v>1.5</v>
      </c>
      <c r="AP211" s="69">
        <v>-8.6E-3</v>
      </c>
      <c r="AQ211" s="69">
        <v>4660.5</v>
      </c>
      <c r="AR211" s="69" t="s">
        <v>46</v>
      </c>
    </row>
    <row r="212" spans="31:44" x14ac:dyDescent="0.3">
      <c r="AE212" s="69" t="s">
        <v>40</v>
      </c>
      <c r="AF212" s="69" t="s">
        <v>41</v>
      </c>
      <c r="AG212" s="69">
        <v>24200</v>
      </c>
      <c r="AH212" s="70">
        <v>46182</v>
      </c>
      <c r="AI212" s="69" t="s">
        <v>43</v>
      </c>
      <c r="AJ212" s="69">
        <v>3</v>
      </c>
      <c r="AK212" s="71">
        <v>46174.635416666657</v>
      </c>
      <c r="AL212" s="71">
        <v>46181.635416666657</v>
      </c>
      <c r="AM212" s="69">
        <v>28.15</v>
      </c>
      <c r="AN212" s="69">
        <v>-0.1014</v>
      </c>
      <c r="AO212" s="69">
        <v>1.55</v>
      </c>
      <c r="AP212" s="69">
        <v>-1.0200000000000001E-2</v>
      </c>
      <c r="AQ212" s="69">
        <v>5187</v>
      </c>
      <c r="AR212" s="69" t="s">
        <v>46</v>
      </c>
    </row>
    <row r="213" spans="31:44" x14ac:dyDescent="0.3">
      <c r="AE213" s="69" t="s">
        <v>40</v>
      </c>
      <c r="AF213" s="69" t="s">
        <v>41</v>
      </c>
      <c r="AG213" s="69">
        <v>23950</v>
      </c>
      <c r="AH213" s="70">
        <v>46189</v>
      </c>
      <c r="AI213" s="69" t="s">
        <v>43</v>
      </c>
      <c r="AJ213" s="69">
        <v>3</v>
      </c>
      <c r="AK213" s="71">
        <v>46181.635416666657</v>
      </c>
      <c r="AL213" s="71">
        <v>46188.635416666657</v>
      </c>
      <c r="AM213" s="69">
        <v>24.7</v>
      </c>
      <c r="AN213" s="69">
        <v>-9.2399999999999996E-2</v>
      </c>
      <c r="AO213" s="69">
        <v>53.8</v>
      </c>
      <c r="AP213" s="69">
        <v>-0.34460000000000002</v>
      </c>
      <c r="AQ213" s="69">
        <v>-5674.5</v>
      </c>
      <c r="AR213" s="69" t="s">
        <v>46</v>
      </c>
    </row>
    <row r="214" spans="31:44" x14ac:dyDescent="0.3">
      <c r="AE214" s="69" t="s">
        <v>40</v>
      </c>
      <c r="AF214" s="69" t="s">
        <v>41</v>
      </c>
      <c r="AG214" s="69">
        <v>24550</v>
      </c>
      <c r="AH214" s="70">
        <v>46196</v>
      </c>
      <c r="AI214" s="69" t="s">
        <v>43</v>
      </c>
      <c r="AJ214" s="69">
        <v>3</v>
      </c>
      <c r="AK214" s="71">
        <v>46188.635416666657</v>
      </c>
      <c r="AL214" s="71">
        <v>46195.635416666657</v>
      </c>
      <c r="AM214" s="69">
        <v>28.25</v>
      </c>
      <c r="AN214" s="69">
        <v>-0.1111</v>
      </c>
      <c r="AO214" s="69">
        <v>2.85</v>
      </c>
      <c r="AP214" s="69">
        <v>-3.15E-2</v>
      </c>
      <c r="AQ214" s="69">
        <v>4953</v>
      </c>
      <c r="AR214" s="69" t="s">
        <v>46</v>
      </c>
    </row>
    <row r="215" spans="31:44" x14ac:dyDescent="0.3">
      <c r="AE215" s="69" t="s">
        <v>40</v>
      </c>
      <c r="AF215" s="69" t="s">
        <v>51</v>
      </c>
      <c r="AG215" s="69">
        <v>25000</v>
      </c>
      <c r="AH215" s="70">
        <v>46203</v>
      </c>
      <c r="AI215" s="69" t="s">
        <v>43</v>
      </c>
      <c r="AJ215" s="69">
        <v>1</v>
      </c>
      <c r="AK215" s="71">
        <v>46167.635416666657</v>
      </c>
      <c r="AL215" s="71">
        <v>46202.635416666657</v>
      </c>
      <c r="AM215" s="69">
        <v>981.95</v>
      </c>
      <c r="AN215" s="69">
        <v>0.79520000000000002</v>
      </c>
      <c r="AO215" s="69">
        <v>1049.8499999999999</v>
      </c>
      <c r="AP215" s="69">
        <v>0.99099999999999999</v>
      </c>
      <c r="AQ215" s="69">
        <v>-4413.5</v>
      </c>
      <c r="AR215" s="69" t="s">
        <v>318</v>
      </c>
    </row>
    <row r="216" spans="31:44" x14ac:dyDescent="0.3">
      <c r="AE216" s="69" t="s">
        <v>40</v>
      </c>
      <c r="AF216" s="69" t="s">
        <v>51</v>
      </c>
      <c r="AG216" s="69">
        <v>24050</v>
      </c>
      <c r="AH216" s="70">
        <v>46203</v>
      </c>
      <c r="AI216" s="69" t="s">
        <v>54</v>
      </c>
      <c r="AJ216" s="69">
        <v>1</v>
      </c>
      <c r="AK216" s="71">
        <v>46167.635416666657</v>
      </c>
      <c r="AL216" s="71">
        <v>46202.635416666657</v>
      </c>
      <c r="AM216" s="69">
        <v>400.85</v>
      </c>
      <c r="AN216" s="69">
        <v>-0.44469999999999998</v>
      </c>
      <c r="AO216" s="69">
        <v>135.4</v>
      </c>
      <c r="AP216" s="69">
        <v>-0.69369999999999998</v>
      </c>
      <c r="AQ216" s="69">
        <v>-17254.3</v>
      </c>
      <c r="AR216" s="69" t="s">
        <v>318</v>
      </c>
    </row>
    <row r="217" spans="31:44" x14ac:dyDescent="0.3">
      <c r="AE217" s="69" t="s">
        <v>40</v>
      </c>
      <c r="AF217" s="69" t="s">
        <v>41</v>
      </c>
      <c r="AG217" s="69">
        <v>24600</v>
      </c>
      <c r="AH217" s="70">
        <v>46203</v>
      </c>
      <c r="AI217" s="69" t="s">
        <v>43</v>
      </c>
      <c r="AJ217" s="69">
        <v>3</v>
      </c>
      <c r="AK217" s="71">
        <v>46195.635416666657</v>
      </c>
      <c r="AL217" s="71">
        <v>46202.635416666657</v>
      </c>
      <c r="AM217" s="69">
        <v>25.4</v>
      </c>
      <c r="AN217" s="69">
        <v>-0.12889999999999999</v>
      </c>
      <c r="AO217" s="69">
        <v>2.15</v>
      </c>
      <c r="AP217" s="69">
        <v>-1.9E-2</v>
      </c>
      <c r="AQ217" s="69">
        <v>4533.8</v>
      </c>
      <c r="AR217" s="69" t="s">
        <v>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217"/>
  <sheetViews>
    <sheetView topLeftCell="M1" workbookViewId="0">
      <selection activeCell="AA2" sqref="AA2"/>
    </sheetView>
  </sheetViews>
  <sheetFormatPr defaultRowHeight="14.4" x14ac:dyDescent="0.3"/>
  <cols>
    <col min="1" max="1" width="6" bestFit="1" customWidth="1"/>
    <col min="2" max="2" width="5.33203125" bestFit="1" customWidth="1"/>
    <col min="3" max="3" width="6.109375" bestFit="1" customWidth="1"/>
    <col min="4" max="4" width="10.44140625" bestFit="1" customWidth="1"/>
    <col min="6" max="6" width="4.5546875" bestFit="1" customWidth="1"/>
    <col min="7" max="8" width="15.5546875" bestFit="1" customWidth="1"/>
    <col min="9" max="9" width="10.44140625" bestFit="1" customWidth="1"/>
    <col min="10" max="10" width="10.6640625" bestFit="1" customWidth="1"/>
    <col min="12" max="12" width="9.44140625" bestFit="1" customWidth="1"/>
    <col min="13" max="13" width="9.6640625" bestFit="1" customWidth="1"/>
    <col min="14" max="14" width="20.33203125" bestFit="1" customWidth="1"/>
    <col min="16" max="16" width="6" bestFit="1" customWidth="1"/>
    <col min="17" max="17" width="5.33203125" bestFit="1" customWidth="1"/>
    <col min="18" max="18" width="6.109375" bestFit="1" customWidth="1"/>
    <col min="19" max="19" width="10.44140625" bestFit="1" customWidth="1"/>
    <col min="21" max="21" width="4.5546875" bestFit="1" customWidth="1"/>
    <col min="22" max="23" width="15.5546875" bestFit="1" customWidth="1"/>
    <col min="24" max="24" width="10.44140625" bestFit="1" customWidth="1"/>
    <col min="25" max="25" width="10.6640625" bestFit="1" customWidth="1"/>
    <col min="27" max="27" width="9.44140625" bestFit="1" customWidth="1"/>
    <col min="28" max="28" width="8.6640625" bestFit="1" customWidth="1"/>
    <col min="29" max="29" width="20.33203125" bestFit="1" customWidth="1"/>
    <col min="34" max="34" width="10.44140625" bestFit="1" customWidth="1"/>
    <col min="37" max="37" width="15.5546875" bestFit="1" customWidth="1"/>
    <col min="38" max="38" width="15.44140625" bestFit="1" customWidth="1"/>
    <col min="44" max="44" width="20.33203125" bestFit="1" customWidth="1"/>
  </cols>
  <sheetData>
    <row r="1" spans="1:44" ht="21" x14ac:dyDescent="0.4">
      <c r="A1" s="32" t="s">
        <v>416</v>
      </c>
      <c r="P1" s="32" t="s">
        <v>417</v>
      </c>
      <c r="AE1" s="32" t="s">
        <v>426</v>
      </c>
    </row>
    <row r="2" spans="1:44" x14ac:dyDescent="0.3">
      <c r="A2" s="29" t="s">
        <v>26</v>
      </c>
      <c r="B2" s="29" t="s">
        <v>27</v>
      </c>
      <c r="C2" s="29" t="s">
        <v>28</v>
      </c>
      <c r="D2" s="29" t="s">
        <v>29</v>
      </c>
      <c r="E2" s="29" t="s">
        <v>30</v>
      </c>
      <c r="F2" s="29" t="s">
        <v>31</v>
      </c>
      <c r="G2" s="29" t="s">
        <v>32</v>
      </c>
      <c r="H2" s="29" t="s">
        <v>33</v>
      </c>
      <c r="I2" s="29" t="s">
        <v>34</v>
      </c>
      <c r="J2" s="29" t="s">
        <v>35</v>
      </c>
      <c r="K2" s="29" t="s">
        <v>36</v>
      </c>
      <c r="L2" s="29" t="s">
        <v>37</v>
      </c>
      <c r="M2" s="29" t="s">
        <v>38</v>
      </c>
      <c r="N2" s="29" t="s">
        <v>39</v>
      </c>
      <c r="P2" s="2" t="s">
        <v>26</v>
      </c>
      <c r="Q2" s="2" t="s">
        <v>27</v>
      </c>
      <c r="R2" s="2" t="s">
        <v>28</v>
      </c>
      <c r="S2" s="2" t="s">
        <v>29</v>
      </c>
      <c r="T2" s="2" t="s">
        <v>30</v>
      </c>
      <c r="U2" s="2" t="s">
        <v>31</v>
      </c>
      <c r="V2" s="2" t="s">
        <v>32</v>
      </c>
      <c r="W2" s="2" t="s">
        <v>33</v>
      </c>
      <c r="X2" s="2" t="s">
        <v>34</v>
      </c>
      <c r="Y2" s="2" t="s">
        <v>35</v>
      </c>
      <c r="Z2" s="2" t="s">
        <v>36</v>
      </c>
      <c r="AA2" s="2" t="s">
        <v>37</v>
      </c>
      <c r="AB2" s="2" t="s">
        <v>38</v>
      </c>
      <c r="AC2" s="2" t="s">
        <v>39</v>
      </c>
      <c r="AE2" s="2" t="s">
        <v>26</v>
      </c>
      <c r="AF2" s="2" t="s">
        <v>27</v>
      </c>
      <c r="AG2" s="2" t="s">
        <v>28</v>
      </c>
      <c r="AH2" s="2" t="s">
        <v>29</v>
      </c>
      <c r="AI2" s="2" t="s">
        <v>30</v>
      </c>
      <c r="AJ2" s="2" t="s">
        <v>31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</row>
    <row r="3" spans="1:44" x14ac:dyDescent="0.3">
      <c r="A3" t="s">
        <v>40</v>
      </c>
      <c r="B3" t="s">
        <v>41</v>
      </c>
      <c r="C3">
        <v>22150</v>
      </c>
      <c r="D3" s="30">
        <v>45295</v>
      </c>
      <c r="E3" t="s">
        <v>43</v>
      </c>
      <c r="F3">
        <v>5</v>
      </c>
      <c r="G3" s="31">
        <v>45292.635416666657</v>
      </c>
      <c r="H3" s="31">
        <v>45294.635416666657</v>
      </c>
      <c r="I3">
        <v>11.8</v>
      </c>
      <c r="J3">
        <v>-8.7300000000000003E-2</v>
      </c>
      <c r="K3">
        <v>1</v>
      </c>
      <c r="L3">
        <v>-1.0800000000000001E-2</v>
      </c>
      <c r="M3">
        <v>3510</v>
      </c>
      <c r="N3" t="s">
        <v>46</v>
      </c>
      <c r="P3" t="s">
        <v>40</v>
      </c>
      <c r="Q3" t="s">
        <v>41</v>
      </c>
      <c r="R3">
        <v>22150</v>
      </c>
      <c r="S3" s="30">
        <v>45295</v>
      </c>
      <c r="T3" t="s">
        <v>43</v>
      </c>
      <c r="U3">
        <v>5</v>
      </c>
      <c r="V3" s="31">
        <v>45292.635416666657</v>
      </c>
      <c r="W3" s="31">
        <v>45294.635416666657</v>
      </c>
      <c r="X3">
        <v>11.8</v>
      </c>
      <c r="Y3">
        <v>-8.7300000000000003E-2</v>
      </c>
      <c r="Z3">
        <v>1</v>
      </c>
      <c r="AA3">
        <v>-1.0800000000000001E-2</v>
      </c>
      <c r="AB3">
        <v>3510</v>
      </c>
      <c r="AC3" t="s">
        <v>46</v>
      </c>
      <c r="AE3" t="s">
        <v>40</v>
      </c>
      <c r="AF3" t="s">
        <v>41</v>
      </c>
      <c r="AG3">
        <v>22150</v>
      </c>
      <c r="AH3" s="30">
        <v>45295</v>
      </c>
      <c r="AI3" t="s">
        <v>43</v>
      </c>
      <c r="AJ3">
        <v>5</v>
      </c>
      <c r="AK3" s="31">
        <v>45292.635416666657</v>
      </c>
      <c r="AL3" s="31">
        <v>45294.635416666657</v>
      </c>
      <c r="AM3">
        <v>11.8</v>
      </c>
      <c r="AN3">
        <v>-8.7300000000000003E-2</v>
      </c>
      <c r="AO3">
        <v>1</v>
      </c>
      <c r="AP3">
        <v>-1.0800000000000001E-2</v>
      </c>
      <c r="AQ3">
        <v>3510</v>
      </c>
      <c r="AR3" t="s">
        <v>46</v>
      </c>
    </row>
    <row r="4" spans="1:44" x14ac:dyDescent="0.3">
      <c r="A4" t="s">
        <v>40</v>
      </c>
      <c r="B4" t="s">
        <v>41</v>
      </c>
      <c r="C4">
        <v>22100</v>
      </c>
      <c r="D4" s="30">
        <v>45302</v>
      </c>
      <c r="E4" t="s">
        <v>43</v>
      </c>
      <c r="F4">
        <v>5</v>
      </c>
      <c r="G4" s="31">
        <v>45294.635416666657</v>
      </c>
      <c r="H4" s="31">
        <v>45301.635416666657</v>
      </c>
      <c r="I4">
        <v>12.25</v>
      </c>
      <c r="J4">
        <v>-7.3400000000000007E-2</v>
      </c>
      <c r="K4">
        <v>0.5</v>
      </c>
      <c r="L4">
        <v>-7.7000000000000002E-3</v>
      </c>
      <c r="M4">
        <v>3818.8</v>
      </c>
      <c r="N4" t="s">
        <v>46</v>
      </c>
      <c r="P4" t="s">
        <v>40</v>
      </c>
      <c r="Q4" t="s">
        <v>41</v>
      </c>
      <c r="R4">
        <v>22100</v>
      </c>
      <c r="S4" s="30">
        <v>45302</v>
      </c>
      <c r="T4" t="s">
        <v>43</v>
      </c>
      <c r="U4">
        <v>5</v>
      </c>
      <c r="V4" s="31">
        <v>45294.635416666657</v>
      </c>
      <c r="W4" s="31">
        <v>45301.635416666657</v>
      </c>
      <c r="X4">
        <v>12.25</v>
      </c>
      <c r="Y4">
        <v>-7.3400000000000007E-2</v>
      </c>
      <c r="Z4">
        <v>0.5</v>
      </c>
      <c r="AA4">
        <v>-7.7000000000000002E-3</v>
      </c>
      <c r="AB4">
        <v>3818.8</v>
      </c>
      <c r="AC4" t="s">
        <v>46</v>
      </c>
      <c r="AE4" t="s">
        <v>40</v>
      </c>
      <c r="AF4" t="s">
        <v>41</v>
      </c>
      <c r="AG4">
        <v>22100</v>
      </c>
      <c r="AH4" s="30">
        <v>45302</v>
      </c>
      <c r="AI4" t="s">
        <v>43</v>
      </c>
      <c r="AJ4">
        <v>5</v>
      </c>
      <c r="AK4" s="31">
        <v>45294.635416666657</v>
      </c>
      <c r="AL4" s="31">
        <v>45301.635416666657</v>
      </c>
      <c r="AM4">
        <v>12.25</v>
      </c>
      <c r="AN4">
        <v>-7.3400000000000007E-2</v>
      </c>
      <c r="AO4">
        <v>0.5</v>
      </c>
      <c r="AP4">
        <v>-7.7000000000000002E-3</v>
      </c>
      <c r="AQ4">
        <v>3818.8</v>
      </c>
      <c r="AR4" t="s">
        <v>46</v>
      </c>
    </row>
    <row r="5" spans="1:44" x14ac:dyDescent="0.3">
      <c r="A5" t="s">
        <v>40</v>
      </c>
      <c r="B5" t="s">
        <v>41</v>
      </c>
      <c r="C5">
        <v>22200</v>
      </c>
      <c r="D5" s="30">
        <v>45309</v>
      </c>
      <c r="E5" t="s">
        <v>43</v>
      </c>
      <c r="F5">
        <v>5</v>
      </c>
      <c r="G5" s="31">
        <v>45301.635416666657</v>
      </c>
      <c r="H5" s="31">
        <v>45308.635416666657</v>
      </c>
      <c r="I5">
        <v>12.3</v>
      </c>
      <c r="J5">
        <v>-7.3800000000000004E-2</v>
      </c>
      <c r="K5">
        <v>2.2000000000000002</v>
      </c>
      <c r="L5">
        <v>-2.0500000000000001E-2</v>
      </c>
      <c r="M5">
        <v>3282.5</v>
      </c>
      <c r="N5" t="s">
        <v>46</v>
      </c>
      <c r="P5" t="s">
        <v>40</v>
      </c>
      <c r="Q5" t="s">
        <v>41</v>
      </c>
      <c r="R5">
        <v>22200</v>
      </c>
      <c r="S5" s="30">
        <v>45309</v>
      </c>
      <c r="T5" t="s">
        <v>43</v>
      </c>
      <c r="U5">
        <v>5</v>
      </c>
      <c r="V5" s="31">
        <v>45301.635416666657</v>
      </c>
      <c r="W5" s="31">
        <v>45308.635416666657</v>
      </c>
      <c r="X5">
        <v>12.3</v>
      </c>
      <c r="Y5">
        <v>-7.3800000000000004E-2</v>
      </c>
      <c r="Z5">
        <v>2.2000000000000002</v>
      </c>
      <c r="AA5">
        <v>-2.0500000000000001E-2</v>
      </c>
      <c r="AB5">
        <v>3282.5</v>
      </c>
      <c r="AC5" t="s">
        <v>46</v>
      </c>
      <c r="AE5" t="s">
        <v>40</v>
      </c>
      <c r="AF5" t="s">
        <v>41</v>
      </c>
      <c r="AG5">
        <v>22200</v>
      </c>
      <c r="AH5" s="30">
        <v>45309</v>
      </c>
      <c r="AI5" t="s">
        <v>43</v>
      </c>
      <c r="AJ5">
        <v>5</v>
      </c>
      <c r="AK5" s="31">
        <v>45301.635416666657</v>
      </c>
      <c r="AL5" s="31">
        <v>45308.635416666657</v>
      </c>
      <c r="AM5">
        <v>12.3</v>
      </c>
      <c r="AN5">
        <v>-7.3800000000000004E-2</v>
      </c>
      <c r="AO5">
        <v>2.2000000000000002</v>
      </c>
      <c r="AP5">
        <v>-2.0500000000000001E-2</v>
      </c>
      <c r="AQ5">
        <v>3282.5</v>
      </c>
      <c r="AR5" t="s">
        <v>46</v>
      </c>
    </row>
    <row r="6" spans="1:44" x14ac:dyDescent="0.3">
      <c r="A6" t="s">
        <v>40</v>
      </c>
      <c r="B6" t="s">
        <v>51</v>
      </c>
      <c r="C6">
        <v>22500</v>
      </c>
      <c r="D6" s="30">
        <v>45316</v>
      </c>
      <c r="E6" t="s">
        <v>43</v>
      </c>
      <c r="F6">
        <v>1</v>
      </c>
      <c r="G6" s="31">
        <v>45292.635416666657</v>
      </c>
      <c r="H6" s="31">
        <v>45315.635416666657</v>
      </c>
      <c r="I6">
        <v>688.75</v>
      </c>
      <c r="J6">
        <v>0.79930000000000001</v>
      </c>
      <c r="K6">
        <v>1013</v>
      </c>
      <c r="L6">
        <v>0.99580000000000002</v>
      </c>
      <c r="M6">
        <v>-21076.2</v>
      </c>
      <c r="N6" t="s">
        <v>46</v>
      </c>
      <c r="P6" t="s">
        <v>40</v>
      </c>
      <c r="Q6" t="s">
        <v>51</v>
      </c>
      <c r="R6">
        <v>22200</v>
      </c>
      <c r="S6" s="30">
        <v>45316</v>
      </c>
      <c r="T6" t="s">
        <v>43</v>
      </c>
      <c r="U6">
        <v>1</v>
      </c>
      <c r="V6" s="31">
        <v>45292.635416666657</v>
      </c>
      <c r="W6" s="31">
        <v>45315.635416666657</v>
      </c>
      <c r="X6">
        <v>475.35</v>
      </c>
      <c r="Y6">
        <v>0.66959999999999997</v>
      </c>
      <c r="Z6">
        <v>736.25</v>
      </c>
      <c r="AA6">
        <v>0.99270000000000003</v>
      </c>
      <c r="AB6">
        <v>-16958.5</v>
      </c>
      <c r="AC6" t="s">
        <v>46</v>
      </c>
      <c r="AE6" t="s">
        <v>40</v>
      </c>
      <c r="AF6" t="s">
        <v>51</v>
      </c>
      <c r="AG6">
        <v>22200</v>
      </c>
      <c r="AH6" s="30">
        <v>45316</v>
      </c>
      <c r="AI6" t="s">
        <v>43</v>
      </c>
      <c r="AJ6">
        <v>1</v>
      </c>
      <c r="AK6" s="31">
        <v>45292.635416666657</v>
      </c>
      <c r="AL6" s="31">
        <v>45315.635416666657</v>
      </c>
      <c r="AM6">
        <v>475.35</v>
      </c>
      <c r="AN6">
        <v>0.66959999999999997</v>
      </c>
      <c r="AO6">
        <v>736.25</v>
      </c>
      <c r="AP6">
        <v>0.99270000000000003</v>
      </c>
      <c r="AQ6">
        <v>-16958.5</v>
      </c>
      <c r="AR6" t="s">
        <v>46</v>
      </c>
    </row>
    <row r="7" spans="1:44" x14ac:dyDescent="0.3">
      <c r="A7" t="s">
        <v>40</v>
      </c>
      <c r="B7" t="s">
        <v>51</v>
      </c>
      <c r="C7">
        <v>21750</v>
      </c>
      <c r="D7" s="30">
        <v>45316</v>
      </c>
      <c r="E7" t="s">
        <v>54</v>
      </c>
      <c r="F7">
        <v>1</v>
      </c>
      <c r="G7" s="31">
        <v>45292.635416666657</v>
      </c>
      <c r="H7" s="31">
        <v>45315.635416666657</v>
      </c>
      <c r="I7">
        <v>244</v>
      </c>
      <c r="J7">
        <v>-0.45250000000000001</v>
      </c>
      <c r="K7">
        <v>266</v>
      </c>
      <c r="L7">
        <v>-0.91879999999999995</v>
      </c>
      <c r="M7">
        <v>1430</v>
      </c>
      <c r="N7" t="s">
        <v>46</v>
      </c>
      <c r="P7" t="s">
        <v>40</v>
      </c>
      <c r="Q7" t="s">
        <v>51</v>
      </c>
      <c r="R7">
        <v>21750</v>
      </c>
      <c r="S7" s="30">
        <v>45316</v>
      </c>
      <c r="T7" t="s">
        <v>54</v>
      </c>
      <c r="U7">
        <v>1</v>
      </c>
      <c r="V7" s="31">
        <v>45292.635416666657</v>
      </c>
      <c r="W7" s="31">
        <v>45315.635416666657</v>
      </c>
      <c r="X7">
        <v>244</v>
      </c>
      <c r="Y7">
        <v>-0.45250000000000001</v>
      </c>
      <c r="Z7">
        <v>266</v>
      </c>
      <c r="AA7">
        <v>-0.91879999999999995</v>
      </c>
      <c r="AB7">
        <v>1430</v>
      </c>
      <c r="AC7" t="s">
        <v>46</v>
      </c>
      <c r="AE7" t="s">
        <v>40</v>
      </c>
      <c r="AF7" t="s">
        <v>51</v>
      </c>
      <c r="AG7">
        <v>21750</v>
      </c>
      <c r="AH7" s="30">
        <v>45316</v>
      </c>
      <c r="AI7" t="s">
        <v>54</v>
      </c>
      <c r="AJ7">
        <v>1</v>
      </c>
      <c r="AK7" s="31">
        <v>45292.635416666657</v>
      </c>
      <c r="AL7" s="31">
        <v>45315.635416666657</v>
      </c>
      <c r="AM7">
        <v>244</v>
      </c>
      <c r="AN7">
        <v>-0.45250000000000001</v>
      </c>
      <c r="AO7">
        <v>266</v>
      </c>
      <c r="AP7">
        <v>-0.91879999999999995</v>
      </c>
      <c r="AQ7">
        <v>1430</v>
      </c>
      <c r="AR7" t="s">
        <v>46</v>
      </c>
    </row>
    <row r="8" spans="1:44" x14ac:dyDescent="0.3">
      <c r="A8" t="s">
        <v>40</v>
      </c>
      <c r="B8" t="s">
        <v>41</v>
      </c>
      <c r="C8">
        <v>22500</v>
      </c>
      <c r="D8" s="30">
        <v>45316</v>
      </c>
      <c r="E8" t="s">
        <v>43</v>
      </c>
      <c r="F8">
        <v>5</v>
      </c>
      <c r="G8" s="31">
        <v>45308.635416666657</v>
      </c>
      <c r="H8" s="31">
        <v>45315.635416666657</v>
      </c>
      <c r="I8">
        <v>12.2</v>
      </c>
      <c r="J8">
        <v>-5.4300000000000001E-2</v>
      </c>
      <c r="K8">
        <v>0.5</v>
      </c>
      <c r="L8">
        <v>-4.1999999999999997E-3</v>
      </c>
      <c r="M8">
        <v>3802.5</v>
      </c>
      <c r="N8" t="s">
        <v>46</v>
      </c>
      <c r="P8" t="s">
        <v>40</v>
      </c>
      <c r="Q8" t="s">
        <v>41</v>
      </c>
      <c r="R8">
        <v>22500</v>
      </c>
      <c r="S8" s="30">
        <v>45316</v>
      </c>
      <c r="T8" t="s">
        <v>43</v>
      </c>
      <c r="U8">
        <v>5</v>
      </c>
      <c r="V8" s="31">
        <v>45308.635416666657</v>
      </c>
      <c r="W8" s="31">
        <v>45315.635416666657</v>
      </c>
      <c r="X8">
        <v>12.2</v>
      </c>
      <c r="Y8">
        <v>-5.4300000000000001E-2</v>
      </c>
      <c r="Z8">
        <v>0.5</v>
      </c>
      <c r="AA8">
        <v>-4.1999999999999997E-3</v>
      </c>
      <c r="AB8">
        <v>3802.5</v>
      </c>
      <c r="AC8" t="s">
        <v>46</v>
      </c>
      <c r="AE8" t="s">
        <v>40</v>
      </c>
      <c r="AF8" t="s">
        <v>41</v>
      </c>
      <c r="AG8">
        <v>22500</v>
      </c>
      <c r="AH8" s="30">
        <v>45316</v>
      </c>
      <c r="AI8" t="s">
        <v>43</v>
      </c>
      <c r="AJ8">
        <v>5</v>
      </c>
      <c r="AK8" s="31">
        <v>45308.635416666657</v>
      </c>
      <c r="AL8" s="31">
        <v>45315.635416666657</v>
      </c>
      <c r="AM8">
        <v>12.2</v>
      </c>
      <c r="AN8">
        <v>-5.4300000000000001E-2</v>
      </c>
      <c r="AO8">
        <v>0.5</v>
      </c>
      <c r="AP8">
        <v>-4.1999999999999997E-3</v>
      </c>
      <c r="AQ8">
        <v>3802.5</v>
      </c>
      <c r="AR8" t="s">
        <v>46</v>
      </c>
    </row>
    <row r="9" spans="1:44" x14ac:dyDescent="0.3">
      <c r="A9" t="s">
        <v>40</v>
      </c>
      <c r="B9" t="s">
        <v>41</v>
      </c>
      <c r="C9">
        <v>22400</v>
      </c>
      <c r="D9" s="30">
        <v>45323</v>
      </c>
      <c r="E9" t="s">
        <v>43</v>
      </c>
      <c r="F9">
        <v>5</v>
      </c>
      <c r="G9" s="31">
        <v>45315.635416666657</v>
      </c>
      <c r="H9" s="31">
        <v>45322.635416666657</v>
      </c>
      <c r="I9">
        <v>11.85</v>
      </c>
      <c r="J9">
        <v>-5.2499999999999998E-2</v>
      </c>
      <c r="K9">
        <v>6.35</v>
      </c>
      <c r="L9">
        <v>-4.1300000000000003E-2</v>
      </c>
      <c r="M9">
        <v>1787.5</v>
      </c>
      <c r="N9" t="s">
        <v>46</v>
      </c>
      <c r="P9" t="s">
        <v>40</v>
      </c>
      <c r="Q9" t="s">
        <v>41</v>
      </c>
      <c r="R9">
        <v>22400</v>
      </c>
      <c r="S9" s="30">
        <v>45323</v>
      </c>
      <c r="T9" t="s">
        <v>43</v>
      </c>
      <c r="U9">
        <v>5</v>
      </c>
      <c r="V9" s="31">
        <v>45315.635416666657</v>
      </c>
      <c r="W9" s="31">
        <v>45322.635416666657</v>
      </c>
      <c r="X9">
        <v>11.85</v>
      </c>
      <c r="Y9">
        <v>-5.2499999999999998E-2</v>
      </c>
      <c r="Z9">
        <v>6.35</v>
      </c>
      <c r="AA9">
        <v>-4.1300000000000003E-2</v>
      </c>
      <c r="AB9">
        <v>1787.5</v>
      </c>
      <c r="AC9" t="s">
        <v>46</v>
      </c>
      <c r="AE9" t="s">
        <v>40</v>
      </c>
      <c r="AF9" t="s">
        <v>41</v>
      </c>
      <c r="AG9">
        <v>22400</v>
      </c>
      <c r="AH9" s="30">
        <v>45323</v>
      </c>
      <c r="AI9" t="s">
        <v>43</v>
      </c>
      <c r="AJ9">
        <v>5</v>
      </c>
      <c r="AK9" s="31">
        <v>45315.635416666657</v>
      </c>
      <c r="AL9" s="31">
        <v>45322.635416666657</v>
      </c>
      <c r="AM9">
        <v>11.85</v>
      </c>
      <c r="AN9">
        <v>-5.2499999999999998E-2</v>
      </c>
      <c r="AO9">
        <v>6.35</v>
      </c>
      <c r="AP9">
        <v>-4.1300000000000003E-2</v>
      </c>
      <c r="AQ9">
        <v>1787.5</v>
      </c>
      <c r="AR9" t="s">
        <v>46</v>
      </c>
    </row>
    <row r="10" spans="1:44" x14ac:dyDescent="0.3">
      <c r="A10" t="s">
        <v>40</v>
      </c>
      <c r="B10" t="s">
        <v>41</v>
      </c>
      <c r="C10">
        <v>22850</v>
      </c>
      <c r="D10" s="30">
        <v>45330</v>
      </c>
      <c r="E10" t="s">
        <v>43</v>
      </c>
      <c r="F10">
        <v>5</v>
      </c>
      <c r="G10" s="31">
        <v>45322.635416666657</v>
      </c>
      <c r="H10" s="31">
        <v>45329.635416666657</v>
      </c>
      <c r="I10">
        <v>12.35</v>
      </c>
      <c r="J10">
        <v>-4.7399999999999998E-2</v>
      </c>
      <c r="K10">
        <v>0.35</v>
      </c>
      <c r="L10">
        <v>-3.5000000000000001E-3</v>
      </c>
      <c r="M10">
        <v>3900</v>
      </c>
      <c r="N10" t="s">
        <v>46</v>
      </c>
      <c r="P10" t="s">
        <v>40</v>
      </c>
      <c r="Q10" t="s">
        <v>41</v>
      </c>
      <c r="R10">
        <v>22850</v>
      </c>
      <c r="S10" s="30">
        <v>45330</v>
      </c>
      <c r="T10" t="s">
        <v>43</v>
      </c>
      <c r="U10">
        <v>5</v>
      </c>
      <c r="V10" s="31">
        <v>45322.635416666657</v>
      </c>
      <c r="W10" s="31">
        <v>45329.635416666657</v>
      </c>
      <c r="X10">
        <v>12.35</v>
      </c>
      <c r="Y10">
        <v>-4.7399999999999998E-2</v>
      </c>
      <c r="Z10">
        <v>0.35</v>
      </c>
      <c r="AA10">
        <v>-3.5000000000000001E-3</v>
      </c>
      <c r="AB10">
        <v>3900</v>
      </c>
      <c r="AC10" t="s">
        <v>46</v>
      </c>
      <c r="AE10" t="s">
        <v>40</v>
      </c>
      <c r="AF10" t="s">
        <v>41</v>
      </c>
      <c r="AG10">
        <v>22850</v>
      </c>
      <c r="AH10" s="30">
        <v>45330</v>
      </c>
      <c r="AI10" t="s">
        <v>43</v>
      </c>
      <c r="AJ10">
        <v>5</v>
      </c>
      <c r="AK10" s="31">
        <v>45322.635416666657</v>
      </c>
      <c r="AL10" s="31">
        <v>45329.635416666657</v>
      </c>
      <c r="AM10">
        <v>12.35</v>
      </c>
      <c r="AN10">
        <v>-4.7399999999999998E-2</v>
      </c>
      <c r="AO10">
        <v>0.35</v>
      </c>
      <c r="AP10">
        <v>-3.5000000000000001E-3</v>
      </c>
      <c r="AQ10">
        <v>3900</v>
      </c>
      <c r="AR10" t="s">
        <v>46</v>
      </c>
    </row>
    <row r="11" spans="1:44" x14ac:dyDescent="0.3">
      <c r="A11" t="s">
        <v>40</v>
      </c>
      <c r="B11" t="s">
        <v>41</v>
      </c>
      <c r="C11">
        <v>22700</v>
      </c>
      <c r="D11" s="30">
        <v>45337</v>
      </c>
      <c r="E11" t="s">
        <v>43</v>
      </c>
      <c r="F11">
        <v>5</v>
      </c>
      <c r="G11" s="31">
        <v>45329.635416666657</v>
      </c>
      <c r="H11" s="31">
        <v>45336.635416666657</v>
      </c>
      <c r="I11">
        <v>11.25</v>
      </c>
      <c r="J11">
        <v>-5.8099999999999999E-2</v>
      </c>
      <c r="K11">
        <v>0.35</v>
      </c>
      <c r="L11">
        <v>-3.5999999999999999E-3</v>
      </c>
      <c r="M11">
        <v>3542.5</v>
      </c>
      <c r="N11" t="s">
        <v>46</v>
      </c>
      <c r="P11" t="s">
        <v>40</v>
      </c>
      <c r="Q11" t="s">
        <v>41</v>
      </c>
      <c r="R11">
        <v>22700</v>
      </c>
      <c r="S11" s="30">
        <v>45337</v>
      </c>
      <c r="T11" t="s">
        <v>43</v>
      </c>
      <c r="U11">
        <v>5</v>
      </c>
      <c r="V11" s="31">
        <v>45329.635416666657</v>
      </c>
      <c r="W11" s="31">
        <v>45336.635416666657</v>
      </c>
      <c r="X11">
        <v>11.25</v>
      </c>
      <c r="Y11">
        <v>-5.8099999999999999E-2</v>
      </c>
      <c r="Z11">
        <v>0.35</v>
      </c>
      <c r="AA11">
        <v>-3.5999999999999999E-3</v>
      </c>
      <c r="AB11">
        <v>3542.5</v>
      </c>
      <c r="AC11" t="s">
        <v>46</v>
      </c>
      <c r="AE11" t="s">
        <v>40</v>
      </c>
      <c r="AF11" t="s">
        <v>41</v>
      </c>
      <c r="AG11">
        <v>22700</v>
      </c>
      <c r="AH11" s="30">
        <v>45337</v>
      </c>
      <c r="AI11" t="s">
        <v>43</v>
      </c>
      <c r="AJ11">
        <v>5</v>
      </c>
      <c r="AK11" s="31">
        <v>45329.635416666657</v>
      </c>
      <c r="AL11" s="31">
        <v>45336.635416666657</v>
      </c>
      <c r="AM11">
        <v>11.25</v>
      </c>
      <c r="AN11">
        <v>-5.8099999999999999E-2</v>
      </c>
      <c r="AO11">
        <v>0.35</v>
      </c>
      <c r="AP11">
        <v>-3.5999999999999999E-3</v>
      </c>
      <c r="AQ11">
        <v>3542.5</v>
      </c>
      <c r="AR11" t="s">
        <v>46</v>
      </c>
    </row>
    <row r="12" spans="1:44" x14ac:dyDescent="0.3">
      <c r="A12" t="s">
        <v>40</v>
      </c>
      <c r="B12" t="s">
        <v>51</v>
      </c>
      <c r="C12">
        <v>22000</v>
      </c>
      <c r="D12" s="30">
        <v>45351</v>
      </c>
      <c r="E12" t="s">
        <v>43</v>
      </c>
      <c r="F12">
        <v>1</v>
      </c>
      <c r="G12" s="31">
        <v>45315.635416666657</v>
      </c>
      <c r="H12" s="31">
        <v>45338.635416666657</v>
      </c>
      <c r="I12">
        <v>571.6</v>
      </c>
      <c r="J12">
        <v>0.65269999999999995</v>
      </c>
      <c r="K12">
        <v>183.8</v>
      </c>
      <c r="L12">
        <v>0.43099999999999999</v>
      </c>
      <c r="M12">
        <v>25207</v>
      </c>
      <c r="N12" t="s">
        <v>63</v>
      </c>
      <c r="P12" t="s">
        <v>40</v>
      </c>
      <c r="Q12" t="s">
        <v>51</v>
      </c>
      <c r="R12">
        <v>22100</v>
      </c>
      <c r="S12" s="30">
        <v>45351</v>
      </c>
      <c r="T12" t="s">
        <v>43</v>
      </c>
      <c r="U12">
        <v>1</v>
      </c>
      <c r="V12" s="31">
        <v>45315.635416666657</v>
      </c>
      <c r="W12" s="31">
        <v>45341.635416666657</v>
      </c>
      <c r="X12">
        <v>651</v>
      </c>
      <c r="Y12">
        <v>0.69359999999999999</v>
      </c>
      <c r="Z12">
        <v>185.1</v>
      </c>
      <c r="AA12">
        <v>0.45219999999999999</v>
      </c>
      <c r="AB12">
        <v>30283.5</v>
      </c>
      <c r="AC12" t="s">
        <v>63</v>
      </c>
      <c r="AE12" t="s">
        <v>40</v>
      </c>
      <c r="AF12" t="s">
        <v>51</v>
      </c>
      <c r="AG12">
        <v>22100</v>
      </c>
      <c r="AH12" s="30">
        <v>45351</v>
      </c>
      <c r="AI12" t="s">
        <v>43</v>
      </c>
      <c r="AJ12">
        <v>1</v>
      </c>
      <c r="AK12" s="31">
        <v>45315.635416666657</v>
      </c>
      <c r="AL12" s="31">
        <v>45341.635416666657</v>
      </c>
      <c r="AM12">
        <v>651</v>
      </c>
      <c r="AN12">
        <v>0.69359999999999999</v>
      </c>
      <c r="AO12">
        <v>185.1</v>
      </c>
      <c r="AP12">
        <v>0.45219999999999999</v>
      </c>
      <c r="AQ12">
        <v>30283.5</v>
      </c>
      <c r="AR12" t="s">
        <v>63</v>
      </c>
    </row>
    <row r="13" spans="1:44" x14ac:dyDescent="0.3">
      <c r="A13" t="s">
        <v>40</v>
      </c>
      <c r="B13" t="s">
        <v>41</v>
      </c>
      <c r="C13">
        <v>22500</v>
      </c>
      <c r="D13" s="30">
        <v>45344</v>
      </c>
      <c r="E13" t="s">
        <v>43</v>
      </c>
      <c r="F13">
        <v>5</v>
      </c>
      <c r="G13" s="31">
        <v>45336.635416666657</v>
      </c>
      <c r="H13" s="31">
        <v>45343.635416666657</v>
      </c>
      <c r="I13">
        <v>12.9</v>
      </c>
      <c r="J13">
        <v>-6.8500000000000005E-2</v>
      </c>
      <c r="K13">
        <v>2</v>
      </c>
      <c r="L13">
        <v>-2.5899999999999999E-2</v>
      </c>
      <c r="M13">
        <v>3542.5</v>
      </c>
      <c r="N13" t="s">
        <v>46</v>
      </c>
      <c r="P13" t="s">
        <v>40</v>
      </c>
      <c r="Q13" t="s">
        <v>41</v>
      </c>
      <c r="R13">
        <v>22500</v>
      </c>
      <c r="S13" s="30">
        <v>45344</v>
      </c>
      <c r="T13" t="s">
        <v>43</v>
      </c>
      <c r="U13">
        <v>5</v>
      </c>
      <c r="V13" s="31">
        <v>45336.635416666657</v>
      </c>
      <c r="W13" s="31">
        <v>45343.635416666657</v>
      </c>
      <c r="X13">
        <v>12.9</v>
      </c>
      <c r="Y13">
        <v>-6.8500000000000005E-2</v>
      </c>
      <c r="Z13">
        <v>2</v>
      </c>
      <c r="AA13">
        <v>-2.5899999999999999E-2</v>
      </c>
      <c r="AB13">
        <v>3542.5</v>
      </c>
      <c r="AC13" t="s">
        <v>46</v>
      </c>
      <c r="AE13" t="s">
        <v>40</v>
      </c>
      <c r="AF13" t="s">
        <v>51</v>
      </c>
      <c r="AG13">
        <v>21450</v>
      </c>
      <c r="AH13" s="30">
        <v>45351</v>
      </c>
      <c r="AI13" t="s">
        <v>54</v>
      </c>
      <c r="AJ13">
        <v>1</v>
      </c>
      <c r="AK13" s="31">
        <v>45315.635416666657</v>
      </c>
      <c r="AL13" s="31">
        <v>45341.635416666657</v>
      </c>
      <c r="AM13">
        <v>299</v>
      </c>
      <c r="AN13">
        <v>-0.42599999999999999</v>
      </c>
      <c r="AO13">
        <v>37.75</v>
      </c>
      <c r="AP13">
        <v>-0.12139999999999999</v>
      </c>
      <c r="AQ13">
        <v>-16981.2</v>
      </c>
      <c r="AR13" t="s">
        <v>63</v>
      </c>
    </row>
    <row r="14" spans="1:44" x14ac:dyDescent="0.3">
      <c r="A14" t="s">
        <v>40</v>
      </c>
      <c r="B14" t="s">
        <v>51</v>
      </c>
      <c r="C14">
        <v>21450</v>
      </c>
      <c r="D14" s="30">
        <v>45351</v>
      </c>
      <c r="E14" t="s">
        <v>54</v>
      </c>
      <c r="F14">
        <v>1</v>
      </c>
      <c r="G14" s="31">
        <v>45315.635416666657</v>
      </c>
      <c r="H14" s="31">
        <v>45350.635416666657</v>
      </c>
      <c r="I14">
        <v>299</v>
      </c>
      <c r="J14">
        <v>-0.42599999999999999</v>
      </c>
      <c r="K14">
        <v>2.4</v>
      </c>
      <c r="L14">
        <v>-2.47E-2</v>
      </c>
      <c r="M14">
        <v>-19279</v>
      </c>
      <c r="N14" t="s">
        <v>46</v>
      </c>
      <c r="P14" t="s">
        <v>40</v>
      </c>
      <c r="Q14" t="s">
        <v>51</v>
      </c>
      <c r="R14">
        <v>21450</v>
      </c>
      <c r="S14" s="30">
        <v>45351</v>
      </c>
      <c r="T14" t="s">
        <v>54</v>
      </c>
      <c r="U14">
        <v>1</v>
      </c>
      <c r="V14" s="31">
        <v>45315.635416666657</v>
      </c>
      <c r="W14" s="31">
        <v>45350.635416666657</v>
      </c>
      <c r="X14">
        <v>299</v>
      </c>
      <c r="Y14">
        <v>-0.42599999999999999</v>
      </c>
      <c r="Z14">
        <v>2.4</v>
      </c>
      <c r="AA14">
        <v>-2.47E-2</v>
      </c>
      <c r="AB14">
        <v>-19279</v>
      </c>
      <c r="AC14" t="s">
        <v>46</v>
      </c>
      <c r="AE14" t="s">
        <v>40</v>
      </c>
      <c r="AF14" t="s">
        <v>41</v>
      </c>
      <c r="AG14">
        <v>22500</v>
      </c>
      <c r="AH14" s="30">
        <v>45344</v>
      </c>
      <c r="AI14" t="s">
        <v>43</v>
      </c>
      <c r="AJ14">
        <v>5</v>
      </c>
      <c r="AK14" s="31">
        <v>45336.635416666657</v>
      </c>
      <c r="AL14" s="31">
        <v>45343.635416666657</v>
      </c>
      <c r="AM14">
        <v>12.9</v>
      </c>
      <c r="AN14">
        <v>-6.8500000000000005E-2</v>
      </c>
      <c r="AO14">
        <v>2</v>
      </c>
      <c r="AP14">
        <v>-2.5899999999999999E-2</v>
      </c>
      <c r="AQ14">
        <v>3542.5</v>
      </c>
      <c r="AR14" t="s">
        <v>46</v>
      </c>
    </row>
    <row r="15" spans="1:44" x14ac:dyDescent="0.3">
      <c r="A15" t="s">
        <v>40</v>
      </c>
      <c r="B15" t="s">
        <v>51</v>
      </c>
      <c r="C15">
        <v>22500</v>
      </c>
      <c r="D15" s="30">
        <v>45351</v>
      </c>
      <c r="E15" t="s">
        <v>43</v>
      </c>
      <c r="F15">
        <v>1</v>
      </c>
      <c r="G15" s="31">
        <v>45338.635416666657</v>
      </c>
      <c r="H15" s="31">
        <v>45350.635416666657</v>
      </c>
      <c r="I15">
        <v>466.9</v>
      </c>
      <c r="J15">
        <v>0.7661</v>
      </c>
      <c r="K15">
        <v>600.6</v>
      </c>
      <c r="L15">
        <v>0.97330000000000005</v>
      </c>
      <c r="M15">
        <v>-8690.5</v>
      </c>
      <c r="N15" t="s">
        <v>46</v>
      </c>
      <c r="P15" t="s">
        <v>40</v>
      </c>
      <c r="Q15" t="s">
        <v>51</v>
      </c>
      <c r="R15">
        <v>22600</v>
      </c>
      <c r="S15" s="30">
        <v>45351</v>
      </c>
      <c r="T15" t="s">
        <v>43</v>
      </c>
      <c r="U15">
        <v>1</v>
      </c>
      <c r="V15" s="31">
        <v>45341.635416666657</v>
      </c>
      <c r="W15" s="31">
        <v>45350.635416666657</v>
      </c>
      <c r="X15">
        <v>485.35</v>
      </c>
      <c r="Y15">
        <v>0.80200000000000005</v>
      </c>
      <c r="Z15">
        <v>698.8</v>
      </c>
      <c r="AA15">
        <v>0.98019999999999996</v>
      </c>
      <c r="AB15">
        <v>-13874.2</v>
      </c>
      <c r="AC15" t="s">
        <v>46</v>
      </c>
      <c r="AE15" t="s">
        <v>40</v>
      </c>
      <c r="AF15" t="s">
        <v>51</v>
      </c>
      <c r="AG15">
        <v>22600</v>
      </c>
      <c r="AH15" s="30">
        <v>45351</v>
      </c>
      <c r="AI15" t="s">
        <v>43</v>
      </c>
      <c r="AJ15">
        <v>1</v>
      </c>
      <c r="AK15" s="31">
        <v>45341.635416666657</v>
      </c>
      <c r="AL15" s="31">
        <v>45350.635416666657</v>
      </c>
      <c r="AM15">
        <v>485.35</v>
      </c>
      <c r="AN15">
        <v>0.80200000000000005</v>
      </c>
      <c r="AO15">
        <v>698.8</v>
      </c>
      <c r="AP15">
        <v>0.98019999999999996</v>
      </c>
      <c r="AQ15">
        <v>-13874.2</v>
      </c>
      <c r="AR15" t="s">
        <v>46</v>
      </c>
    </row>
    <row r="16" spans="1:44" x14ac:dyDescent="0.3">
      <c r="A16" t="s">
        <v>40</v>
      </c>
      <c r="B16" t="s">
        <v>41</v>
      </c>
      <c r="C16">
        <v>22750</v>
      </c>
      <c r="D16" s="30">
        <v>45351</v>
      </c>
      <c r="E16" t="s">
        <v>43</v>
      </c>
      <c r="F16">
        <v>5</v>
      </c>
      <c r="G16" s="31">
        <v>45343.635416666657</v>
      </c>
      <c r="H16" s="31">
        <v>45350.635416666657</v>
      </c>
      <c r="I16">
        <v>13.25</v>
      </c>
      <c r="J16">
        <v>-7.1900000000000006E-2</v>
      </c>
      <c r="K16">
        <v>1.75</v>
      </c>
      <c r="L16">
        <v>-1.4E-2</v>
      </c>
      <c r="M16">
        <v>3737.5</v>
      </c>
      <c r="N16" t="s">
        <v>46</v>
      </c>
      <c r="P16" t="s">
        <v>40</v>
      </c>
      <c r="Q16" t="s">
        <v>41</v>
      </c>
      <c r="R16">
        <v>22750</v>
      </c>
      <c r="S16" s="30">
        <v>45351</v>
      </c>
      <c r="T16" t="s">
        <v>43</v>
      </c>
      <c r="U16">
        <v>5</v>
      </c>
      <c r="V16" s="31">
        <v>45343.635416666657</v>
      </c>
      <c r="W16" s="31">
        <v>45350.635416666657</v>
      </c>
      <c r="X16">
        <v>13.25</v>
      </c>
      <c r="Y16">
        <v>-7.1900000000000006E-2</v>
      </c>
      <c r="Z16">
        <v>1.75</v>
      </c>
      <c r="AA16">
        <v>-1.4E-2</v>
      </c>
      <c r="AB16">
        <v>3737.5</v>
      </c>
      <c r="AC16" t="s">
        <v>46</v>
      </c>
      <c r="AE16" t="s">
        <v>40</v>
      </c>
      <c r="AF16" t="s">
        <v>51</v>
      </c>
      <c r="AG16">
        <v>22100</v>
      </c>
      <c r="AH16" s="30">
        <v>45351</v>
      </c>
      <c r="AI16" t="s">
        <v>54</v>
      </c>
      <c r="AJ16">
        <v>1</v>
      </c>
      <c r="AK16" s="31">
        <v>45341.635416666657</v>
      </c>
      <c r="AL16" s="31">
        <v>45350.635416666657</v>
      </c>
      <c r="AM16">
        <v>185.1</v>
      </c>
      <c r="AN16">
        <v>-0.45219999999999999</v>
      </c>
      <c r="AO16">
        <v>225.7</v>
      </c>
      <c r="AP16">
        <v>-0.76690000000000003</v>
      </c>
      <c r="AQ16">
        <v>2639</v>
      </c>
      <c r="AR16" t="s">
        <v>46</v>
      </c>
    </row>
    <row r="17" spans="1:44" x14ac:dyDescent="0.3">
      <c r="A17" t="s">
        <v>40</v>
      </c>
      <c r="B17" t="s">
        <v>41</v>
      </c>
      <c r="C17">
        <v>22700</v>
      </c>
      <c r="D17" s="30">
        <v>45358</v>
      </c>
      <c r="E17" t="s">
        <v>43</v>
      </c>
      <c r="F17">
        <v>5</v>
      </c>
      <c r="G17" s="31">
        <v>45350.635416666657</v>
      </c>
      <c r="H17" s="31">
        <v>45357.635416666657</v>
      </c>
      <c r="I17">
        <v>15.95</v>
      </c>
      <c r="J17">
        <v>-7.3800000000000004E-2</v>
      </c>
      <c r="K17">
        <v>6.3</v>
      </c>
      <c r="L17">
        <v>-8.6099999999999996E-2</v>
      </c>
      <c r="M17">
        <v>3136.2</v>
      </c>
      <c r="N17" t="s">
        <v>46</v>
      </c>
      <c r="P17" t="s">
        <v>40</v>
      </c>
      <c r="Q17" t="s">
        <v>41</v>
      </c>
      <c r="R17">
        <v>22700</v>
      </c>
      <c r="S17" s="30">
        <v>45358</v>
      </c>
      <c r="T17" t="s">
        <v>43</v>
      </c>
      <c r="U17">
        <v>5</v>
      </c>
      <c r="V17" s="31">
        <v>45350.635416666657</v>
      </c>
      <c r="W17" s="31">
        <v>45357.635416666657</v>
      </c>
      <c r="X17">
        <v>15.95</v>
      </c>
      <c r="Y17">
        <v>-7.3800000000000004E-2</v>
      </c>
      <c r="Z17">
        <v>6.3</v>
      </c>
      <c r="AA17">
        <v>-8.6099999999999996E-2</v>
      </c>
      <c r="AB17">
        <v>3136.2</v>
      </c>
      <c r="AC17" t="s">
        <v>46</v>
      </c>
      <c r="AE17" t="s">
        <v>40</v>
      </c>
      <c r="AF17" t="s">
        <v>41</v>
      </c>
      <c r="AG17">
        <v>22850</v>
      </c>
      <c r="AH17" s="30">
        <v>45351</v>
      </c>
      <c r="AI17" t="s">
        <v>43</v>
      </c>
      <c r="AJ17">
        <v>5</v>
      </c>
      <c r="AK17" s="31">
        <v>45343.635416666657</v>
      </c>
      <c r="AL17" s="31">
        <v>45350.635416666657</v>
      </c>
      <c r="AM17">
        <v>7.8</v>
      </c>
      <c r="AN17">
        <v>-4.5600000000000002E-2</v>
      </c>
      <c r="AO17">
        <v>1.65</v>
      </c>
      <c r="AP17">
        <v>-1.2200000000000001E-2</v>
      </c>
      <c r="AQ17">
        <v>1998.8</v>
      </c>
      <c r="AR17" t="s">
        <v>46</v>
      </c>
    </row>
    <row r="18" spans="1:44" x14ac:dyDescent="0.3">
      <c r="A18" t="s">
        <v>40</v>
      </c>
      <c r="B18" t="s">
        <v>41</v>
      </c>
      <c r="C18">
        <v>23050</v>
      </c>
      <c r="D18" s="30">
        <v>45365</v>
      </c>
      <c r="E18" t="s">
        <v>43</v>
      </c>
      <c r="F18">
        <v>5</v>
      </c>
      <c r="G18" s="31">
        <v>45357.635416666657</v>
      </c>
      <c r="H18" s="31">
        <v>45364.635416666657</v>
      </c>
      <c r="I18">
        <v>13.85</v>
      </c>
      <c r="J18">
        <v>-8.09E-2</v>
      </c>
      <c r="K18">
        <v>1.3</v>
      </c>
      <c r="L18">
        <v>-8.9999999999999993E-3</v>
      </c>
      <c r="M18">
        <v>4078.7</v>
      </c>
      <c r="N18" t="s">
        <v>46</v>
      </c>
      <c r="P18" t="s">
        <v>40</v>
      </c>
      <c r="Q18" t="s">
        <v>41</v>
      </c>
      <c r="R18">
        <v>23050</v>
      </c>
      <c r="S18" s="30">
        <v>45365</v>
      </c>
      <c r="T18" t="s">
        <v>43</v>
      </c>
      <c r="U18">
        <v>5</v>
      </c>
      <c r="V18" s="31">
        <v>45357.635416666657</v>
      </c>
      <c r="W18" s="31">
        <v>45364.635416666657</v>
      </c>
      <c r="X18">
        <v>13.85</v>
      </c>
      <c r="Y18">
        <v>-8.09E-2</v>
      </c>
      <c r="Z18">
        <v>1.3</v>
      </c>
      <c r="AA18">
        <v>-8.9999999999999993E-3</v>
      </c>
      <c r="AB18">
        <v>4078.7</v>
      </c>
      <c r="AC18" t="s">
        <v>46</v>
      </c>
      <c r="AE18" t="s">
        <v>40</v>
      </c>
      <c r="AF18" t="s">
        <v>41</v>
      </c>
      <c r="AG18">
        <v>22700</v>
      </c>
      <c r="AH18" s="30">
        <v>45358</v>
      </c>
      <c r="AI18" t="s">
        <v>43</v>
      </c>
      <c r="AJ18">
        <v>5</v>
      </c>
      <c r="AK18" s="31">
        <v>45350.635416666657</v>
      </c>
      <c r="AL18" s="31">
        <v>45357.635416666657</v>
      </c>
      <c r="AM18">
        <v>15.95</v>
      </c>
      <c r="AN18">
        <v>-7.3800000000000004E-2</v>
      </c>
      <c r="AO18">
        <v>6.3</v>
      </c>
      <c r="AP18">
        <v>-8.6099999999999996E-2</v>
      </c>
      <c r="AQ18">
        <v>3136.2</v>
      </c>
      <c r="AR18" t="s">
        <v>46</v>
      </c>
    </row>
    <row r="19" spans="1:44" x14ac:dyDescent="0.3">
      <c r="A19" t="s">
        <v>40</v>
      </c>
      <c r="B19" t="s">
        <v>41</v>
      </c>
      <c r="C19">
        <v>22750</v>
      </c>
      <c r="D19" s="30">
        <v>45372</v>
      </c>
      <c r="E19" t="s">
        <v>43</v>
      </c>
      <c r="F19">
        <v>5</v>
      </c>
      <c r="G19" s="31">
        <v>45364.635416666657</v>
      </c>
      <c r="H19" s="31">
        <v>45371.635416666657</v>
      </c>
      <c r="I19">
        <v>15.2</v>
      </c>
      <c r="J19">
        <v>-7.1400000000000005E-2</v>
      </c>
      <c r="K19">
        <v>0.35</v>
      </c>
      <c r="L19">
        <v>-3.5000000000000001E-3</v>
      </c>
      <c r="M19">
        <v>4826.2</v>
      </c>
      <c r="N19" t="s">
        <v>46</v>
      </c>
      <c r="P19" t="s">
        <v>40</v>
      </c>
      <c r="Q19" t="s">
        <v>41</v>
      </c>
      <c r="R19">
        <v>22750</v>
      </c>
      <c r="S19" s="30">
        <v>45372</v>
      </c>
      <c r="T19" t="s">
        <v>43</v>
      </c>
      <c r="U19">
        <v>5</v>
      </c>
      <c r="V19" s="31">
        <v>45364.635416666657</v>
      </c>
      <c r="W19" s="31">
        <v>45371.635416666657</v>
      </c>
      <c r="X19">
        <v>15.2</v>
      </c>
      <c r="Y19">
        <v>-7.1400000000000005E-2</v>
      </c>
      <c r="Z19">
        <v>0.35</v>
      </c>
      <c r="AA19">
        <v>-3.5000000000000001E-3</v>
      </c>
      <c r="AB19">
        <v>4826.2</v>
      </c>
      <c r="AC19" t="s">
        <v>46</v>
      </c>
      <c r="AE19" t="s">
        <v>40</v>
      </c>
      <c r="AF19" t="s">
        <v>41</v>
      </c>
      <c r="AG19">
        <v>23050</v>
      </c>
      <c r="AH19" s="30">
        <v>45365</v>
      </c>
      <c r="AI19" t="s">
        <v>43</v>
      </c>
      <c r="AJ19">
        <v>5</v>
      </c>
      <c r="AK19" s="31">
        <v>45357.635416666657</v>
      </c>
      <c r="AL19" s="31">
        <v>45364.635416666657</v>
      </c>
      <c r="AM19">
        <v>13.85</v>
      </c>
      <c r="AN19">
        <v>-8.09E-2</v>
      </c>
      <c r="AO19">
        <v>1.3</v>
      </c>
      <c r="AP19">
        <v>-8.9999999999999993E-3</v>
      </c>
      <c r="AQ19">
        <v>4078.7</v>
      </c>
      <c r="AR19" t="s">
        <v>46</v>
      </c>
    </row>
    <row r="20" spans="1:44" x14ac:dyDescent="0.3">
      <c r="A20" t="s">
        <v>40</v>
      </c>
      <c r="B20" t="s">
        <v>51</v>
      </c>
      <c r="C20">
        <v>21950</v>
      </c>
      <c r="D20" s="30">
        <v>45379</v>
      </c>
      <c r="E20" t="s">
        <v>54</v>
      </c>
      <c r="F20">
        <v>1</v>
      </c>
      <c r="G20" s="31">
        <v>45350.635416666657</v>
      </c>
      <c r="H20" s="31">
        <v>45378.635416666657</v>
      </c>
      <c r="I20">
        <v>321.95</v>
      </c>
      <c r="J20">
        <v>-0.4461</v>
      </c>
      <c r="K20">
        <v>8.9</v>
      </c>
      <c r="L20">
        <v>-0.1217</v>
      </c>
      <c r="M20">
        <v>-20348.2</v>
      </c>
      <c r="N20" t="s">
        <v>46</v>
      </c>
      <c r="P20" t="s">
        <v>40</v>
      </c>
      <c r="Q20" t="s">
        <v>51</v>
      </c>
      <c r="R20">
        <v>21950</v>
      </c>
      <c r="S20" s="30">
        <v>45379</v>
      </c>
      <c r="T20" t="s">
        <v>54</v>
      </c>
      <c r="U20">
        <v>1</v>
      </c>
      <c r="V20" s="31">
        <v>45350.635416666657</v>
      </c>
      <c r="W20" s="31">
        <v>45378.635416666657</v>
      </c>
      <c r="X20">
        <v>321.95</v>
      </c>
      <c r="Y20">
        <v>-0.4461</v>
      </c>
      <c r="Z20">
        <v>8.9</v>
      </c>
      <c r="AA20">
        <v>-0.1217</v>
      </c>
      <c r="AB20">
        <v>-20348.2</v>
      </c>
      <c r="AC20" t="s">
        <v>46</v>
      </c>
      <c r="AE20" t="s">
        <v>40</v>
      </c>
      <c r="AF20" t="s">
        <v>41</v>
      </c>
      <c r="AG20">
        <v>22750</v>
      </c>
      <c r="AH20" s="30">
        <v>45372</v>
      </c>
      <c r="AI20" t="s">
        <v>43</v>
      </c>
      <c r="AJ20">
        <v>5</v>
      </c>
      <c r="AK20" s="31">
        <v>45364.635416666657</v>
      </c>
      <c r="AL20" s="31">
        <v>45371.635416666657</v>
      </c>
      <c r="AM20">
        <v>15.2</v>
      </c>
      <c r="AN20">
        <v>-7.1400000000000005E-2</v>
      </c>
      <c r="AO20">
        <v>0.35</v>
      </c>
      <c r="AP20">
        <v>-3.5000000000000001E-3</v>
      </c>
      <c r="AQ20">
        <v>4826.2</v>
      </c>
      <c r="AR20" t="s">
        <v>46</v>
      </c>
    </row>
    <row r="21" spans="1:44" x14ac:dyDescent="0.3">
      <c r="A21" t="s">
        <v>40</v>
      </c>
      <c r="B21" t="s">
        <v>51</v>
      </c>
      <c r="C21">
        <v>23000</v>
      </c>
      <c r="D21" s="30">
        <v>45379</v>
      </c>
      <c r="E21" t="s">
        <v>43</v>
      </c>
      <c r="F21">
        <v>1</v>
      </c>
      <c r="G21" s="31">
        <v>45350.635416666657</v>
      </c>
      <c r="H21" s="31">
        <v>45378.635416666657</v>
      </c>
      <c r="I21">
        <v>995</v>
      </c>
      <c r="J21">
        <v>0.84440000000000004</v>
      </c>
      <c r="K21">
        <v>840</v>
      </c>
      <c r="L21">
        <v>0.99639999999999995</v>
      </c>
      <c r="M21">
        <v>10075</v>
      </c>
      <c r="N21" t="s">
        <v>46</v>
      </c>
      <c r="P21" t="s">
        <v>40</v>
      </c>
      <c r="Q21" t="s">
        <v>51</v>
      </c>
      <c r="R21">
        <v>22700</v>
      </c>
      <c r="S21" s="30">
        <v>45379</v>
      </c>
      <c r="T21" t="s">
        <v>43</v>
      </c>
      <c r="U21">
        <v>1</v>
      </c>
      <c r="V21" s="31">
        <v>45350.635416666657</v>
      </c>
      <c r="W21" s="31">
        <v>45378.635416666657</v>
      </c>
      <c r="X21">
        <v>753.6</v>
      </c>
      <c r="Y21">
        <v>0.75360000000000005</v>
      </c>
      <c r="Z21">
        <v>539.9</v>
      </c>
      <c r="AA21">
        <v>0.99390000000000001</v>
      </c>
      <c r="AB21">
        <v>13890.5</v>
      </c>
      <c r="AC21" t="s">
        <v>46</v>
      </c>
      <c r="AE21" t="s">
        <v>40</v>
      </c>
      <c r="AF21" t="s">
        <v>51</v>
      </c>
      <c r="AG21">
        <v>22700</v>
      </c>
      <c r="AH21" s="30">
        <v>45379</v>
      </c>
      <c r="AI21" t="s">
        <v>43</v>
      </c>
      <c r="AJ21">
        <v>1</v>
      </c>
      <c r="AK21" s="31">
        <v>45350.635416666657</v>
      </c>
      <c r="AL21" s="31">
        <v>45378.635416666657</v>
      </c>
      <c r="AM21">
        <v>753.6</v>
      </c>
      <c r="AN21">
        <v>0.75360000000000005</v>
      </c>
      <c r="AO21">
        <v>539.9</v>
      </c>
      <c r="AP21">
        <v>0.99390000000000001</v>
      </c>
      <c r="AQ21">
        <v>13890.5</v>
      </c>
      <c r="AR21" t="s">
        <v>46</v>
      </c>
    </row>
    <row r="22" spans="1:44" x14ac:dyDescent="0.3">
      <c r="A22" t="s">
        <v>40</v>
      </c>
      <c r="B22" t="s">
        <v>41</v>
      </c>
      <c r="C22">
        <v>22450</v>
      </c>
      <c r="D22" s="30">
        <v>45379</v>
      </c>
      <c r="E22" t="s">
        <v>43</v>
      </c>
      <c r="F22">
        <v>5</v>
      </c>
      <c r="G22" s="31">
        <v>45371.635416666657</v>
      </c>
      <c r="H22" s="31">
        <v>45378.635416666657</v>
      </c>
      <c r="I22">
        <v>15.2</v>
      </c>
      <c r="J22">
        <v>-8.2500000000000004E-2</v>
      </c>
      <c r="K22">
        <v>1.55</v>
      </c>
      <c r="L22">
        <v>-2.4799999999999999E-2</v>
      </c>
      <c r="M22">
        <v>4436.2</v>
      </c>
      <c r="N22" t="s">
        <v>46</v>
      </c>
      <c r="P22" t="s">
        <v>40</v>
      </c>
      <c r="Q22" t="s">
        <v>41</v>
      </c>
      <c r="R22">
        <v>22450</v>
      </c>
      <c r="S22" s="30">
        <v>45379</v>
      </c>
      <c r="T22" t="s">
        <v>43</v>
      </c>
      <c r="U22">
        <v>5</v>
      </c>
      <c r="V22" s="31">
        <v>45371.635416666657</v>
      </c>
      <c r="W22" s="31">
        <v>45378.635416666657</v>
      </c>
      <c r="X22">
        <v>15.2</v>
      </c>
      <c r="Y22">
        <v>-8.2500000000000004E-2</v>
      </c>
      <c r="Z22">
        <v>1.55</v>
      </c>
      <c r="AA22">
        <v>-2.4799999999999999E-2</v>
      </c>
      <c r="AB22">
        <v>4436.2</v>
      </c>
      <c r="AC22" t="s">
        <v>46</v>
      </c>
      <c r="AE22" t="s">
        <v>40</v>
      </c>
      <c r="AF22" t="s">
        <v>51</v>
      </c>
      <c r="AG22">
        <v>21950</v>
      </c>
      <c r="AH22" s="30">
        <v>45379</v>
      </c>
      <c r="AI22" t="s">
        <v>54</v>
      </c>
      <c r="AJ22">
        <v>1</v>
      </c>
      <c r="AK22" s="31">
        <v>45350.635416666657</v>
      </c>
      <c r="AL22" s="31">
        <v>45378.635416666657</v>
      </c>
      <c r="AM22">
        <v>321.95</v>
      </c>
      <c r="AN22">
        <v>-0.4461</v>
      </c>
      <c r="AO22">
        <v>8.9</v>
      </c>
      <c r="AP22">
        <v>-0.1217</v>
      </c>
      <c r="AQ22">
        <v>-20348.2</v>
      </c>
      <c r="AR22" t="s">
        <v>46</v>
      </c>
    </row>
    <row r="23" spans="1:44" x14ac:dyDescent="0.3">
      <c r="A23" t="s">
        <v>40</v>
      </c>
      <c r="B23" t="s">
        <v>41</v>
      </c>
      <c r="C23">
        <v>22700</v>
      </c>
      <c r="D23" s="30">
        <v>45386</v>
      </c>
      <c r="E23" t="s">
        <v>43</v>
      </c>
      <c r="F23">
        <v>5</v>
      </c>
      <c r="G23" s="31">
        <v>45378.635416666657</v>
      </c>
      <c r="H23" s="31">
        <v>45385.635416666657</v>
      </c>
      <c r="I23">
        <v>11.45</v>
      </c>
      <c r="J23">
        <v>-7.0699999999999999E-2</v>
      </c>
      <c r="K23">
        <v>3.7</v>
      </c>
      <c r="L23">
        <v>-5.4199999999999998E-2</v>
      </c>
      <c r="M23">
        <v>2518.6999999999998</v>
      </c>
      <c r="N23" t="s">
        <v>46</v>
      </c>
      <c r="P23" t="s">
        <v>40</v>
      </c>
      <c r="Q23" t="s">
        <v>41</v>
      </c>
      <c r="R23">
        <v>22700</v>
      </c>
      <c r="S23" s="30">
        <v>45386</v>
      </c>
      <c r="T23" t="s">
        <v>43</v>
      </c>
      <c r="U23">
        <v>5</v>
      </c>
      <c r="V23" s="31">
        <v>45378.635416666657</v>
      </c>
      <c r="W23" s="31">
        <v>45385.635416666657</v>
      </c>
      <c r="X23">
        <v>11.45</v>
      </c>
      <c r="Y23">
        <v>-7.0699999999999999E-2</v>
      </c>
      <c r="Z23">
        <v>3.7</v>
      </c>
      <c r="AA23">
        <v>-5.4199999999999998E-2</v>
      </c>
      <c r="AB23">
        <v>2518.6999999999998</v>
      </c>
      <c r="AC23" t="s">
        <v>46</v>
      </c>
      <c r="AE23" t="s">
        <v>40</v>
      </c>
      <c r="AF23" t="s">
        <v>41</v>
      </c>
      <c r="AG23">
        <v>22450</v>
      </c>
      <c r="AH23" s="30">
        <v>45379</v>
      </c>
      <c r="AI23" t="s">
        <v>43</v>
      </c>
      <c r="AJ23">
        <v>5</v>
      </c>
      <c r="AK23" s="31">
        <v>45371.635416666657</v>
      </c>
      <c r="AL23" s="31">
        <v>45378.635416666657</v>
      </c>
      <c r="AM23">
        <v>15.2</v>
      </c>
      <c r="AN23">
        <v>-8.2500000000000004E-2</v>
      </c>
      <c r="AO23">
        <v>1.55</v>
      </c>
      <c r="AP23">
        <v>-2.4799999999999999E-2</v>
      </c>
      <c r="AQ23">
        <v>4436.2</v>
      </c>
      <c r="AR23" t="s">
        <v>46</v>
      </c>
    </row>
    <row r="24" spans="1:44" x14ac:dyDescent="0.3">
      <c r="A24" t="s">
        <v>40</v>
      </c>
      <c r="B24" t="s">
        <v>51</v>
      </c>
      <c r="C24">
        <v>22500</v>
      </c>
      <c r="D24" s="30">
        <v>45407</v>
      </c>
      <c r="E24" t="s">
        <v>43</v>
      </c>
      <c r="F24">
        <v>1</v>
      </c>
      <c r="G24" s="31">
        <v>45378.635416666657</v>
      </c>
      <c r="H24" s="31">
        <v>45386.635416666657</v>
      </c>
      <c r="I24">
        <v>386.5</v>
      </c>
      <c r="J24">
        <v>0.61599999999999999</v>
      </c>
      <c r="K24">
        <v>181.9</v>
      </c>
      <c r="L24">
        <v>0.42709999999999998</v>
      </c>
      <c r="M24">
        <v>13299</v>
      </c>
      <c r="N24" t="s">
        <v>63</v>
      </c>
      <c r="P24" t="s">
        <v>40</v>
      </c>
      <c r="Q24" t="s">
        <v>51</v>
      </c>
      <c r="R24">
        <v>22500</v>
      </c>
      <c r="S24" s="30">
        <v>45407</v>
      </c>
      <c r="T24" t="s">
        <v>43</v>
      </c>
      <c r="U24">
        <v>1</v>
      </c>
      <c r="V24" s="31">
        <v>45378.635416666657</v>
      </c>
      <c r="W24" s="31">
        <v>45386.635416666657</v>
      </c>
      <c r="X24">
        <v>386.5</v>
      </c>
      <c r="Y24">
        <v>0.61599999999999999</v>
      </c>
      <c r="Z24">
        <v>181.9</v>
      </c>
      <c r="AA24">
        <v>0.42709999999999998</v>
      </c>
      <c r="AB24">
        <v>13299</v>
      </c>
      <c r="AC24" t="s">
        <v>63</v>
      </c>
      <c r="AE24" t="s">
        <v>40</v>
      </c>
      <c r="AF24" t="s">
        <v>41</v>
      </c>
      <c r="AG24">
        <v>22700</v>
      </c>
      <c r="AH24" s="30">
        <v>45386</v>
      </c>
      <c r="AI24" t="s">
        <v>43</v>
      </c>
      <c r="AJ24">
        <v>5</v>
      </c>
      <c r="AK24" s="31">
        <v>45378.635416666657</v>
      </c>
      <c r="AL24" s="31">
        <v>45385.635416666657</v>
      </c>
      <c r="AM24">
        <v>11.45</v>
      </c>
      <c r="AN24">
        <v>-7.0699999999999999E-2</v>
      </c>
      <c r="AO24">
        <v>3.7</v>
      </c>
      <c r="AP24">
        <v>-5.4199999999999998E-2</v>
      </c>
      <c r="AQ24">
        <v>2518.6999999999998</v>
      </c>
      <c r="AR24" t="s">
        <v>46</v>
      </c>
    </row>
    <row r="25" spans="1:44" x14ac:dyDescent="0.3">
      <c r="A25" t="s">
        <v>40</v>
      </c>
      <c r="B25" t="s">
        <v>41</v>
      </c>
      <c r="C25">
        <v>23000</v>
      </c>
      <c r="D25" s="30">
        <v>45392</v>
      </c>
      <c r="E25" t="s">
        <v>43</v>
      </c>
      <c r="F25">
        <v>5</v>
      </c>
      <c r="G25" s="31">
        <v>45385.635416666657</v>
      </c>
      <c r="H25" s="31">
        <v>45391.635416666657</v>
      </c>
      <c r="I25">
        <v>9</v>
      </c>
      <c r="J25">
        <v>-6.13E-2</v>
      </c>
      <c r="K25">
        <v>1.7</v>
      </c>
      <c r="L25">
        <v>-2.53E-2</v>
      </c>
      <c r="M25">
        <v>2372.5</v>
      </c>
      <c r="N25" t="s">
        <v>46</v>
      </c>
      <c r="P25" t="s">
        <v>40</v>
      </c>
      <c r="Q25" t="s">
        <v>41</v>
      </c>
      <c r="R25">
        <v>23000</v>
      </c>
      <c r="S25" s="30">
        <v>45392</v>
      </c>
      <c r="T25" t="s">
        <v>43</v>
      </c>
      <c r="U25">
        <v>5</v>
      </c>
      <c r="V25" s="31">
        <v>45385.635416666657</v>
      </c>
      <c r="W25" s="31">
        <v>45391.635416666657</v>
      </c>
      <c r="X25">
        <v>9</v>
      </c>
      <c r="Y25">
        <v>-6.13E-2</v>
      </c>
      <c r="Z25">
        <v>1.7</v>
      </c>
      <c r="AA25">
        <v>-2.53E-2</v>
      </c>
      <c r="AB25">
        <v>2372.5</v>
      </c>
      <c r="AC25" t="s">
        <v>46</v>
      </c>
      <c r="AE25" t="s">
        <v>40</v>
      </c>
      <c r="AF25" t="s">
        <v>51</v>
      </c>
      <c r="AG25">
        <v>22500</v>
      </c>
      <c r="AH25" s="30">
        <v>45407</v>
      </c>
      <c r="AI25" t="s">
        <v>43</v>
      </c>
      <c r="AJ25">
        <v>1</v>
      </c>
      <c r="AK25" s="31">
        <v>45378.635416666657</v>
      </c>
      <c r="AL25" s="31">
        <v>45386.635416666657</v>
      </c>
      <c r="AM25">
        <v>386.5</v>
      </c>
      <c r="AN25">
        <v>0.61599999999999999</v>
      </c>
      <c r="AO25">
        <v>181.9</v>
      </c>
      <c r="AP25">
        <v>0.42709999999999998</v>
      </c>
      <c r="AQ25">
        <v>13299</v>
      </c>
      <c r="AR25" t="s">
        <v>63</v>
      </c>
    </row>
    <row r="26" spans="1:44" x14ac:dyDescent="0.3">
      <c r="A26" t="s">
        <v>40</v>
      </c>
      <c r="B26" t="s">
        <v>41</v>
      </c>
      <c r="C26">
        <v>23250</v>
      </c>
      <c r="D26" s="30">
        <v>45400</v>
      </c>
      <c r="E26" t="s">
        <v>43</v>
      </c>
      <c r="F26">
        <v>5</v>
      </c>
      <c r="G26" s="31">
        <v>45391.635416666657</v>
      </c>
      <c r="H26" s="31">
        <v>45398.635416666657</v>
      </c>
      <c r="I26">
        <v>10.3</v>
      </c>
      <c r="J26">
        <v>-6.4600000000000005E-2</v>
      </c>
      <c r="K26">
        <v>0.5</v>
      </c>
      <c r="L26">
        <v>-4.1000000000000003E-3</v>
      </c>
      <c r="M26">
        <v>3185</v>
      </c>
      <c r="N26" t="s">
        <v>46</v>
      </c>
      <c r="P26" t="s">
        <v>40</v>
      </c>
      <c r="Q26" t="s">
        <v>41</v>
      </c>
      <c r="R26">
        <v>23250</v>
      </c>
      <c r="S26" s="30">
        <v>45400</v>
      </c>
      <c r="T26" t="s">
        <v>43</v>
      </c>
      <c r="U26">
        <v>5</v>
      </c>
      <c r="V26" s="31">
        <v>45391.635416666657</v>
      </c>
      <c r="W26" s="31">
        <v>45398.635416666657</v>
      </c>
      <c r="X26">
        <v>10.3</v>
      </c>
      <c r="Y26">
        <v>-6.4600000000000005E-2</v>
      </c>
      <c r="Z26">
        <v>0.5</v>
      </c>
      <c r="AA26">
        <v>-4.1000000000000003E-3</v>
      </c>
      <c r="AB26">
        <v>3185</v>
      </c>
      <c r="AC26" t="s">
        <v>46</v>
      </c>
      <c r="AE26" t="s">
        <v>40</v>
      </c>
      <c r="AF26" t="s">
        <v>51</v>
      </c>
      <c r="AG26">
        <v>22100</v>
      </c>
      <c r="AH26" s="30">
        <v>45407</v>
      </c>
      <c r="AI26" t="s">
        <v>54</v>
      </c>
      <c r="AJ26">
        <v>1</v>
      </c>
      <c r="AK26" s="31">
        <v>45378.635416666657</v>
      </c>
      <c r="AL26" s="31">
        <v>45386.635416666657</v>
      </c>
      <c r="AM26">
        <v>209.2</v>
      </c>
      <c r="AN26">
        <v>-0.41710000000000003</v>
      </c>
      <c r="AO26">
        <v>72.900000000000006</v>
      </c>
      <c r="AP26">
        <v>-0.20569999999999999</v>
      </c>
      <c r="AQ26">
        <v>-8859.5</v>
      </c>
      <c r="AR26" t="s">
        <v>63</v>
      </c>
    </row>
    <row r="27" spans="1:44" x14ac:dyDescent="0.3">
      <c r="A27" t="s">
        <v>40</v>
      </c>
      <c r="B27" t="s">
        <v>51</v>
      </c>
      <c r="C27">
        <v>22100</v>
      </c>
      <c r="D27" s="30">
        <v>45407</v>
      </c>
      <c r="E27" t="s">
        <v>54</v>
      </c>
      <c r="F27">
        <v>1</v>
      </c>
      <c r="G27" s="31">
        <v>45378.635416666657</v>
      </c>
      <c r="H27" s="31">
        <v>45406.635416666657</v>
      </c>
      <c r="I27">
        <v>209.2</v>
      </c>
      <c r="J27">
        <v>-0.41710000000000003</v>
      </c>
      <c r="K27">
        <v>5.2</v>
      </c>
      <c r="L27">
        <v>-6.0600000000000001E-2</v>
      </c>
      <c r="M27">
        <v>-13260</v>
      </c>
      <c r="N27" t="s">
        <v>46</v>
      </c>
      <c r="P27" t="s">
        <v>40</v>
      </c>
      <c r="Q27" t="s">
        <v>51</v>
      </c>
      <c r="R27">
        <v>22100</v>
      </c>
      <c r="S27" s="30">
        <v>45407</v>
      </c>
      <c r="T27" t="s">
        <v>54</v>
      </c>
      <c r="U27">
        <v>1</v>
      </c>
      <c r="V27" s="31">
        <v>45378.635416666657</v>
      </c>
      <c r="W27" s="31">
        <v>45406.635416666657</v>
      </c>
      <c r="X27">
        <v>209.2</v>
      </c>
      <c r="Y27">
        <v>-0.41710000000000003</v>
      </c>
      <c r="Z27">
        <v>5.2</v>
      </c>
      <c r="AA27">
        <v>-6.0600000000000001E-2</v>
      </c>
      <c r="AB27">
        <v>-13260</v>
      </c>
      <c r="AC27" t="s">
        <v>46</v>
      </c>
      <c r="AE27" t="s">
        <v>40</v>
      </c>
      <c r="AF27" t="s">
        <v>41</v>
      </c>
      <c r="AG27">
        <v>23000</v>
      </c>
      <c r="AH27" s="30">
        <v>45392</v>
      </c>
      <c r="AI27" t="s">
        <v>43</v>
      </c>
      <c r="AJ27">
        <v>5</v>
      </c>
      <c r="AK27" s="31">
        <v>45385.635416666657</v>
      </c>
      <c r="AL27" s="31">
        <v>45391.635416666657</v>
      </c>
      <c r="AM27">
        <v>9</v>
      </c>
      <c r="AN27">
        <v>-6.13E-2</v>
      </c>
      <c r="AO27">
        <v>1.7</v>
      </c>
      <c r="AP27">
        <v>-2.53E-2</v>
      </c>
      <c r="AQ27">
        <v>2372.5</v>
      </c>
      <c r="AR27" t="s">
        <v>46</v>
      </c>
    </row>
    <row r="28" spans="1:44" x14ac:dyDescent="0.3">
      <c r="A28" t="s">
        <v>40</v>
      </c>
      <c r="B28" t="s">
        <v>51</v>
      </c>
      <c r="C28">
        <v>23000</v>
      </c>
      <c r="D28" s="30">
        <v>45407</v>
      </c>
      <c r="E28" t="s">
        <v>43</v>
      </c>
      <c r="F28">
        <v>1</v>
      </c>
      <c r="G28" s="31">
        <v>45386.635416666657</v>
      </c>
      <c r="H28" s="31">
        <v>45406.635416666657</v>
      </c>
      <c r="I28">
        <v>461.6</v>
      </c>
      <c r="J28">
        <v>0.75819999999999999</v>
      </c>
      <c r="K28">
        <v>590.45000000000005</v>
      </c>
      <c r="L28">
        <v>0.99139999999999995</v>
      </c>
      <c r="M28">
        <v>-8375.2999999999993</v>
      </c>
      <c r="N28" t="s">
        <v>46</v>
      </c>
      <c r="P28" t="s">
        <v>40</v>
      </c>
      <c r="Q28" t="s">
        <v>51</v>
      </c>
      <c r="R28">
        <v>22900</v>
      </c>
      <c r="S28" s="30">
        <v>45407</v>
      </c>
      <c r="T28" t="s">
        <v>43</v>
      </c>
      <c r="U28">
        <v>1</v>
      </c>
      <c r="V28" s="31">
        <v>45386.635416666657</v>
      </c>
      <c r="W28" s="31">
        <v>45406.635416666657</v>
      </c>
      <c r="X28">
        <v>392.2</v>
      </c>
      <c r="Y28">
        <v>0.6966</v>
      </c>
      <c r="Z28">
        <v>490.2</v>
      </c>
      <c r="AA28">
        <v>0.98899999999999999</v>
      </c>
      <c r="AB28">
        <v>-6370</v>
      </c>
      <c r="AC28" t="s">
        <v>46</v>
      </c>
      <c r="AE28" t="s">
        <v>40</v>
      </c>
      <c r="AF28" t="s">
        <v>41</v>
      </c>
      <c r="AG28">
        <v>23250</v>
      </c>
      <c r="AH28" s="30">
        <v>45400</v>
      </c>
      <c r="AI28" t="s">
        <v>43</v>
      </c>
      <c r="AJ28">
        <v>5</v>
      </c>
      <c r="AK28" s="31">
        <v>45391.635416666657</v>
      </c>
      <c r="AL28" s="31">
        <v>45398.635416666657</v>
      </c>
      <c r="AM28">
        <v>10.3</v>
      </c>
      <c r="AN28">
        <v>-6.4600000000000005E-2</v>
      </c>
      <c r="AO28">
        <v>0.5</v>
      </c>
      <c r="AP28">
        <v>-4.1000000000000003E-3</v>
      </c>
      <c r="AQ28">
        <v>3185</v>
      </c>
      <c r="AR28" t="s">
        <v>46</v>
      </c>
    </row>
    <row r="29" spans="1:44" x14ac:dyDescent="0.3">
      <c r="A29" t="s">
        <v>40</v>
      </c>
      <c r="B29" t="s">
        <v>41</v>
      </c>
      <c r="C29">
        <v>22900</v>
      </c>
      <c r="D29" s="30">
        <v>45407</v>
      </c>
      <c r="E29" t="s">
        <v>43</v>
      </c>
      <c r="F29">
        <v>5</v>
      </c>
      <c r="G29" s="31">
        <v>45398.635416666657</v>
      </c>
      <c r="H29" s="31">
        <v>45406.635416666657</v>
      </c>
      <c r="I29">
        <v>9.8000000000000007</v>
      </c>
      <c r="J29">
        <v>-5.4399999999999997E-2</v>
      </c>
      <c r="K29">
        <v>0.8</v>
      </c>
      <c r="L29">
        <v>-1.0999999999999999E-2</v>
      </c>
      <c r="M29">
        <v>2925</v>
      </c>
      <c r="N29" t="s">
        <v>46</v>
      </c>
      <c r="P29" t="s">
        <v>40</v>
      </c>
      <c r="Q29" t="s">
        <v>41</v>
      </c>
      <c r="R29">
        <v>22900</v>
      </c>
      <c r="S29" s="30">
        <v>45407</v>
      </c>
      <c r="T29" t="s">
        <v>43</v>
      </c>
      <c r="U29">
        <v>5</v>
      </c>
      <c r="V29" s="31">
        <v>45398.635416666657</v>
      </c>
      <c r="W29" s="31">
        <v>45406.635416666657</v>
      </c>
      <c r="X29">
        <v>9.8000000000000007</v>
      </c>
      <c r="Y29">
        <v>-5.4399999999999997E-2</v>
      </c>
      <c r="Z29">
        <v>0.8</v>
      </c>
      <c r="AA29">
        <v>-1.0999999999999999E-2</v>
      </c>
      <c r="AB29">
        <v>2925</v>
      </c>
      <c r="AC29" t="s">
        <v>46</v>
      </c>
      <c r="AE29" t="s">
        <v>40</v>
      </c>
      <c r="AF29" t="s">
        <v>51</v>
      </c>
      <c r="AG29">
        <v>22900</v>
      </c>
      <c r="AH29" s="30">
        <v>45407</v>
      </c>
      <c r="AI29" t="s">
        <v>43</v>
      </c>
      <c r="AJ29">
        <v>1</v>
      </c>
      <c r="AK29" s="31">
        <v>45386.635416666657</v>
      </c>
      <c r="AL29" s="31">
        <v>45406.635416666657</v>
      </c>
      <c r="AM29">
        <v>392.2</v>
      </c>
      <c r="AN29">
        <v>0.6966</v>
      </c>
      <c r="AO29">
        <v>490.2</v>
      </c>
      <c r="AP29">
        <v>0.98899999999999999</v>
      </c>
      <c r="AQ29">
        <v>-6370</v>
      </c>
      <c r="AR29" t="s">
        <v>46</v>
      </c>
    </row>
    <row r="30" spans="1:44" x14ac:dyDescent="0.3">
      <c r="A30" t="s">
        <v>40</v>
      </c>
      <c r="B30" t="s">
        <v>41</v>
      </c>
      <c r="C30">
        <v>22900</v>
      </c>
      <c r="D30" s="30">
        <v>45414</v>
      </c>
      <c r="E30" t="s">
        <v>43</v>
      </c>
      <c r="F30">
        <v>5</v>
      </c>
      <c r="G30" s="31">
        <v>45406.635416666657</v>
      </c>
      <c r="H30" s="31">
        <v>45412.635416666657</v>
      </c>
      <c r="I30">
        <v>11.95</v>
      </c>
      <c r="J30">
        <v>-8.0699999999999994E-2</v>
      </c>
      <c r="K30">
        <v>6.6</v>
      </c>
      <c r="L30">
        <v>-7.3700000000000002E-2</v>
      </c>
      <c r="M30">
        <v>1738.7</v>
      </c>
      <c r="N30" t="s">
        <v>46</v>
      </c>
      <c r="P30" t="s">
        <v>40</v>
      </c>
      <c r="Q30" t="s">
        <v>41</v>
      </c>
      <c r="R30">
        <v>22900</v>
      </c>
      <c r="S30" s="30">
        <v>45414</v>
      </c>
      <c r="T30" t="s">
        <v>43</v>
      </c>
      <c r="U30">
        <v>5</v>
      </c>
      <c r="V30" s="31">
        <v>45406.635416666657</v>
      </c>
      <c r="W30" s="31">
        <v>45412.635416666657</v>
      </c>
      <c r="X30">
        <v>11.95</v>
      </c>
      <c r="Y30">
        <v>-8.0699999999999994E-2</v>
      </c>
      <c r="Z30">
        <v>6.6</v>
      </c>
      <c r="AA30">
        <v>-7.3700000000000002E-2</v>
      </c>
      <c r="AB30">
        <v>1738.7</v>
      </c>
      <c r="AC30" t="s">
        <v>46</v>
      </c>
      <c r="AE30" t="s">
        <v>40</v>
      </c>
      <c r="AF30" t="s">
        <v>51</v>
      </c>
      <c r="AG30">
        <v>22500</v>
      </c>
      <c r="AH30" s="30">
        <v>45407</v>
      </c>
      <c r="AI30" t="s">
        <v>54</v>
      </c>
      <c r="AJ30">
        <v>1</v>
      </c>
      <c r="AK30" s="31">
        <v>45386.635416666657</v>
      </c>
      <c r="AL30" s="31">
        <v>45406.635416666657</v>
      </c>
      <c r="AM30">
        <v>181.9</v>
      </c>
      <c r="AN30">
        <v>-0.42709999999999998</v>
      </c>
      <c r="AO30">
        <v>114.2</v>
      </c>
      <c r="AP30">
        <v>-0.73760000000000003</v>
      </c>
      <c r="AQ30">
        <v>-4400.5</v>
      </c>
      <c r="AR30" t="s">
        <v>46</v>
      </c>
    </row>
    <row r="31" spans="1:44" x14ac:dyDescent="0.3">
      <c r="A31" t="s">
        <v>40</v>
      </c>
      <c r="B31" t="s">
        <v>41</v>
      </c>
      <c r="C31">
        <v>23250</v>
      </c>
      <c r="D31" s="30">
        <v>45421</v>
      </c>
      <c r="E31" t="s">
        <v>43</v>
      </c>
      <c r="F31">
        <v>5</v>
      </c>
      <c r="G31" s="31">
        <v>45412.635416666657</v>
      </c>
      <c r="H31" s="31">
        <v>45420.635416666657</v>
      </c>
      <c r="I31">
        <v>10.95</v>
      </c>
      <c r="J31">
        <v>-6.3899999999999998E-2</v>
      </c>
      <c r="K31">
        <v>0.45</v>
      </c>
      <c r="L31">
        <v>-4.1999999999999997E-3</v>
      </c>
      <c r="M31">
        <v>3412.5</v>
      </c>
      <c r="N31" t="s">
        <v>46</v>
      </c>
      <c r="P31" t="s">
        <v>40</v>
      </c>
      <c r="Q31" t="s">
        <v>41</v>
      </c>
      <c r="R31">
        <v>23250</v>
      </c>
      <c r="S31" s="30">
        <v>45421</v>
      </c>
      <c r="T31" t="s">
        <v>43</v>
      </c>
      <c r="U31">
        <v>5</v>
      </c>
      <c r="V31" s="31">
        <v>45412.635416666657</v>
      </c>
      <c r="W31" s="31">
        <v>45420.635416666657</v>
      </c>
      <c r="X31">
        <v>10.95</v>
      </c>
      <c r="Y31">
        <v>-6.3899999999999998E-2</v>
      </c>
      <c r="Z31">
        <v>0.45</v>
      </c>
      <c r="AA31">
        <v>-4.1999999999999997E-3</v>
      </c>
      <c r="AB31">
        <v>3412.5</v>
      </c>
      <c r="AC31" t="s">
        <v>46</v>
      </c>
      <c r="AE31" t="s">
        <v>40</v>
      </c>
      <c r="AF31" t="s">
        <v>41</v>
      </c>
      <c r="AG31">
        <v>22950</v>
      </c>
      <c r="AH31" s="30">
        <v>45407</v>
      </c>
      <c r="AI31" t="s">
        <v>43</v>
      </c>
      <c r="AJ31">
        <v>5</v>
      </c>
      <c r="AK31" s="31">
        <v>45398.635416666657</v>
      </c>
      <c r="AL31" s="31">
        <v>45406.635416666657</v>
      </c>
      <c r="AM31">
        <v>8.4</v>
      </c>
      <c r="AN31">
        <v>-4.6699999999999998E-2</v>
      </c>
      <c r="AO31">
        <v>0.65</v>
      </c>
      <c r="AP31">
        <v>-8.6E-3</v>
      </c>
      <c r="AQ31">
        <v>2518.8000000000002</v>
      </c>
      <c r="AR31" t="s">
        <v>46</v>
      </c>
    </row>
    <row r="32" spans="1:44" x14ac:dyDescent="0.3">
      <c r="A32" t="s">
        <v>40</v>
      </c>
      <c r="B32" t="s">
        <v>41</v>
      </c>
      <c r="C32">
        <v>23000</v>
      </c>
      <c r="D32" s="30">
        <v>45428</v>
      </c>
      <c r="E32" t="s">
        <v>43</v>
      </c>
      <c r="F32">
        <v>5</v>
      </c>
      <c r="G32" s="31">
        <v>45420.635416666657</v>
      </c>
      <c r="H32" s="31">
        <v>45427.635416666657</v>
      </c>
      <c r="I32">
        <v>10.35</v>
      </c>
      <c r="J32">
        <v>-5.8500000000000003E-2</v>
      </c>
      <c r="K32">
        <v>0.45</v>
      </c>
      <c r="L32">
        <v>-4.7999999999999996E-3</v>
      </c>
      <c r="M32">
        <v>3217.5</v>
      </c>
      <c r="N32" t="s">
        <v>46</v>
      </c>
      <c r="P32" t="s">
        <v>40</v>
      </c>
      <c r="Q32" t="s">
        <v>41</v>
      </c>
      <c r="R32">
        <v>23000</v>
      </c>
      <c r="S32" s="30">
        <v>45428</v>
      </c>
      <c r="T32" t="s">
        <v>43</v>
      </c>
      <c r="U32">
        <v>5</v>
      </c>
      <c r="V32" s="31">
        <v>45420.635416666657</v>
      </c>
      <c r="W32" s="31">
        <v>45427.635416666657</v>
      </c>
      <c r="X32">
        <v>10.35</v>
      </c>
      <c r="Y32">
        <v>-5.8500000000000003E-2</v>
      </c>
      <c r="Z32">
        <v>0.45</v>
      </c>
      <c r="AA32">
        <v>-4.7999999999999996E-3</v>
      </c>
      <c r="AB32">
        <v>3217.5</v>
      </c>
      <c r="AC32" t="s">
        <v>46</v>
      </c>
      <c r="AE32" t="s">
        <v>40</v>
      </c>
      <c r="AF32" t="s">
        <v>41</v>
      </c>
      <c r="AG32">
        <v>22900</v>
      </c>
      <c r="AH32" s="30">
        <v>45414</v>
      </c>
      <c r="AI32" t="s">
        <v>43</v>
      </c>
      <c r="AJ32">
        <v>5</v>
      </c>
      <c r="AK32" s="31">
        <v>45406.635416666657</v>
      </c>
      <c r="AL32" s="31">
        <v>45412.635416666657</v>
      </c>
      <c r="AM32">
        <v>11.95</v>
      </c>
      <c r="AN32">
        <v>-8.0699999999999994E-2</v>
      </c>
      <c r="AO32">
        <v>6.6</v>
      </c>
      <c r="AP32">
        <v>-7.3700000000000002E-2</v>
      </c>
      <c r="AQ32">
        <v>1738.7</v>
      </c>
      <c r="AR32" t="s">
        <v>46</v>
      </c>
    </row>
    <row r="33" spans="1:44" x14ac:dyDescent="0.3">
      <c r="A33" t="s">
        <v>40</v>
      </c>
      <c r="B33" t="s">
        <v>41</v>
      </c>
      <c r="C33">
        <v>22900</v>
      </c>
      <c r="D33" s="30">
        <v>45435</v>
      </c>
      <c r="E33" t="s">
        <v>43</v>
      </c>
      <c r="F33">
        <v>5</v>
      </c>
      <c r="G33" s="31">
        <v>45427.635416666657</v>
      </c>
      <c r="H33" s="31">
        <v>45434.635416666657</v>
      </c>
      <c r="I33">
        <v>9.9499999999999993</v>
      </c>
      <c r="J33">
        <v>-5.6899999999999999E-2</v>
      </c>
      <c r="K33">
        <v>2.2999999999999998</v>
      </c>
      <c r="L33">
        <v>-3.6200000000000003E-2</v>
      </c>
      <c r="M33">
        <v>2486.1999999999998</v>
      </c>
      <c r="N33" t="s">
        <v>46</v>
      </c>
      <c r="P33" t="s">
        <v>40</v>
      </c>
      <c r="Q33" t="s">
        <v>41</v>
      </c>
      <c r="R33">
        <v>22900</v>
      </c>
      <c r="S33" s="30">
        <v>45435</v>
      </c>
      <c r="T33" t="s">
        <v>43</v>
      </c>
      <c r="U33">
        <v>5</v>
      </c>
      <c r="V33" s="31">
        <v>45427.635416666657</v>
      </c>
      <c r="W33" s="31">
        <v>45434.635416666657</v>
      </c>
      <c r="X33">
        <v>9.9499999999999993</v>
      </c>
      <c r="Y33">
        <v>-5.6899999999999999E-2</v>
      </c>
      <c r="Z33">
        <v>2.2999999999999998</v>
      </c>
      <c r="AA33">
        <v>-3.6200000000000003E-2</v>
      </c>
      <c r="AB33">
        <v>2486.1999999999998</v>
      </c>
      <c r="AC33" t="s">
        <v>46</v>
      </c>
      <c r="AE33" t="s">
        <v>40</v>
      </c>
      <c r="AF33" t="s">
        <v>41</v>
      </c>
      <c r="AG33">
        <v>23250</v>
      </c>
      <c r="AH33" s="30">
        <v>45421</v>
      </c>
      <c r="AI33" t="s">
        <v>43</v>
      </c>
      <c r="AJ33">
        <v>5</v>
      </c>
      <c r="AK33" s="31">
        <v>45412.635416666657</v>
      </c>
      <c r="AL33" s="31">
        <v>45420.635416666657</v>
      </c>
      <c r="AM33">
        <v>10.95</v>
      </c>
      <c r="AN33">
        <v>-6.3899999999999998E-2</v>
      </c>
      <c r="AO33">
        <v>0.45</v>
      </c>
      <c r="AP33">
        <v>-4.1999999999999997E-3</v>
      </c>
      <c r="AQ33">
        <v>3412.5</v>
      </c>
      <c r="AR33" t="s">
        <v>46</v>
      </c>
    </row>
    <row r="34" spans="1:44" x14ac:dyDescent="0.3">
      <c r="A34" t="s">
        <v>40</v>
      </c>
      <c r="B34" t="s">
        <v>51</v>
      </c>
      <c r="C34">
        <v>22400</v>
      </c>
      <c r="D34" s="30">
        <v>45442</v>
      </c>
      <c r="E34" t="s">
        <v>54</v>
      </c>
      <c r="F34">
        <v>1</v>
      </c>
      <c r="G34" s="31">
        <v>45406.635416666657</v>
      </c>
      <c r="H34" s="31">
        <v>45441.635416666657</v>
      </c>
      <c r="I34">
        <v>273</v>
      </c>
      <c r="J34">
        <v>-0.42559999999999998</v>
      </c>
      <c r="K34">
        <v>7.1</v>
      </c>
      <c r="L34">
        <v>-7.2499999999999995E-2</v>
      </c>
      <c r="M34">
        <v>-17283.5</v>
      </c>
      <c r="N34" t="s">
        <v>46</v>
      </c>
      <c r="P34" t="s">
        <v>40</v>
      </c>
      <c r="Q34" t="s">
        <v>51</v>
      </c>
      <c r="R34">
        <v>22400</v>
      </c>
      <c r="S34" s="30">
        <v>45442</v>
      </c>
      <c r="T34" t="s">
        <v>54</v>
      </c>
      <c r="U34">
        <v>1</v>
      </c>
      <c r="V34" s="31">
        <v>45406.635416666657</v>
      </c>
      <c r="W34" s="31">
        <v>45441.635416666657</v>
      </c>
      <c r="X34">
        <v>273</v>
      </c>
      <c r="Y34">
        <v>-0.42559999999999998</v>
      </c>
      <c r="Z34">
        <v>7.1</v>
      </c>
      <c r="AA34">
        <v>-7.2499999999999995E-2</v>
      </c>
      <c r="AB34">
        <v>-17283.5</v>
      </c>
      <c r="AC34" t="s">
        <v>46</v>
      </c>
      <c r="AE34" t="s">
        <v>40</v>
      </c>
      <c r="AF34" t="s">
        <v>41</v>
      </c>
      <c r="AG34">
        <v>23000</v>
      </c>
      <c r="AH34" s="30">
        <v>45428</v>
      </c>
      <c r="AI34" t="s">
        <v>43</v>
      </c>
      <c r="AJ34">
        <v>5</v>
      </c>
      <c r="AK34" s="31">
        <v>45420.635416666657</v>
      </c>
      <c r="AL34" s="31">
        <v>45427.635416666657</v>
      </c>
      <c r="AM34">
        <v>10.35</v>
      </c>
      <c r="AN34">
        <v>-5.8500000000000003E-2</v>
      </c>
      <c r="AO34">
        <v>0.45</v>
      </c>
      <c r="AP34">
        <v>-4.7999999999999996E-3</v>
      </c>
      <c r="AQ34">
        <v>3217.5</v>
      </c>
      <c r="AR34" t="s">
        <v>46</v>
      </c>
    </row>
    <row r="35" spans="1:44" x14ac:dyDescent="0.3">
      <c r="A35" t="s">
        <v>40</v>
      </c>
      <c r="B35" t="s">
        <v>51</v>
      </c>
      <c r="C35">
        <v>23000</v>
      </c>
      <c r="D35" s="30">
        <v>45442</v>
      </c>
      <c r="E35" t="s">
        <v>43</v>
      </c>
      <c r="F35">
        <v>1</v>
      </c>
      <c r="G35" s="31">
        <v>45406.635416666657</v>
      </c>
      <c r="H35" s="31">
        <v>45441.635416666657</v>
      </c>
      <c r="I35">
        <v>600.15</v>
      </c>
      <c r="J35">
        <v>0.72470000000000001</v>
      </c>
      <c r="K35">
        <v>261.8</v>
      </c>
      <c r="L35">
        <v>0.89039999999999997</v>
      </c>
      <c r="M35">
        <v>21992.7</v>
      </c>
      <c r="N35" t="s">
        <v>46</v>
      </c>
      <c r="P35" t="s">
        <v>40</v>
      </c>
      <c r="Q35" t="s">
        <v>51</v>
      </c>
      <c r="R35">
        <v>23000</v>
      </c>
      <c r="S35" s="30">
        <v>45442</v>
      </c>
      <c r="T35" t="s">
        <v>43</v>
      </c>
      <c r="U35">
        <v>1</v>
      </c>
      <c r="V35" s="31">
        <v>45406.635416666657</v>
      </c>
      <c r="W35" s="31">
        <v>45441.635416666657</v>
      </c>
      <c r="X35">
        <v>600.15</v>
      </c>
      <c r="Y35">
        <v>0.72470000000000001</v>
      </c>
      <c r="Z35">
        <v>261.8</v>
      </c>
      <c r="AA35">
        <v>0.89039999999999997</v>
      </c>
      <c r="AB35">
        <v>21992.7</v>
      </c>
      <c r="AC35" t="s">
        <v>46</v>
      </c>
      <c r="AE35" t="s">
        <v>40</v>
      </c>
      <c r="AF35" t="s">
        <v>41</v>
      </c>
      <c r="AG35">
        <v>22900</v>
      </c>
      <c r="AH35" s="30">
        <v>45435</v>
      </c>
      <c r="AI35" t="s">
        <v>43</v>
      </c>
      <c r="AJ35">
        <v>5</v>
      </c>
      <c r="AK35" s="31">
        <v>45427.635416666657</v>
      </c>
      <c r="AL35" s="31">
        <v>45434.635416666657</v>
      </c>
      <c r="AM35">
        <v>9.9499999999999993</v>
      </c>
      <c r="AN35">
        <v>-5.6899999999999999E-2</v>
      </c>
      <c r="AO35">
        <v>2.2999999999999998</v>
      </c>
      <c r="AP35">
        <v>-3.6200000000000003E-2</v>
      </c>
      <c r="AQ35">
        <v>2486.1999999999998</v>
      </c>
      <c r="AR35" t="s">
        <v>46</v>
      </c>
    </row>
    <row r="36" spans="1:44" x14ac:dyDescent="0.3">
      <c r="A36" t="s">
        <v>40</v>
      </c>
      <c r="B36" t="s">
        <v>41</v>
      </c>
      <c r="C36">
        <v>23250</v>
      </c>
      <c r="D36" s="30">
        <v>45442</v>
      </c>
      <c r="E36" t="s">
        <v>43</v>
      </c>
      <c r="F36">
        <v>5</v>
      </c>
      <c r="G36" s="31">
        <v>45434.635416666657</v>
      </c>
      <c r="H36" s="31">
        <v>45441.635416666657</v>
      </c>
      <c r="I36">
        <v>10.55</v>
      </c>
      <c r="J36">
        <v>-6.2600000000000003E-2</v>
      </c>
      <c r="K36">
        <v>1.6</v>
      </c>
      <c r="L36">
        <v>-1.77E-2</v>
      </c>
      <c r="M36">
        <v>2908.8</v>
      </c>
      <c r="N36" t="s">
        <v>46</v>
      </c>
      <c r="P36" t="s">
        <v>40</v>
      </c>
      <c r="Q36" t="s">
        <v>41</v>
      </c>
      <c r="R36">
        <v>23250</v>
      </c>
      <c r="S36" s="30">
        <v>45442</v>
      </c>
      <c r="T36" t="s">
        <v>43</v>
      </c>
      <c r="U36">
        <v>5</v>
      </c>
      <c r="V36" s="31">
        <v>45434.635416666657</v>
      </c>
      <c r="W36" s="31">
        <v>45441.635416666657</v>
      </c>
      <c r="X36">
        <v>10.55</v>
      </c>
      <c r="Y36">
        <v>-6.2600000000000003E-2</v>
      </c>
      <c r="Z36">
        <v>1.6</v>
      </c>
      <c r="AA36">
        <v>-1.77E-2</v>
      </c>
      <c r="AB36">
        <v>2908.8</v>
      </c>
      <c r="AC36" t="s">
        <v>46</v>
      </c>
      <c r="AE36" t="s">
        <v>40</v>
      </c>
      <c r="AF36" t="s">
        <v>51</v>
      </c>
      <c r="AG36">
        <v>23000</v>
      </c>
      <c r="AH36" s="30">
        <v>45442</v>
      </c>
      <c r="AI36" t="s">
        <v>43</v>
      </c>
      <c r="AJ36">
        <v>1</v>
      </c>
      <c r="AK36" s="31">
        <v>45406.635416666657</v>
      </c>
      <c r="AL36" s="31">
        <v>45441.635416666657</v>
      </c>
      <c r="AM36">
        <v>600.15</v>
      </c>
      <c r="AN36">
        <v>0.72470000000000001</v>
      </c>
      <c r="AO36">
        <v>261.8</v>
      </c>
      <c r="AP36">
        <v>0.89039999999999997</v>
      </c>
      <c r="AQ36">
        <v>21992.7</v>
      </c>
      <c r="AR36" t="s">
        <v>46</v>
      </c>
    </row>
    <row r="37" spans="1:44" x14ac:dyDescent="0.3">
      <c r="A37" t="s">
        <v>40</v>
      </c>
      <c r="B37" t="s">
        <v>41</v>
      </c>
      <c r="C37">
        <v>24700</v>
      </c>
      <c r="D37" s="30">
        <v>45449</v>
      </c>
      <c r="E37" t="s">
        <v>43</v>
      </c>
      <c r="F37">
        <v>5</v>
      </c>
      <c r="G37" s="31">
        <v>45441.635416666657</v>
      </c>
      <c r="H37" s="31">
        <v>45448.635416666657</v>
      </c>
      <c r="I37">
        <v>25.6</v>
      </c>
      <c r="J37">
        <v>-5.3800000000000001E-2</v>
      </c>
      <c r="K37">
        <v>1.2</v>
      </c>
      <c r="L37">
        <v>-5.0000000000000001E-3</v>
      </c>
      <c r="M37">
        <v>7930</v>
      </c>
      <c r="N37" t="s">
        <v>46</v>
      </c>
      <c r="P37" t="s">
        <v>40</v>
      </c>
      <c r="Q37" t="s">
        <v>41</v>
      </c>
      <c r="R37">
        <v>24700</v>
      </c>
      <c r="S37" s="30">
        <v>45449</v>
      </c>
      <c r="T37" t="s">
        <v>43</v>
      </c>
      <c r="U37">
        <v>5</v>
      </c>
      <c r="V37" s="31">
        <v>45441.635416666657</v>
      </c>
      <c r="W37" s="31">
        <v>45448.635416666657</v>
      </c>
      <c r="X37">
        <v>25.6</v>
      </c>
      <c r="Y37">
        <v>-5.3800000000000001E-2</v>
      </c>
      <c r="Z37">
        <v>1.2</v>
      </c>
      <c r="AA37">
        <v>-5.0000000000000001E-3</v>
      </c>
      <c r="AB37">
        <v>7930</v>
      </c>
      <c r="AC37" t="s">
        <v>46</v>
      </c>
      <c r="AE37" t="s">
        <v>40</v>
      </c>
      <c r="AF37" t="s">
        <v>51</v>
      </c>
      <c r="AG37">
        <v>22400</v>
      </c>
      <c r="AH37" s="30">
        <v>45442</v>
      </c>
      <c r="AI37" t="s">
        <v>54</v>
      </c>
      <c r="AJ37">
        <v>1</v>
      </c>
      <c r="AK37" s="31">
        <v>45406.635416666657</v>
      </c>
      <c r="AL37" s="31">
        <v>45441.635416666657</v>
      </c>
      <c r="AM37">
        <v>273</v>
      </c>
      <c r="AN37">
        <v>-0.42559999999999998</v>
      </c>
      <c r="AO37">
        <v>7.1</v>
      </c>
      <c r="AP37">
        <v>-7.2499999999999995E-2</v>
      </c>
      <c r="AQ37">
        <v>-17283.5</v>
      </c>
      <c r="AR37" t="s">
        <v>46</v>
      </c>
    </row>
    <row r="38" spans="1:44" x14ac:dyDescent="0.3">
      <c r="A38" t="s">
        <v>40</v>
      </c>
      <c r="B38" t="s">
        <v>41</v>
      </c>
      <c r="C38">
        <v>24700</v>
      </c>
      <c r="D38" s="30">
        <v>45456</v>
      </c>
      <c r="E38" t="s">
        <v>43</v>
      </c>
      <c r="F38">
        <v>5</v>
      </c>
      <c r="G38" s="31">
        <v>45448.635416666657</v>
      </c>
      <c r="H38" s="31">
        <v>45455.635416666657</v>
      </c>
      <c r="I38">
        <v>26.3</v>
      </c>
      <c r="J38">
        <v>-5.3499999999999999E-2</v>
      </c>
      <c r="K38">
        <v>0.2</v>
      </c>
      <c r="L38">
        <v>-1.6000000000000001E-3</v>
      </c>
      <c r="M38">
        <v>8482.5</v>
      </c>
      <c r="N38" t="s">
        <v>46</v>
      </c>
      <c r="P38" t="s">
        <v>40</v>
      </c>
      <c r="Q38" t="s">
        <v>41</v>
      </c>
      <c r="R38">
        <v>24700</v>
      </c>
      <c r="S38" s="30">
        <v>45456</v>
      </c>
      <c r="T38" t="s">
        <v>43</v>
      </c>
      <c r="U38">
        <v>5</v>
      </c>
      <c r="V38" s="31">
        <v>45448.635416666657</v>
      </c>
      <c r="W38" s="31">
        <v>45455.635416666657</v>
      </c>
      <c r="X38">
        <v>26.3</v>
      </c>
      <c r="Y38">
        <v>-5.3499999999999999E-2</v>
      </c>
      <c r="Z38">
        <v>0.2</v>
      </c>
      <c r="AA38">
        <v>-1.6000000000000001E-3</v>
      </c>
      <c r="AB38">
        <v>8482.5</v>
      </c>
      <c r="AC38" t="s">
        <v>46</v>
      </c>
      <c r="AE38" t="s">
        <v>40</v>
      </c>
      <c r="AF38" t="s">
        <v>41</v>
      </c>
      <c r="AG38">
        <v>23250</v>
      </c>
      <c r="AH38" s="30">
        <v>45442</v>
      </c>
      <c r="AI38" t="s">
        <v>43</v>
      </c>
      <c r="AJ38">
        <v>5</v>
      </c>
      <c r="AK38" s="31">
        <v>45434.635416666657</v>
      </c>
      <c r="AL38" s="31">
        <v>45441.635416666657</v>
      </c>
      <c r="AM38">
        <v>10.55</v>
      </c>
      <c r="AN38">
        <v>-6.2600000000000003E-2</v>
      </c>
      <c r="AO38">
        <v>1.6</v>
      </c>
      <c r="AP38">
        <v>-1.77E-2</v>
      </c>
      <c r="AQ38">
        <v>2908.8</v>
      </c>
      <c r="AR38" t="s">
        <v>46</v>
      </c>
    </row>
    <row r="39" spans="1:44" x14ac:dyDescent="0.3">
      <c r="A39" t="s">
        <v>40</v>
      </c>
      <c r="B39" t="s">
        <v>41</v>
      </c>
      <c r="C39">
        <v>23850</v>
      </c>
      <c r="D39" s="30">
        <v>45463</v>
      </c>
      <c r="E39" t="s">
        <v>43</v>
      </c>
      <c r="F39">
        <v>5</v>
      </c>
      <c r="G39" s="31">
        <v>45455.635416666657</v>
      </c>
      <c r="H39" s="31">
        <v>45462.635416666657</v>
      </c>
      <c r="I39">
        <v>27</v>
      </c>
      <c r="J39">
        <v>-0.1283</v>
      </c>
      <c r="K39">
        <v>4.2</v>
      </c>
      <c r="L39">
        <v>-5.0700000000000002E-2</v>
      </c>
      <c r="M39">
        <v>7410</v>
      </c>
      <c r="N39" t="s">
        <v>46</v>
      </c>
      <c r="P39" t="s">
        <v>40</v>
      </c>
      <c r="Q39" t="s">
        <v>41</v>
      </c>
      <c r="R39">
        <v>23850</v>
      </c>
      <c r="S39" s="30">
        <v>45463</v>
      </c>
      <c r="T39" t="s">
        <v>43</v>
      </c>
      <c r="U39">
        <v>5</v>
      </c>
      <c r="V39" s="31">
        <v>45455.635416666657</v>
      </c>
      <c r="W39" s="31">
        <v>45462.635416666657</v>
      </c>
      <c r="X39">
        <v>27</v>
      </c>
      <c r="Y39">
        <v>-0.1283</v>
      </c>
      <c r="Z39">
        <v>4.2</v>
      </c>
      <c r="AA39">
        <v>-5.0700000000000002E-2</v>
      </c>
      <c r="AB39">
        <v>7410</v>
      </c>
      <c r="AC39" t="s">
        <v>46</v>
      </c>
      <c r="AE39" t="s">
        <v>40</v>
      </c>
      <c r="AF39" t="s">
        <v>41</v>
      </c>
      <c r="AG39">
        <v>24700</v>
      </c>
      <c r="AH39" s="30">
        <v>45449</v>
      </c>
      <c r="AI39" t="s">
        <v>43</v>
      </c>
      <c r="AJ39">
        <v>5</v>
      </c>
      <c r="AK39" s="31">
        <v>45441.635416666657</v>
      </c>
      <c r="AL39" s="31">
        <v>45448.635416666657</v>
      </c>
      <c r="AM39">
        <v>25.6</v>
      </c>
      <c r="AN39">
        <v>-5.3800000000000001E-2</v>
      </c>
      <c r="AO39">
        <v>1.2</v>
      </c>
      <c r="AP39">
        <v>-5.0000000000000001E-3</v>
      </c>
      <c r="AQ39">
        <v>7930</v>
      </c>
      <c r="AR39" t="s">
        <v>46</v>
      </c>
    </row>
    <row r="40" spans="1:44" x14ac:dyDescent="0.3">
      <c r="A40" t="s">
        <v>40</v>
      </c>
      <c r="B40" t="s">
        <v>51</v>
      </c>
      <c r="C40">
        <v>22700</v>
      </c>
      <c r="D40" s="30">
        <v>45470</v>
      </c>
      <c r="E40" t="s">
        <v>54</v>
      </c>
      <c r="F40">
        <v>1</v>
      </c>
      <c r="G40" s="31">
        <v>45441.635416666657</v>
      </c>
      <c r="H40" s="31">
        <v>45469.635416666657</v>
      </c>
      <c r="I40">
        <v>490.75</v>
      </c>
      <c r="J40">
        <v>-0.45079999999999998</v>
      </c>
      <c r="K40">
        <v>0.7</v>
      </c>
      <c r="L40">
        <v>-4.7000000000000002E-3</v>
      </c>
      <c r="M40">
        <v>-31853.200000000001</v>
      </c>
      <c r="N40" t="s">
        <v>46</v>
      </c>
      <c r="P40" t="s">
        <v>40</v>
      </c>
      <c r="Q40" t="s">
        <v>51</v>
      </c>
      <c r="R40">
        <v>22700</v>
      </c>
      <c r="S40" s="30">
        <v>45470</v>
      </c>
      <c r="T40" t="s">
        <v>54</v>
      </c>
      <c r="U40">
        <v>1</v>
      </c>
      <c r="V40" s="31">
        <v>45441.635416666657</v>
      </c>
      <c r="W40" s="31">
        <v>45469.635416666657</v>
      </c>
      <c r="X40">
        <v>490.75</v>
      </c>
      <c r="Y40">
        <v>-0.45079999999999998</v>
      </c>
      <c r="Z40">
        <v>0.7</v>
      </c>
      <c r="AA40">
        <v>-4.7000000000000002E-3</v>
      </c>
      <c r="AB40">
        <v>-31853.200000000001</v>
      </c>
      <c r="AC40" t="s">
        <v>46</v>
      </c>
      <c r="AE40" t="s">
        <v>40</v>
      </c>
      <c r="AF40" t="s">
        <v>41</v>
      </c>
      <c r="AG40">
        <v>24700</v>
      </c>
      <c r="AH40" s="30">
        <v>45456</v>
      </c>
      <c r="AI40" t="s">
        <v>43</v>
      </c>
      <c r="AJ40">
        <v>5</v>
      </c>
      <c r="AK40" s="31">
        <v>45448.635416666657</v>
      </c>
      <c r="AL40" s="31">
        <v>45455.635416666657</v>
      </c>
      <c r="AM40">
        <v>26.3</v>
      </c>
      <c r="AN40">
        <v>-5.3499999999999999E-2</v>
      </c>
      <c r="AO40">
        <v>0.2</v>
      </c>
      <c r="AP40">
        <v>-1.6000000000000001E-3</v>
      </c>
      <c r="AQ40">
        <v>8482.5</v>
      </c>
      <c r="AR40" t="s">
        <v>46</v>
      </c>
    </row>
    <row r="41" spans="1:44" x14ac:dyDescent="0.3">
      <c r="A41" t="s">
        <v>40</v>
      </c>
      <c r="B41" t="s">
        <v>51</v>
      </c>
      <c r="C41">
        <v>24000</v>
      </c>
      <c r="D41" s="30">
        <v>45470</v>
      </c>
      <c r="E41" t="s">
        <v>43</v>
      </c>
      <c r="F41">
        <v>1</v>
      </c>
      <c r="G41" s="31">
        <v>45441.635416666657</v>
      </c>
      <c r="H41" s="31">
        <v>45469.635416666657</v>
      </c>
      <c r="I41">
        <v>1271.95</v>
      </c>
      <c r="J41">
        <v>0.7923</v>
      </c>
      <c r="K41">
        <v>152.55000000000001</v>
      </c>
      <c r="L41">
        <v>0.74360000000000004</v>
      </c>
      <c r="M41">
        <v>72761</v>
      </c>
      <c r="N41" t="s">
        <v>46</v>
      </c>
      <c r="P41" t="s">
        <v>40</v>
      </c>
      <c r="Q41" t="s">
        <v>51</v>
      </c>
      <c r="R41">
        <v>24000</v>
      </c>
      <c r="S41" s="30">
        <v>45470</v>
      </c>
      <c r="T41" t="s">
        <v>43</v>
      </c>
      <c r="U41">
        <v>1</v>
      </c>
      <c r="V41" s="31">
        <v>45441.635416666657</v>
      </c>
      <c r="W41" s="31">
        <v>45469.635416666657</v>
      </c>
      <c r="X41">
        <v>1271.95</v>
      </c>
      <c r="Y41">
        <v>0.7923</v>
      </c>
      <c r="Z41">
        <v>152.55000000000001</v>
      </c>
      <c r="AA41">
        <v>0.74360000000000004</v>
      </c>
      <c r="AB41">
        <v>72761</v>
      </c>
      <c r="AC41" t="s">
        <v>46</v>
      </c>
      <c r="AE41" t="s">
        <v>40</v>
      </c>
      <c r="AF41" t="s">
        <v>41</v>
      </c>
      <c r="AG41">
        <v>23850</v>
      </c>
      <c r="AH41" s="30">
        <v>45463</v>
      </c>
      <c r="AI41" t="s">
        <v>43</v>
      </c>
      <c r="AJ41">
        <v>5</v>
      </c>
      <c r="AK41" s="31">
        <v>45455.635416666657</v>
      </c>
      <c r="AL41" s="31">
        <v>45462.635416666657</v>
      </c>
      <c r="AM41">
        <v>27</v>
      </c>
      <c r="AN41">
        <v>-0.1283</v>
      </c>
      <c r="AO41">
        <v>4.2</v>
      </c>
      <c r="AP41">
        <v>-5.0700000000000002E-2</v>
      </c>
      <c r="AQ41">
        <v>7410</v>
      </c>
      <c r="AR41" t="s">
        <v>46</v>
      </c>
    </row>
    <row r="42" spans="1:44" x14ac:dyDescent="0.3">
      <c r="A42" t="s">
        <v>40</v>
      </c>
      <c r="B42" t="s">
        <v>41</v>
      </c>
      <c r="C42">
        <v>23950</v>
      </c>
      <c r="D42" s="30">
        <v>45470</v>
      </c>
      <c r="E42" t="s">
        <v>43</v>
      </c>
      <c r="F42">
        <v>5</v>
      </c>
      <c r="G42" s="31">
        <v>45462.635416666657</v>
      </c>
      <c r="H42" s="31">
        <v>45469.635416666657</v>
      </c>
      <c r="I42">
        <v>25.15</v>
      </c>
      <c r="J42">
        <v>-0.13819999999999999</v>
      </c>
      <c r="K42">
        <v>43.8</v>
      </c>
      <c r="L42">
        <v>-0.34910000000000002</v>
      </c>
      <c r="M42">
        <v>-6061.2</v>
      </c>
      <c r="N42" t="s">
        <v>46</v>
      </c>
      <c r="P42" t="s">
        <v>40</v>
      </c>
      <c r="Q42" t="s">
        <v>41</v>
      </c>
      <c r="R42">
        <v>23950</v>
      </c>
      <c r="S42" s="30">
        <v>45470</v>
      </c>
      <c r="T42" t="s">
        <v>43</v>
      </c>
      <c r="U42">
        <v>5</v>
      </c>
      <c r="V42" s="31">
        <v>45462.635416666657</v>
      </c>
      <c r="W42" s="31">
        <v>45469.635416666657</v>
      </c>
      <c r="X42">
        <v>25.15</v>
      </c>
      <c r="Y42">
        <v>-0.13819999999999999</v>
      </c>
      <c r="Z42">
        <v>43.8</v>
      </c>
      <c r="AA42">
        <v>-0.34910000000000002</v>
      </c>
      <c r="AB42">
        <v>-6061.2</v>
      </c>
      <c r="AC42" t="s">
        <v>46</v>
      </c>
      <c r="AE42" t="s">
        <v>40</v>
      </c>
      <c r="AF42" t="s">
        <v>51</v>
      </c>
      <c r="AG42">
        <v>24000</v>
      </c>
      <c r="AH42" s="30">
        <v>45470</v>
      </c>
      <c r="AI42" t="s">
        <v>43</v>
      </c>
      <c r="AJ42">
        <v>1</v>
      </c>
      <c r="AK42" s="31">
        <v>45441.635416666657</v>
      </c>
      <c r="AL42" s="31">
        <v>45469.635416666657</v>
      </c>
      <c r="AM42">
        <v>1271.95</v>
      </c>
      <c r="AN42">
        <v>0.7923</v>
      </c>
      <c r="AO42">
        <v>152.55000000000001</v>
      </c>
      <c r="AP42">
        <v>0.74360000000000004</v>
      </c>
      <c r="AQ42">
        <v>72761</v>
      </c>
      <c r="AR42" t="s">
        <v>46</v>
      </c>
    </row>
    <row r="43" spans="1:44" x14ac:dyDescent="0.3">
      <c r="A43" t="s">
        <v>40</v>
      </c>
      <c r="B43" t="s">
        <v>41</v>
      </c>
      <c r="C43">
        <v>24500</v>
      </c>
      <c r="D43" s="30">
        <v>45477</v>
      </c>
      <c r="E43" t="s">
        <v>43</v>
      </c>
      <c r="F43">
        <v>5</v>
      </c>
      <c r="G43" s="31">
        <v>45469.635416666657</v>
      </c>
      <c r="H43" s="31">
        <v>45476.635416666657</v>
      </c>
      <c r="I43">
        <v>16.7</v>
      </c>
      <c r="J43">
        <v>-8.5900000000000004E-2</v>
      </c>
      <c r="K43">
        <v>12.05</v>
      </c>
      <c r="L43">
        <v>-0.1333</v>
      </c>
      <c r="M43">
        <v>1511.2</v>
      </c>
      <c r="N43" t="s">
        <v>46</v>
      </c>
      <c r="P43" t="s">
        <v>40</v>
      </c>
      <c r="Q43" t="s">
        <v>41</v>
      </c>
      <c r="R43">
        <v>24500</v>
      </c>
      <c r="S43" s="30">
        <v>45477</v>
      </c>
      <c r="T43" t="s">
        <v>43</v>
      </c>
      <c r="U43">
        <v>5</v>
      </c>
      <c r="V43" s="31">
        <v>45469.635416666657</v>
      </c>
      <c r="W43" s="31">
        <v>45476.635416666657</v>
      </c>
      <c r="X43">
        <v>16.7</v>
      </c>
      <c r="Y43">
        <v>-8.5900000000000004E-2</v>
      </c>
      <c r="Z43">
        <v>12.05</v>
      </c>
      <c r="AA43">
        <v>-0.1333</v>
      </c>
      <c r="AB43">
        <v>1511.2</v>
      </c>
      <c r="AC43" t="s">
        <v>46</v>
      </c>
      <c r="AE43" t="s">
        <v>40</v>
      </c>
      <c r="AF43" t="s">
        <v>51</v>
      </c>
      <c r="AG43">
        <v>22700</v>
      </c>
      <c r="AH43" s="30">
        <v>45470</v>
      </c>
      <c r="AI43" t="s">
        <v>54</v>
      </c>
      <c r="AJ43">
        <v>1</v>
      </c>
      <c r="AK43" s="31">
        <v>45441.635416666657</v>
      </c>
      <c r="AL43" s="31">
        <v>45469.635416666657</v>
      </c>
      <c r="AM43">
        <v>490.75</v>
      </c>
      <c r="AN43">
        <v>-0.45079999999999998</v>
      </c>
      <c r="AO43">
        <v>0.7</v>
      </c>
      <c r="AP43">
        <v>-4.7000000000000002E-3</v>
      </c>
      <c r="AQ43">
        <v>-31853.200000000001</v>
      </c>
      <c r="AR43" t="s">
        <v>46</v>
      </c>
    </row>
    <row r="44" spans="1:44" x14ac:dyDescent="0.3">
      <c r="A44" t="s">
        <v>40</v>
      </c>
      <c r="B44" t="s">
        <v>41</v>
      </c>
      <c r="C44">
        <v>24900</v>
      </c>
      <c r="D44" s="30">
        <v>45484</v>
      </c>
      <c r="E44" t="s">
        <v>43</v>
      </c>
      <c r="F44">
        <v>5</v>
      </c>
      <c r="G44" s="31">
        <v>45476.635416666657</v>
      </c>
      <c r="H44" s="31">
        <v>45483.635416666657</v>
      </c>
      <c r="I44">
        <v>13</v>
      </c>
      <c r="J44">
        <v>-7.4999999999999997E-2</v>
      </c>
      <c r="K44">
        <v>0.6</v>
      </c>
      <c r="L44">
        <v>-7.9000000000000008E-3</v>
      </c>
      <c r="M44">
        <v>4030</v>
      </c>
      <c r="N44" t="s">
        <v>46</v>
      </c>
      <c r="P44" t="s">
        <v>40</v>
      </c>
      <c r="Q44" t="s">
        <v>41</v>
      </c>
      <c r="R44">
        <v>24900</v>
      </c>
      <c r="S44" s="30">
        <v>45484</v>
      </c>
      <c r="T44" t="s">
        <v>43</v>
      </c>
      <c r="U44">
        <v>5</v>
      </c>
      <c r="V44" s="31">
        <v>45476.635416666657</v>
      </c>
      <c r="W44" s="31">
        <v>45483.635416666657</v>
      </c>
      <c r="X44">
        <v>13</v>
      </c>
      <c r="Y44">
        <v>-7.4999999999999997E-2</v>
      </c>
      <c r="Z44">
        <v>0.6</v>
      </c>
      <c r="AA44">
        <v>-7.9000000000000008E-3</v>
      </c>
      <c r="AB44">
        <v>4030</v>
      </c>
      <c r="AC44" t="s">
        <v>46</v>
      </c>
      <c r="AE44" t="s">
        <v>40</v>
      </c>
      <c r="AF44" t="s">
        <v>41</v>
      </c>
      <c r="AG44">
        <v>23950</v>
      </c>
      <c r="AH44" s="30">
        <v>45470</v>
      </c>
      <c r="AI44" t="s">
        <v>43</v>
      </c>
      <c r="AJ44">
        <v>5</v>
      </c>
      <c r="AK44" s="31">
        <v>45462.635416666657</v>
      </c>
      <c r="AL44" s="31">
        <v>45469.635416666657</v>
      </c>
      <c r="AM44">
        <v>25.15</v>
      </c>
      <c r="AN44">
        <v>-0.13819999999999999</v>
      </c>
      <c r="AO44">
        <v>43.8</v>
      </c>
      <c r="AP44">
        <v>-0.34910000000000002</v>
      </c>
      <c r="AQ44">
        <v>-6061.2</v>
      </c>
      <c r="AR44" t="s">
        <v>46</v>
      </c>
    </row>
    <row r="45" spans="1:44" x14ac:dyDescent="0.3">
      <c r="A45" t="s">
        <v>40</v>
      </c>
      <c r="B45" t="s">
        <v>51</v>
      </c>
      <c r="C45">
        <v>24500</v>
      </c>
      <c r="D45" s="30">
        <v>45498</v>
      </c>
      <c r="E45" t="s">
        <v>43</v>
      </c>
      <c r="F45">
        <v>1</v>
      </c>
      <c r="G45" s="31">
        <v>45469.635416666657</v>
      </c>
      <c r="H45" s="31">
        <v>45488.635416666657</v>
      </c>
      <c r="I45">
        <v>648.35</v>
      </c>
      <c r="J45">
        <v>0.72270000000000001</v>
      </c>
      <c r="K45">
        <v>187.7</v>
      </c>
      <c r="L45">
        <v>0.41199999999999998</v>
      </c>
      <c r="M45">
        <v>29942.3</v>
      </c>
      <c r="N45" t="s">
        <v>63</v>
      </c>
      <c r="P45" t="s">
        <v>40</v>
      </c>
      <c r="Q45" t="s">
        <v>51</v>
      </c>
      <c r="R45">
        <v>24500</v>
      </c>
      <c r="S45" s="30">
        <v>45498</v>
      </c>
      <c r="T45" t="s">
        <v>43</v>
      </c>
      <c r="U45">
        <v>1</v>
      </c>
      <c r="V45" s="31">
        <v>45469.635416666657</v>
      </c>
      <c r="W45" s="31">
        <v>45488.635416666657</v>
      </c>
      <c r="X45">
        <v>648.35</v>
      </c>
      <c r="Y45">
        <v>0.72270000000000001</v>
      </c>
      <c r="Z45">
        <v>187.7</v>
      </c>
      <c r="AA45">
        <v>0.41199999999999998</v>
      </c>
      <c r="AB45">
        <v>29942.3</v>
      </c>
      <c r="AC45" t="s">
        <v>63</v>
      </c>
      <c r="AE45" t="s">
        <v>40</v>
      </c>
      <c r="AF45" t="s">
        <v>41</v>
      </c>
      <c r="AG45">
        <v>24500</v>
      </c>
      <c r="AH45" s="30">
        <v>45477</v>
      </c>
      <c r="AI45" t="s">
        <v>43</v>
      </c>
      <c r="AJ45">
        <v>5</v>
      </c>
      <c r="AK45" s="31">
        <v>45469.635416666657</v>
      </c>
      <c r="AL45" s="31">
        <v>45476.635416666657</v>
      </c>
      <c r="AM45">
        <v>16.7</v>
      </c>
      <c r="AN45">
        <v>-8.5900000000000004E-2</v>
      </c>
      <c r="AO45">
        <v>12.05</v>
      </c>
      <c r="AP45">
        <v>-0.1333</v>
      </c>
      <c r="AQ45">
        <v>1511.2</v>
      </c>
      <c r="AR45" t="s">
        <v>46</v>
      </c>
    </row>
    <row r="46" spans="1:44" x14ac:dyDescent="0.3">
      <c r="A46" t="s">
        <v>40</v>
      </c>
      <c r="B46" t="s">
        <v>41</v>
      </c>
      <c r="C46">
        <v>24850</v>
      </c>
      <c r="D46" s="30">
        <v>45491</v>
      </c>
      <c r="E46" t="s">
        <v>43</v>
      </c>
      <c r="F46">
        <v>5</v>
      </c>
      <c r="G46" s="31">
        <v>45483.635416666657</v>
      </c>
      <c r="H46" s="31">
        <v>45489.635416666657</v>
      </c>
      <c r="I46">
        <v>15.8</v>
      </c>
      <c r="J46">
        <v>-9.4E-2</v>
      </c>
      <c r="K46">
        <v>5.55</v>
      </c>
      <c r="L46">
        <v>-7.5600000000000001E-2</v>
      </c>
      <c r="M46">
        <v>3331.2</v>
      </c>
      <c r="N46" t="s">
        <v>46</v>
      </c>
      <c r="P46" t="s">
        <v>40</v>
      </c>
      <c r="Q46" t="s">
        <v>41</v>
      </c>
      <c r="R46">
        <v>24850</v>
      </c>
      <c r="S46" s="30">
        <v>45491</v>
      </c>
      <c r="T46" t="s">
        <v>43</v>
      </c>
      <c r="U46">
        <v>5</v>
      </c>
      <c r="V46" s="31">
        <v>45483.635416666657</v>
      </c>
      <c r="W46" s="31">
        <v>45489.635416666657</v>
      </c>
      <c r="X46">
        <v>15.8</v>
      </c>
      <c r="Y46">
        <v>-9.4E-2</v>
      </c>
      <c r="Z46">
        <v>5.55</v>
      </c>
      <c r="AA46">
        <v>-7.5600000000000001E-2</v>
      </c>
      <c r="AB46">
        <v>3331.2</v>
      </c>
      <c r="AC46" t="s">
        <v>46</v>
      </c>
      <c r="AE46" t="s">
        <v>40</v>
      </c>
      <c r="AF46" t="s">
        <v>41</v>
      </c>
      <c r="AG46">
        <v>24900</v>
      </c>
      <c r="AH46" s="30">
        <v>45484</v>
      </c>
      <c r="AI46" t="s">
        <v>43</v>
      </c>
      <c r="AJ46">
        <v>5</v>
      </c>
      <c r="AK46" s="31">
        <v>45476.635416666657</v>
      </c>
      <c r="AL46" s="31">
        <v>45483.635416666657</v>
      </c>
      <c r="AM46">
        <v>13</v>
      </c>
      <c r="AN46">
        <v>-7.4999999999999997E-2</v>
      </c>
      <c r="AO46">
        <v>0.6</v>
      </c>
      <c r="AP46">
        <v>-7.9000000000000008E-3</v>
      </c>
      <c r="AQ46">
        <v>4030</v>
      </c>
      <c r="AR46" t="s">
        <v>46</v>
      </c>
    </row>
    <row r="47" spans="1:44" x14ac:dyDescent="0.3">
      <c r="A47" t="s">
        <v>40</v>
      </c>
      <c r="B47" t="s">
        <v>51</v>
      </c>
      <c r="C47">
        <v>23850</v>
      </c>
      <c r="D47" s="30">
        <v>45498</v>
      </c>
      <c r="E47" t="s">
        <v>54</v>
      </c>
      <c r="F47">
        <v>1</v>
      </c>
      <c r="G47" s="31">
        <v>45469.635416666657</v>
      </c>
      <c r="H47" s="31">
        <v>45497.635416666657</v>
      </c>
      <c r="I47">
        <v>296</v>
      </c>
      <c r="J47">
        <v>-0.42930000000000001</v>
      </c>
      <c r="K47">
        <v>1.75</v>
      </c>
      <c r="L47">
        <v>-1.7899999999999999E-2</v>
      </c>
      <c r="M47">
        <v>-19126.2</v>
      </c>
      <c r="N47" t="s">
        <v>46</v>
      </c>
      <c r="P47" t="s">
        <v>40</v>
      </c>
      <c r="Q47" t="s">
        <v>51</v>
      </c>
      <c r="R47">
        <v>23850</v>
      </c>
      <c r="S47" s="30">
        <v>45498</v>
      </c>
      <c r="T47" t="s">
        <v>54</v>
      </c>
      <c r="U47">
        <v>1</v>
      </c>
      <c r="V47" s="31">
        <v>45469.635416666657</v>
      </c>
      <c r="W47" s="31">
        <v>45497.635416666657</v>
      </c>
      <c r="X47">
        <v>296</v>
      </c>
      <c r="Y47">
        <v>-0.42930000000000001</v>
      </c>
      <c r="Z47">
        <v>1.75</v>
      </c>
      <c r="AA47">
        <v>-1.7899999999999999E-2</v>
      </c>
      <c r="AB47">
        <v>-19126.2</v>
      </c>
      <c r="AC47" t="s">
        <v>46</v>
      </c>
      <c r="AE47" t="s">
        <v>40</v>
      </c>
      <c r="AF47" t="s">
        <v>51</v>
      </c>
      <c r="AG47">
        <v>24500</v>
      </c>
      <c r="AH47" s="30">
        <v>45498</v>
      </c>
      <c r="AI47" t="s">
        <v>43</v>
      </c>
      <c r="AJ47">
        <v>1</v>
      </c>
      <c r="AK47" s="31">
        <v>45469.635416666657</v>
      </c>
      <c r="AL47" s="31">
        <v>45488.635416666657</v>
      </c>
      <c r="AM47">
        <v>648.35</v>
      </c>
      <c r="AN47">
        <v>0.72270000000000001</v>
      </c>
      <c r="AO47">
        <v>187.7</v>
      </c>
      <c r="AP47">
        <v>0.41199999999999998</v>
      </c>
      <c r="AQ47">
        <v>29942.3</v>
      </c>
      <c r="AR47" t="s">
        <v>63</v>
      </c>
    </row>
    <row r="48" spans="1:44" x14ac:dyDescent="0.3">
      <c r="A48" t="s">
        <v>40</v>
      </c>
      <c r="B48" t="s">
        <v>51</v>
      </c>
      <c r="C48">
        <v>25500</v>
      </c>
      <c r="D48" s="30">
        <v>45498</v>
      </c>
      <c r="E48" t="s">
        <v>43</v>
      </c>
      <c r="F48">
        <v>1</v>
      </c>
      <c r="G48" s="31">
        <v>45488.635416666657</v>
      </c>
      <c r="H48" s="31">
        <v>45497.635416666657</v>
      </c>
      <c r="I48">
        <v>892.75</v>
      </c>
      <c r="J48">
        <v>0.94389999999999996</v>
      </c>
      <c r="K48">
        <v>1126.5</v>
      </c>
      <c r="L48">
        <v>0.99439999999999995</v>
      </c>
      <c r="M48">
        <v>-15193.8</v>
      </c>
      <c r="N48" t="s">
        <v>46</v>
      </c>
      <c r="P48" t="s">
        <v>40</v>
      </c>
      <c r="Q48" t="s">
        <v>51</v>
      </c>
      <c r="R48">
        <v>25500</v>
      </c>
      <c r="S48" s="30">
        <v>45498</v>
      </c>
      <c r="T48" t="s">
        <v>43</v>
      </c>
      <c r="U48">
        <v>1</v>
      </c>
      <c r="V48" s="31">
        <v>45488.635416666657</v>
      </c>
      <c r="W48" s="31">
        <v>45497.635416666657</v>
      </c>
      <c r="X48">
        <v>892.75</v>
      </c>
      <c r="Y48">
        <v>0.94389999999999996</v>
      </c>
      <c r="Z48">
        <v>1126.5</v>
      </c>
      <c r="AA48">
        <v>0.99439999999999995</v>
      </c>
      <c r="AB48">
        <v>-15193.8</v>
      </c>
      <c r="AC48" t="s">
        <v>46</v>
      </c>
      <c r="AE48" t="s">
        <v>40</v>
      </c>
      <c r="AF48" t="s">
        <v>51</v>
      </c>
      <c r="AG48">
        <v>23850</v>
      </c>
      <c r="AH48" s="30">
        <v>45498</v>
      </c>
      <c r="AI48" t="s">
        <v>54</v>
      </c>
      <c r="AJ48">
        <v>1</v>
      </c>
      <c r="AK48" s="31">
        <v>45469.635416666657</v>
      </c>
      <c r="AL48" s="31">
        <v>45488.635416666657</v>
      </c>
      <c r="AM48">
        <v>296</v>
      </c>
      <c r="AN48">
        <v>-0.42930000000000001</v>
      </c>
      <c r="AO48">
        <v>43</v>
      </c>
      <c r="AP48">
        <v>-0.12379999999999999</v>
      </c>
      <c r="AQ48">
        <v>-16445</v>
      </c>
      <c r="AR48" t="s">
        <v>63</v>
      </c>
    </row>
    <row r="49" spans="1:44" x14ac:dyDescent="0.3">
      <c r="A49" t="s">
        <v>40</v>
      </c>
      <c r="B49" t="s">
        <v>41</v>
      </c>
      <c r="C49">
        <v>25450</v>
      </c>
      <c r="D49" s="30">
        <v>45498</v>
      </c>
      <c r="E49" t="s">
        <v>43</v>
      </c>
      <c r="F49">
        <v>5</v>
      </c>
      <c r="G49" s="31">
        <v>45489.635416666657</v>
      </c>
      <c r="H49" s="31">
        <v>45497.635416666657</v>
      </c>
      <c r="I49">
        <v>16.3</v>
      </c>
      <c r="J49">
        <v>-6.9800000000000001E-2</v>
      </c>
      <c r="K49">
        <v>0.75</v>
      </c>
      <c r="L49">
        <v>-5.7999999999999996E-3</v>
      </c>
      <c r="M49">
        <v>5053.8</v>
      </c>
      <c r="N49" t="s">
        <v>46</v>
      </c>
      <c r="P49" t="s">
        <v>40</v>
      </c>
      <c r="Q49" t="s">
        <v>41</v>
      </c>
      <c r="R49">
        <v>25450</v>
      </c>
      <c r="S49" s="30">
        <v>45498</v>
      </c>
      <c r="T49" t="s">
        <v>43</v>
      </c>
      <c r="U49">
        <v>5</v>
      </c>
      <c r="V49" s="31">
        <v>45489.635416666657</v>
      </c>
      <c r="W49" s="31">
        <v>45497.635416666657</v>
      </c>
      <c r="X49">
        <v>16.3</v>
      </c>
      <c r="Y49">
        <v>-6.9800000000000001E-2</v>
      </c>
      <c r="Z49">
        <v>0.75</v>
      </c>
      <c r="AA49">
        <v>-5.7999999999999996E-3</v>
      </c>
      <c r="AB49">
        <v>5053.8</v>
      </c>
      <c r="AC49" t="s">
        <v>46</v>
      </c>
      <c r="AE49" t="s">
        <v>40</v>
      </c>
      <c r="AF49" t="s">
        <v>41</v>
      </c>
      <c r="AG49">
        <v>24850</v>
      </c>
      <c r="AH49" s="30">
        <v>45491</v>
      </c>
      <c r="AI49" t="s">
        <v>43</v>
      </c>
      <c r="AJ49">
        <v>5</v>
      </c>
      <c r="AK49" s="31">
        <v>45483.635416666657</v>
      </c>
      <c r="AL49" s="31">
        <v>45489.635416666657</v>
      </c>
      <c r="AM49">
        <v>15.8</v>
      </c>
      <c r="AN49">
        <v>-9.4E-2</v>
      </c>
      <c r="AO49">
        <v>5.55</v>
      </c>
      <c r="AP49">
        <v>-7.5600000000000001E-2</v>
      </c>
      <c r="AQ49">
        <v>3331.2</v>
      </c>
      <c r="AR49" t="s">
        <v>46</v>
      </c>
    </row>
    <row r="50" spans="1:44" x14ac:dyDescent="0.3">
      <c r="A50" t="s">
        <v>40</v>
      </c>
      <c r="B50" t="s">
        <v>41</v>
      </c>
      <c r="C50">
        <v>25150</v>
      </c>
      <c r="D50" s="30">
        <v>45505</v>
      </c>
      <c r="E50" t="s">
        <v>43</v>
      </c>
      <c r="F50">
        <v>5</v>
      </c>
      <c r="G50" s="31">
        <v>45497.635416666657</v>
      </c>
      <c r="H50" s="31">
        <v>45504.635416666657</v>
      </c>
      <c r="I50">
        <v>11.85</v>
      </c>
      <c r="J50">
        <v>-6.13E-2</v>
      </c>
      <c r="K50">
        <v>17.649999999999999</v>
      </c>
      <c r="L50">
        <v>-0.16589999999999999</v>
      </c>
      <c r="M50">
        <v>-1885</v>
      </c>
      <c r="N50" t="s">
        <v>46</v>
      </c>
      <c r="P50" t="s">
        <v>40</v>
      </c>
      <c r="Q50" t="s">
        <v>41</v>
      </c>
      <c r="R50">
        <v>25150</v>
      </c>
      <c r="S50" s="30">
        <v>45505</v>
      </c>
      <c r="T50" t="s">
        <v>43</v>
      </c>
      <c r="U50">
        <v>5</v>
      </c>
      <c r="V50" s="31">
        <v>45497.635416666657</v>
      </c>
      <c r="W50" s="31">
        <v>45504.635416666657</v>
      </c>
      <c r="X50">
        <v>11.85</v>
      </c>
      <c r="Y50">
        <v>-6.13E-2</v>
      </c>
      <c r="Z50">
        <v>17.649999999999999</v>
      </c>
      <c r="AA50">
        <v>-0.16589999999999999</v>
      </c>
      <c r="AB50">
        <v>-1885</v>
      </c>
      <c r="AC50" t="s">
        <v>46</v>
      </c>
      <c r="AE50" t="s">
        <v>40</v>
      </c>
      <c r="AF50" t="s">
        <v>51</v>
      </c>
      <c r="AG50">
        <v>25500</v>
      </c>
      <c r="AH50" s="30">
        <v>45498</v>
      </c>
      <c r="AI50" t="s">
        <v>43</v>
      </c>
      <c r="AJ50">
        <v>1</v>
      </c>
      <c r="AK50" s="31">
        <v>45488.635416666657</v>
      </c>
      <c r="AL50" s="31">
        <v>45497.635416666657</v>
      </c>
      <c r="AM50">
        <v>892.75</v>
      </c>
      <c r="AN50">
        <v>0.94389999999999996</v>
      </c>
      <c r="AO50">
        <v>1126.5</v>
      </c>
      <c r="AP50">
        <v>0.99439999999999995</v>
      </c>
      <c r="AQ50">
        <v>-15193.8</v>
      </c>
      <c r="AR50" t="s">
        <v>46</v>
      </c>
    </row>
    <row r="51" spans="1:44" x14ac:dyDescent="0.3">
      <c r="A51" t="s">
        <v>40</v>
      </c>
      <c r="B51" t="s">
        <v>41</v>
      </c>
      <c r="C51">
        <v>25600</v>
      </c>
      <c r="D51" s="30">
        <v>45512</v>
      </c>
      <c r="E51" t="s">
        <v>43</v>
      </c>
      <c r="F51">
        <v>5</v>
      </c>
      <c r="G51" s="31">
        <v>45504.635416666657</v>
      </c>
      <c r="H51" s="31">
        <v>45511.635416666657</v>
      </c>
      <c r="I51">
        <v>13.95</v>
      </c>
      <c r="J51">
        <v>-7.4800000000000005E-2</v>
      </c>
      <c r="K51">
        <v>0.55000000000000004</v>
      </c>
      <c r="L51">
        <v>-3.8E-3</v>
      </c>
      <c r="M51">
        <v>4355</v>
      </c>
      <c r="N51" t="s">
        <v>46</v>
      </c>
      <c r="P51" t="s">
        <v>40</v>
      </c>
      <c r="Q51" t="s">
        <v>41</v>
      </c>
      <c r="R51">
        <v>25600</v>
      </c>
      <c r="S51" s="30">
        <v>45512</v>
      </c>
      <c r="T51" t="s">
        <v>43</v>
      </c>
      <c r="U51">
        <v>5</v>
      </c>
      <c r="V51" s="31">
        <v>45504.635416666657</v>
      </c>
      <c r="W51" s="31">
        <v>45511.635416666657</v>
      </c>
      <c r="X51">
        <v>13.95</v>
      </c>
      <c r="Y51">
        <v>-7.4800000000000005E-2</v>
      </c>
      <c r="Z51">
        <v>0.55000000000000004</v>
      </c>
      <c r="AA51">
        <v>-3.8E-3</v>
      </c>
      <c r="AB51">
        <v>4355</v>
      </c>
      <c r="AC51" t="s">
        <v>46</v>
      </c>
      <c r="AE51" t="s">
        <v>40</v>
      </c>
      <c r="AF51" t="s">
        <v>51</v>
      </c>
      <c r="AG51">
        <v>24600</v>
      </c>
      <c r="AH51" s="30">
        <v>45498</v>
      </c>
      <c r="AI51" t="s">
        <v>54</v>
      </c>
      <c r="AJ51">
        <v>1</v>
      </c>
      <c r="AK51" s="31">
        <v>45488.635416666657</v>
      </c>
      <c r="AL51" s="31">
        <v>45497.635416666657</v>
      </c>
      <c r="AM51">
        <v>230.05</v>
      </c>
      <c r="AN51">
        <v>-0.47520000000000001</v>
      </c>
      <c r="AO51">
        <v>235.8</v>
      </c>
      <c r="AP51">
        <v>-0.85499999999999998</v>
      </c>
      <c r="AQ51">
        <v>373.8</v>
      </c>
      <c r="AR51" t="s">
        <v>46</v>
      </c>
    </row>
    <row r="52" spans="1:44" x14ac:dyDescent="0.3">
      <c r="A52" t="s">
        <v>40</v>
      </c>
      <c r="B52" t="s">
        <v>41</v>
      </c>
      <c r="C52">
        <v>25050</v>
      </c>
      <c r="D52" s="30">
        <v>45518</v>
      </c>
      <c r="E52" t="s">
        <v>43</v>
      </c>
      <c r="F52">
        <v>5</v>
      </c>
      <c r="G52" s="31">
        <v>45511.635416666657</v>
      </c>
      <c r="H52" s="31">
        <v>45517.635416666657</v>
      </c>
      <c r="I52">
        <v>13.7</v>
      </c>
      <c r="J52">
        <v>-6.7799999999999999E-2</v>
      </c>
      <c r="K52">
        <v>1.55</v>
      </c>
      <c r="L52">
        <v>-1.14E-2</v>
      </c>
      <c r="M52">
        <v>3948.7</v>
      </c>
      <c r="N52" t="s">
        <v>46</v>
      </c>
      <c r="P52" t="s">
        <v>40</v>
      </c>
      <c r="Q52" t="s">
        <v>41</v>
      </c>
      <c r="R52">
        <v>25050</v>
      </c>
      <c r="S52" s="30">
        <v>45518</v>
      </c>
      <c r="T52" t="s">
        <v>43</v>
      </c>
      <c r="U52">
        <v>5</v>
      </c>
      <c r="V52" s="31">
        <v>45511.635416666657</v>
      </c>
      <c r="W52" s="31">
        <v>45517.635416666657</v>
      </c>
      <c r="X52">
        <v>13.7</v>
      </c>
      <c r="Y52">
        <v>-6.7799999999999999E-2</v>
      </c>
      <c r="Z52">
        <v>1.55</v>
      </c>
      <c r="AA52">
        <v>-1.14E-2</v>
      </c>
      <c r="AB52">
        <v>3948.7</v>
      </c>
      <c r="AC52" t="s">
        <v>46</v>
      </c>
      <c r="AE52" t="s">
        <v>40</v>
      </c>
      <c r="AF52" t="s">
        <v>41</v>
      </c>
      <c r="AG52">
        <v>25550</v>
      </c>
      <c r="AH52" s="30">
        <v>45498</v>
      </c>
      <c r="AI52" t="s">
        <v>43</v>
      </c>
      <c r="AJ52">
        <v>5</v>
      </c>
      <c r="AK52" s="31">
        <v>45489.635416666657</v>
      </c>
      <c r="AL52" s="31">
        <v>45497.635416666657</v>
      </c>
      <c r="AM52">
        <v>10.6</v>
      </c>
      <c r="AN52">
        <v>-4.8300000000000003E-2</v>
      </c>
      <c r="AO52">
        <v>0.75</v>
      </c>
      <c r="AP52">
        <v>-5.4000000000000003E-3</v>
      </c>
      <c r="AQ52">
        <v>3201.2</v>
      </c>
      <c r="AR52" t="s">
        <v>46</v>
      </c>
    </row>
    <row r="53" spans="1:44" x14ac:dyDescent="0.3">
      <c r="A53" t="s">
        <v>40</v>
      </c>
      <c r="B53" t="s">
        <v>41</v>
      </c>
      <c r="C53">
        <v>24950</v>
      </c>
      <c r="D53" s="30">
        <v>45526</v>
      </c>
      <c r="E53" t="s">
        <v>43</v>
      </c>
      <c r="F53">
        <v>5</v>
      </c>
      <c r="G53" s="31">
        <v>45517.635416666657</v>
      </c>
      <c r="H53" s="31">
        <v>45525.635416666657</v>
      </c>
      <c r="I53">
        <v>12.85</v>
      </c>
      <c r="J53">
        <v>-6.0600000000000001E-2</v>
      </c>
      <c r="K53">
        <v>7.05</v>
      </c>
      <c r="L53">
        <v>-0.10390000000000001</v>
      </c>
      <c r="M53">
        <v>1885</v>
      </c>
      <c r="N53" t="s">
        <v>46</v>
      </c>
      <c r="P53" t="s">
        <v>40</v>
      </c>
      <c r="Q53" t="s">
        <v>41</v>
      </c>
      <c r="R53">
        <v>24950</v>
      </c>
      <c r="S53" s="30">
        <v>45526</v>
      </c>
      <c r="T53" t="s">
        <v>43</v>
      </c>
      <c r="U53">
        <v>5</v>
      </c>
      <c r="V53" s="31">
        <v>45517.635416666657</v>
      </c>
      <c r="W53" s="31">
        <v>45525.635416666657</v>
      </c>
      <c r="X53">
        <v>12.85</v>
      </c>
      <c r="Y53">
        <v>-6.0600000000000001E-2</v>
      </c>
      <c r="Z53">
        <v>7.05</v>
      </c>
      <c r="AA53">
        <v>-0.10390000000000001</v>
      </c>
      <c r="AB53">
        <v>1885</v>
      </c>
      <c r="AC53" t="s">
        <v>46</v>
      </c>
      <c r="AE53" t="s">
        <v>40</v>
      </c>
      <c r="AF53" t="s">
        <v>41</v>
      </c>
      <c r="AG53">
        <v>25150</v>
      </c>
      <c r="AH53" s="30">
        <v>45505</v>
      </c>
      <c r="AI53" t="s">
        <v>43</v>
      </c>
      <c r="AJ53">
        <v>5</v>
      </c>
      <c r="AK53" s="31">
        <v>45497.635416666657</v>
      </c>
      <c r="AL53" s="31">
        <v>45504.635416666657</v>
      </c>
      <c r="AM53">
        <v>11.85</v>
      </c>
      <c r="AN53">
        <v>-6.13E-2</v>
      </c>
      <c r="AO53">
        <v>17.649999999999999</v>
      </c>
      <c r="AP53">
        <v>-0.16589999999999999</v>
      </c>
      <c r="AQ53">
        <v>-1885</v>
      </c>
      <c r="AR53" t="s">
        <v>46</v>
      </c>
    </row>
    <row r="54" spans="1:44" x14ac:dyDescent="0.3">
      <c r="A54" t="s">
        <v>40</v>
      </c>
      <c r="B54" t="s">
        <v>51</v>
      </c>
      <c r="C54">
        <v>24400</v>
      </c>
      <c r="D54" s="30">
        <v>45533</v>
      </c>
      <c r="E54" t="s">
        <v>54</v>
      </c>
      <c r="F54">
        <v>1</v>
      </c>
      <c r="G54" s="31">
        <v>45497.635416666657</v>
      </c>
      <c r="H54" s="31">
        <v>45532.635416666657</v>
      </c>
      <c r="I54">
        <v>319.10000000000002</v>
      </c>
      <c r="J54">
        <v>-0.42770000000000002</v>
      </c>
      <c r="K54">
        <v>0.85</v>
      </c>
      <c r="L54">
        <v>-8.9999999999999993E-3</v>
      </c>
      <c r="M54">
        <v>-20686.2</v>
      </c>
      <c r="N54" t="s">
        <v>46</v>
      </c>
      <c r="P54" t="s">
        <v>40</v>
      </c>
      <c r="Q54" t="s">
        <v>51</v>
      </c>
      <c r="R54">
        <v>24400</v>
      </c>
      <c r="S54" s="30">
        <v>45533</v>
      </c>
      <c r="T54" t="s">
        <v>54</v>
      </c>
      <c r="U54">
        <v>1</v>
      </c>
      <c r="V54" s="31">
        <v>45497.635416666657</v>
      </c>
      <c r="W54" s="31">
        <v>45532.635416666657</v>
      </c>
      <c r="X54">
        <v>319.10000000000002</v>
      </c>
      <c r="Y54">
        <v>-0.42770000000000002</v>
      </c>
      <c r="Z54">
        <v>0.85</v>
      </c>
      <c r="AA54">
        <v>-8.9999999999999993E-3</v>
      </c>
      <c r="AB54">
        <v>-20686.2</v>
      </c>
      <c r="AC54" t="s">
        <v>46</v>
      </c>
      <c r="AE54" t="s">
        <v>40</v>
      </c>
      <c r="AF54" t="s">
        <v>41</v>
      </c>
      <c r="AG54">
        <v>25600</v>
      </c>
      <c r="AH54" s="30">
        <v>45512</v>
      </c>
      <c r="AI54" t="s">
        <v>43</v>
      </c>
      <c r="AJ54">
        <v>5</v>
      </c>
      <c r="AK54" s="31">
        <v>45504.635416666657</v>
      </c>
      <c r="AL54" s="31">
        <v>45511.635416666657</v>
      </c>
      <c r="AM54">
        <v>13.95</v>
      </c>
      <c r="AN54">
        <v>-7.4800000000000005E-2</v>
      </c>
      <c r="AO54">
        <v>0.55000000000000004</v>
      </c>
      <c r="AP54">
        <v>-3.8E-3</v>
      </c>
      <c r="AQ54">
        <v>4355</v>
      </c>
      <c r="AR54" t="s">
        <v>46</v>
      </c>
    </row>
    <row r="55" spans="1:44" x14ac:dyDescent="0.3">
      <c r="A55" t="s">
        <v>40</v>
      </c>
      <c r="B55" t="s">
        <v>51</v>
      </c>
      <c r="C55">
        <v>25500</v>
      </c>
      <c r="D55" s="30">
        <v>45533</v>
      </c>
      <c r="E55" t="s">
        <v>43</v>
      </c>
      <c r="F55">
        <v>1</v>
      </c>
      <c r="G55" s="31">
        <v>45497.635416666657</v>
      </c>
      <c r="H55" s="31">
        <v>45532.635416666657</v>
      </c>
      <c r="I55">
        <v>1050</v>
      </c>
      <c r="J55">
        <v>0.87549999999999994</v>
      </c>
      <c r="K55">
        <v>456</v>
      </c>
      <c r="L55">
        <v>0.9899</v>
      </c>
      <c r="M55">
        <v>38610</v>
      </c>
      <c r="N55" t="s">
        <v>46</v>
      </c>
      <c r="P55" t="s">
        <v>40</v>
      </c>
      <c r="Q55" t="s">
        <v>51</v>
      </c>
      <c r="R55">
        <v>25500</v>
      </c>
      <c r="S55" s="30">
        <v>45533</v>
      </c>
      <c r="T55" t="s">
        <v>43</v>
      </c>
      <c r="U55">
        <v>1</v>
      </c>
      <c r="V55" s="31">
        <v>45497.635416666657</v>
      </c>
      <c r="W55" s="31">
        <v>45532.635416666657</v>
      </c>
      <c r="X55">
        <v>1050</v>
      </c>
      <c r="Y55">
        <v>0.87549999999999994</v>
      </c>
      <c r="Z55">
        <v>456</v>
      </c>
      <c r="AA55">
        <v>0.9899</v>
      </c>
      <c r="AB55">
        <v>38610</v>
      </c>
      <c r="AC55" t="s">
        <v>46</v>
      </c>
      <c r="AE55" t="s">
        <v>40</v>
      </c>
      <c r="AF55" t="s">
        <v>41</v>
      </c>
      <c r="AG55">
        <v>25050</v>
      </c>
      <c r="AH55" s="30">
        <v>45518</v>
      </c>
      <c r="AI55" t="s">
        <v>43</v>
      </c>
      <c r="AJ55">
        <v>5</v>
      </c>
      <c r="AK55" s="31">
        <v>45511.635416666657</v>
      </c>
      <c r="AL55" s="31">
        <v>45517.635416666657</v>
      </c>
      <c r="AM55">
        <v>13.7</v>
      </c>
      <c r="AN55">
        <v>-6.7799999999999999E-2</v>
      </c>
      <c r="AO55">
        <v>1.55</v>
      </c>
      <c r="AP55">
        <v>-1.14E-2</v>
      </c>
      <c r="AQ55">
        <v>3948.7</v>
      </c>
      <c r="AR55" t="s">
        <v>46</v>
      </c>
    </row>
    <row r="56" spans="1:44" x14ac:dyDescent="0.3">
      <c r="A56" t="s">
        <v>40</v>
      </c>
      <c r="B56" t="s">
        <v>41</v>
      </c>
      <c r="C56">
        <v>25300</v>
      </c>
      <c r="D56" s="30">
        <v>45533</v>
      </c>
      <c r="E56" t="s">
        <v>43</v>
      </c>
      <c r="F56">
        <v>5</v>
      </c>
      <c r="G56" s="31">
        <v>45525.635416666657</v>
      </c>
      <c r="H56" s="31">
        <v>45532.635416666657</v>
      </c>
      <c r="I56">
        <v>12.75</v>
      </c>
      <c r="J56">
        <v>-8.0500000000000002E-2</v>
      </c>
      <c r="K56">
        <v>3.2</v>
      </c>
      <c r="L56">
        <v>-5.1299999999999998E-2</v>
      </c>
      <c r="M56">
        <v>3103.8</v>
      </c>
      <c r="N56" t="s">
        <v>46</v>
      </c>
      <c r="P56" t="s">
        <v>40</v>
      </c>
      <c r="Q56" t="s">
        <v>41</v>
      </c>
      <c r="R56">
        <v>25300</v>
      </c>
      <c r="S56" s="30">
        <v>45533</v>
      </c>
      <c r="T56" t="s">
        <v>43</v>
      </c>
      <c r="U56">
        <v>5</v>
      </c>
      <c r="V56" s="31">
        <v>45525.635416666657</v>
      </c>
      <c r="W56" s="31">
        <v>45532.635416666657</v>
      </c>
      <c r="X56">
        <v>12.75</v>
      </c>
      <c r="Y56">
        <v>-8.0500000000000002E-2</v>
      </c>
      <c r="Z56">
        <v>3.2</v>
      </c>
      <c r="AA56">
        <v>-5.1299999999999998E-2</v>
      </c>
      <c r="AB56">
        <v>3103.8</v>
      </c>
      <c r="AC56" t="s">
        <v>46</v>
      </c>
      <c r="AE56" t="s">
        <v>40</v>
      </c>
      <c r="AF56" t="s">
        <v>41</v>
      </c>
      <c r="AG56">
        <v>24950</v>
      </c>
      <c r="AH56" s="30">
        <v>45526</v>
      </c>
      <c r="AI56" t="s">
        <v>43</v>
      </c>
      <c r="AJ56">
        <v>5</v>
      </c>
      <c r="AK56" s="31">
        <v>45517.635416666657</v>
      </c>
      <c r="AL56" s="31">
        <v>45525.635416666657</v>
      </c>
      <c r="AM56">
        <v>12.85</v>
      </c>
      <c r="AN56">
        <v>-6.0600000000000001E-2</v>
      </c>
      <c r="AO56">
        <v>7.05</v>
      </c>
      <c r="AP56">
        <v>-0.10390000000000001</v>
      </c>
      <c r="AQ56">
        <v>1885</v>
      </c>
      <c r="AR56" t="s">
        <v>46</v>
      </c>
    </row>
    <row r="57" spans="1:44" x14ac:dyDescent="0.3">
      <c r="A57" t="s">
        <v>40</v>
      </c>
      <c r="B57" t="s">
        <v>41</v>
      </c>
      <c r="C57">
        <v>25550</v>
      </c>
      <c r="D57" s="30">
        <v>45540</v>
      </c>
      <c r="E57" t="s">
        <v>43</v>
      </c>
      <c r="F57">
        <v>5</v>
      </c>
      <c r="G57" s="31">
        <v>45532.635416666657</v>
      </c>
      <c r="H57" s="31">
        <v>45539.635416666657</v>
      </c>
      <c r="I57">
        <v>15.75</v>
      </c>
      <c r="J57">
        <v>-9.6299999999999997E-2</v>
      </c>
      <c r="K57">
        <v>2.0499999999999998</v>
      </c>
      <c r="L57">
        <v>-2.9899999999999999E-2</v>
      </c>
      <c r="M57">
        <v>4452.5</v>
      </c>
      <c r="N57" t="s">
        <v>46</v>
      </c>
      <c r="P57" t="s">
        <v>40</v>
      </c>
      <c r="Q57" t="s">
        <v>41</v>
      </c>
      <c r="R57">
        <v>25550</v>
      </c>
      <c r="S57" s="30">
        <v>45540</v>
      </c>
      <c r="T57" t="s">
        <v>43</v>
      </c>
      <c r="U57">
        <v>5</v>
      </c>
      <c r="V57" s="31">
        <v>45532.635416666657</v>
      </c>
      <c r="W57" s="31">
        <v>45539.635416666657</v>
      </c>
      <c r="X57">
        <v>15.75</v>
      </c>
      <c r="Y57">
        <v>-9.6299999999999997E-2</v>
      </c>
      <c r="Z57">
        <v>2.0499999999999998</v>
      </c>
      <c r="AA57">
        <v>-2.9899999999999999E-2</v>
      </c>
      <c r="AB57">
        <v>4452.5</v>
      </c>
      <c r="AC57" t="s">
        <v>46</v>
      </c>
      <c r="AE57" t="s">
        <v>40</v>
      </c>
      <c r="AF57" t="s">
        <v>51</v>
      </c>
      <c r="AG57">
        <v>25500</v>
      </c>
      <c r="AH57" s="30">
        <v>45533</v>
      </c>
      <c r="AI57" t="s">
        <v>43</v>
      </c>
      <c r="AJ57">
        <v>1</v>
      </c>
      <c r="AK57" s="31">
        <v>45497.635416666657</v>
      </c>
      <c r="AL57" s="31">
        <v>45532.635416666657</v>
      </c>
      <c r="AM57">
        <v>1050</v>
      </c>
      <c r="AN57">
        <v>0.87549999999999994</v>
      </c>
      <c r="AO57">
        <v>456</v>
      </c>
      <c r="AP57">
        <v>0.9899</v>
      </c>
      <c r="AQ57">
        <v>38610</v>
      </c>
      <c r="AR57" t="s">
        <v>46</v>
      </c>
    </row>
    <row r="58" spans="1:44" x14ac:dyDescent="0.3">
      <c r="A58" t="s">
        <v>40</v>
      </c>
      <c r="B58" t="s">
        <v>41</v>
      </c>
      <c r="C58">
        <v>25700</v>
      </c>
      <c r="D58" s="30">
        <v>45547</v>
      </c>
      <c r="E58" t="s">
        <v>43</v>
      </c>
      <c r="F58">
        <v>5</v>
      </c>
      <c r="G58" s="31">
        <v>45539.635416666657</v>
      </c>
      <c r="H58" s="31">
        <v>45546.635416666657</v>
      </c>
      <c r="I58">
        <v>16.2</v>
      </c>
      <c r="J58">
        <v>-9.9000000000000005E-2</v>
      </c>
      <c r="K58">
        <v>0.75</v>
      </c>
      <c r="L58">
        <v>-7.3000000000000001E-3</v>
      </c>
      <c r="M58">
        <v>5021.2</v>
      </c>
      <c r="N58" t="s">
        <v>46</v>
      </c>
      <c r="P58" t="s">
        <v>40</v>
      </c>
      <c r="Q58" t="s">
        <v>41</v>
      </c>
      <c r="R58">
        <v>25700</v>
      </c>
      <c r="S58" s="30">
        <v>45547</v>
      </c>
      <c r="T58" t="s">
        <v>43</v>
      </c>
      <c r="U58">
        <v>5</v>
      </c>
      <c r="V58" s="31">
        <v>45539.635416666657</v>
      </c>
      <c r="W58" s="31">
        <v>45546.635416666657</v>
      </c>
      <c r="X58">
        <v>16.2</v>
      </c>
      <c r="Y58">
        <v>-9.9000000000000005E-2</v>
      </c>
      <c r="Z58">
        <v>0.75</v>
      </c>
      <c r="AA58">
        <v>-7.3000000000000001E-3</v>
      </c>
      <c r="AB58">
        <v>5021.2</v>
      </c>
      <c r="AC58" t="s">
        <v>46</v>
      </c>
      <c r="AE58" t="s">
        <v>40</v>
      </c>
      <c r="AF58" t="s">
        <v>51</v>
      </c>
      <c r="AG58">
        <v>24400</v>
      </c>
      <c r="AH58" s="30">
        <v>45533</v>
      </c>
      <c r="AI58" t="s">
        <v>54</v>
      </c>
      <c r="AJ58">
        <v>1</v>
      </c>
      <c r="AK58" s="31">
        <v>45497.635416666657</v>
      </c>
      <c r="AL58" s="31">
        <v>45532.635416666657</v>
      </c>
      <c r="AM58">
        <v>319.10000000000002</v>
      </c>
      <c r="AN58">
        <v>-0.42770000000000002</v>
      </c>
      <c r="AO58">
        <v>0.85</v>
      </c>
      <c r="AP58">
        <v>-8.9999999999999993E-3</v>
      </c>
      <c r="AQ58">
        <v>-20686.2</v>
      </c>
      <c r="AR58" t="s">
        <v>46</v>
      </c>
    </row>
    <row r="59" spans="1:44" x14ac:dyDescent="0.3">
      <c r="A59" t="s">
        <v>40</v>
      </c>
      <c r="B59" t="s">
        <v>41</v>
      </c>
      <c r="C59">
        <v>25500</v>
      </c>
      <c r="D59" s="30">
        <v>45554</v>
      </c>
      <c r="E59" t="s">
        <v>43</v>
      </c>
      <c r="F59">
        <v>5</v>
      </c>
      <c r="G59" s="31">
        <v>45546.635416666657</v>
      </c>
      <c r="H59" s="31">
        <v>45553.635416666657</v>
      </c>
      <c r="I59">
        <v>15.6</v>
      </c>
      <c r="J59">
        <v>-8.5900000000000004E-2</v>
      </c>
      <c r="K59">
        <v>60.55</v>
      </c>
      <c r="L59">
        <v>-0.34029999999999999</v>
      </c>
      <c r="M59">
        <v>-14608.7</v>
      </c>
      <c r="N59" t="s">
        <v>46</v>
      </c>
      <c r="P59" t="s">
        <v>40</v>
      </c>
      <c r="Q59" t="s">
        <v>41</v>
      </c>
      <c r="R59">
        <v>25500</v>
      </c>
      <c r="S59" s="30">
        <v>45554</v>
      </c>
      <c r="T59" t="s">
        <v>43</v>
      </c>
      <c r="U59">
        <v>5</v>
      </c>
      <c r="V59" s="31">
        <v>45546.635416666657</v>
      </c>
      <c r="W59" s="31">
        <v>45553.635416666657</v>
      </c>
      <c r="X59">
        <v>15.6</v>
      </c>
      <c r="Y59">
        <v>-8.5900000000000004E-2</v>
      </c>
      <c r="Z59">
        <v>60.55</v>
      </c>
      <c r="AA59">
        <v>-0.34029999999999999</v>
      </c>
      <c r="AB59">
        <v>-14608.7</v>
      </c>
      <c r="AC59" t="s">
        <v>46</v>
      </c>
      <c r="AE59" t="s">
        <v>40</v>
      </c>
      <c r="AF59" t="s">
        <v>41</v>
      </c>
      <c r="AG59">
        <v>25300</v>
      </c>
      <c r="AH59" s="30">
        <v>45533</v>
      </c>
      <c r="AI59" t="s">
        <v>43</v>
      </c>
      <c r="AJ59">
        <v>5</v>
      </c>
      <c r="AK59" s="31">
        <v>45525.635416666657</v>
      </c>
      <c r="AL59" s="31">
        <v>45532.635416666657</v>
      </c>
      <c r="AM59">
        <v>12.75</v>
      </c>
      <c r="AN59">
        <v>-8.0500000000000002E-2</v>
      </c>
      <c r="AO59">
        <v>3.2</v>
      </c>
      <c r="AP59">
        <v>-5.1299999999999998E-2</v>
      </c>
      <c r="AQ59">
        <v>3103.8</v>
      </c>
      <c r="AR59" t="s">
        <v>46</v>
      </c>
    </row>
    <row r="60" spans="1:44" x14ac:dyDescent="0.3">
      <c r="A60" t="s">
        <v>40</v>
      </c>
      <c r="B60" t="s">
        <v>51</v>
      </c>
      <c r="C60">
        <v>26000</v>
      </c>
      <c r="D60" s="30">
        <v>45561</v>
      </c>
      <c r="E60" t="s">
        <v>43</v>
      </c>
      <c r="F60">
        <v>1</v>
      </c>
      <c r="G60" s="31">
        <v>45532.635416666657</v>
      </c>
      <c r="H60" s="31">
        <v>45560.635416666657</v>
      </c>
      <c r="I60">
        <v>884.25</v>
      </c>
      <c r="J60">
        <v>0.86219999999999997</v>
      </c>
      <c r="K60">
        <v>66.099999999999994</v>
      </c>
      <c r="L60">
        <v>0.43640000000000001</v>
      </c>
      <c r="M60">
        <v>53179.8</v>
      </c>
      <c r="N60" t="s">
        <v>129</v>
      </c>
      <c r="P60" t="s">
        <v>40</v>
      </c>
      <c r="Q60" t="s">
        <v>51</v>
      </c>
      <c r="R60">
        <v>26000</v>
      </c>
      <c r="S60" s="30">
        <v>45561</v>
      </c>
      <c r="T60" t="s">
        <v>43</v>
      </c>
      <c r="U60">
        <v>1</v>
      </c>
      <c r="V60" s="31">
        <v>45532.635416666657</v>
      </c>
      <c r="W60" s="31">
        <v>45560.635416666657</v>
      </c>
      <c r="X60">
        <v>884.25</v>
      </c>
      <c r="Y60">
        <v>0.86219999999999997</v>
      </c>
      <c r="Z60">
        <v>66.099999999999994</v>
      </c>
      <c r="AA60">
        <v>0.43640000000000001</v>
      </c>
      <c r="AB60">
        <v>53179.8</v>
      </c>
      <c r="AC60" t="s">
        <v>129</v>
      </c>
      <c r="AE60" t="s">
        <v>40</v>
      </c>
      <c r="AF60" t="s">
        <v>41</v>
      </c>
      <c r="AG60">
        <v>25550</v>
      </c>
      <c r="AH60" s="30">
        <v>45540</v>
      </c>
      <c r="AI60" t="s">
        <v>43</v>
      </c>
      <c r="AJ60">
        <v>5</v>
      </c>
      <c r="AK60" s="31">
        <v>45532.635416666657</v>
      </c>
      <c r="AL60" s="31">
        <v>45539.635416666657</v>
      </c>
      <c r="AM60">
        <v>15.75</v>
      </c>
      <c r="AN60">
        <v>-9.6299999999999997E-2</v>
      </c>
      <c r="AO60">
        <v>2.0499999999999998</v>
      </c>
      <c r="AP60">
        <v>-2.9899999999999999E-2</v>
      </c>
      <c r="AQ60">
        <v>4452.5</v>
      </c>
      <c r="AR60" t="s">
        <v>46</v>
      </c>
    </row>
    <row r="61" spans="1:44" x14ac:dyDescent="0.3">
      <c r="A61" t="s">
        <v>40</v>
      </c>
      <c r="B61" t="s">
        <v>51</v>
      </c>
      <c r="C61">
        <v>25050</v>
      </c>
      <c r="D61" s="30">
        <v>45561</v>
      </c>
      <c r="E61" t="s">
        <v>54</v>
      </c>
      <c r="F61">
        <v>1</v>
      </c>
      <c r="G61" s="31">
        <v>45532.635416666657</v>
      </c>
      <c r="H61" s="31">
        <v>45560.635416666657</v>
      </c>
      <c r="I61">
        <v>288.89999999999998</v>
      </c>
      <c r="J61">
        <v>-0.43430000000000002</v>
      </c>
      <c r="K61">
        <v>1.95</v>
      </c>
      <c r="L61">
        <v>-1.2500000000000001E-2</v>
      </c>
      <c r="M61">
        <v>-18651.8</v>
      </c>
      <c r="N61" t="s">
        <v>46</v>
      </c>
      <c r="P61" t="s">
        <v>40</v>
      </c>
      <c r="Q61" t="s">
        <v>51</v>
      </c>
      <c r="R61">
        <v>25050</v>
      </c>
      <c r="S61" s="30">
        <v>45561</v>
      </c>
      <c r="T61" t="s">
        <v>54</v>
      </c>
      <c r="U61">
        <v>1</v>
      </c>
      <c r="V61" s="31">
        <v>45532.635416666657</v>
      </c>
      <c r="W61" s="31">
        <v>45560.635416666657</v>
      </c>
      <c r="X61">
        <v>288.89999999999998</v>
      </c>
      <c r="Y61">
        <v>-0.43430000000000002</v>
      </c>
      <c r="Z61">
        <v>1.95</v>
      </c>
      <c r="AA61">
        <v>-1.2500000000000001E-2</v>
      </c>
      <c r="AB61">
        <v>-18651.8</v>
      </c>
      <c r="AC61" t="s">
        <v>46</v>
      </c>
      <c r="AE61" t="s">
        <v>40</v>
      </c>
      <c r="AF61" t="s">
        <v>41</v>
      </c>
      <c r="AG61">
        <v>25700</v>
      </c>
      <c r="AH61" s="30">
        <v>45547</v>
      </c>
      <c r="AI61" t="s">
        <v>43</v>
      </c>
      <c r="AJ61">
        <v>5</v>
      </c>
      <c r="AK61" s="31">
        <v>45539.635416666657</v>
      </c>
      <c r="AL61" s="31">
        <v>45546.635416666657</v>
      </c>
      <c r="AM61">
        <v>16.2</v>
      </c>
      <c r="AN61">
        <v>-9.9000000000000005E-2</v>
      </c>
      <c r="AO61">
        <v>0.75</v>
      </c>
      <c r="AP61">
        <v>-7.3000000000000001E-3</v>
      </c>
      <c r="AQ61">
        <v>5021.2</v>
      </c>
      <c r="AR61" t="s">
        <v>46</v>
      </c>
    </row>
    <row r="62" spans="1:44" x14ac:dyDescent="0.3">
      <c r="A62" t="s">
        <v>40</v>
      </c>
      <c r="B62" t="s">
        <v>41</v>
      </c>
      <c r="C62">
        <v>26050</v>
      </c>
      <c r="D62" s="30">
        <v>45561</v>
      </c>
      <c r="E62" t="s">
        <v>43</v>
      </c>
      <c r="F62">
        <v>5</v>
      </c>
      <c r="G62" s="31">
        <v>45553.635416666657</v>
      </c>
      <c r="H62" s="31">
        <v>45560.635416666657</v>
      </c>
      <c r="I62">
        <v>15.6</v>
      </c>
      <c r="J62">
        <v>-7.9200000000000007E-2</v>
      </c>
      <c r="K62">
        <v>50.6</v>
      </c>
      <c r="L62">
        <v>-0.45100000000000001</v>
      </c>
      <c r="M62">
        <v>-11375</v>
      </c>
      <c r="N62" t="s">
        <v>46</v>
      </c>
      <c r="P62" t="s">
        <v>40</v>
      </c>
      <c r="Q62" t="s">
        <v>41</v>
      </c>
      <c r="R62">
        <v>26050</v>
      </c>
      <c r="S62" s="30">
        <v>45561</v>
      </c>
      <c r="T62" t="s">
        <v>43</v>
      </c>
      <c r="U62">
        <v>5</v>
      </c>
      <c r="V62" s="31">
        <v>45553.635416666657</v>
      </c>
      <c r="W62" s="31">
        <v>45560.635416666657</v>
      </c>
      <c r="X62">
        <v>15.6</v>
      </c>
      <c r="Y62">
        <v>-7.9200000000000007E-2</v>
      </c>
      <c r="Z62">
        <v>50.6</v>
      </c>
      <c r="AA62">
        <v>-0.45100000000000001</v>
      </c>
      <c r="AB62">
        <v>-11375</v>
      </c>
      <c r="AC62" t="s">
        <v>46</v>
      </c>
      <c r="AE62" t="s">
        <v>40</v>
      </c>
      <c r="AF62" t="s">
        <v>41</v>
      </c>
      <c r="AG62">
        <v>25500</v>
      </c>
      <c r="AH62" s="30">
        <v>45554</v>
      </c>
      <c r="AI62" t="s">
        <v>43</v>
      </c>
      <c r="AJ62">
        <v>5</v>
      </c>
      <c r="AK62" s="31">
        <v>45546.635416666657</v>
      </c>
      <c r="AL62" s="31">
        <v>45553.635416666657</v>
      </c>
      <c r="AM62">
        <v>15.6</v>
      </c>
      <c r="AN62">
        <v>-8.5900000000000004E-2</v>
      </c>
      <c r="AO62">
        <v>60.55</v>
      </c>
      <c r="AP62">
        <v>-0.34029999999999999</v>
      </c>
      <c r="AQ62">
        <v>-14608.7</v>
      </c>
      <c r="AR62" t="s">
        <v>46</v>
      </c>
    </row>
    <row r="63" spans="1:44" x14ac:dyDescent="0.3">
      <c r="A63" t="s">
        <v>40</v>
      </c>
      <c r="B63" t="s">
        <v>41</v>
      </c>
      <c r="C63">
        <v>26650</v>
      </c>
      <c r="D63" s="30">
        <v>45568</v>
      </c>
      <c r="E63" t="s">
        <v>43</v>
      </c>
      <c r="F63">
        <v>5</v>
      </c>
      <c r="G63" s="31">
        <v>45560.635416666657</v>
      </c>
      <c r="H63" s="31">
        <v>45566.635416666657</v>
      </c>
      <c r="I63">
        <v>12.7</v>
      </c>
      <c r="J63">
        <v>-7.2300000000000003E-2</v>
      </c>
      <c r="K63">
        <v>0.7</v>
      </c>
      <c r="L63">
        <v>-6.4999999999999997E-3</v>
      </c>
      <c r="M63">
        <v>3900</v>
      </c>
      <c r="N63" t="s">
        <v>46</v>
      </c>
      <c r="P63" t="s">
        <v>40</v>
      </c>
      <c r="Q63" t="s">
        <v>41</v>
      </c>
      <c r="R63">
        <v>26650</v>
      </c>
      <c r="S63" s="30">
        <v>45568</v>
      </c>
      <c r="T63" t="s">
        <v>43</v>
      </c>
      <c r="U63">
        <v>5</v>
      </c>
      <c r="V63" s="31">
        <v>45560.635416666657</v>
      </c>
      <c r="W63" s="31">
        <v>45566.635416666657</v>
      </c>
      <c r="X63">
        <v>12.7</v>
      </c>
      <c r="Y63">
        <v>-7.2300000000000003E-2</v>
      </c>
      <c r="Z63">
        <v>0.7</v>
      </c>
      <c r="AA63">
        <v>-6.4999999999999997E-3</v>
      </c>
      <c r="AB63">
        <v>3900</v>
      </c>
      <c r="AC63" t="s">
        <v>46</v>
      </c>
      <c r="AE63" t="s">
        <v>40</v>
      </c>
      <c r="AF63" t="s">
        <v>51</v>
      </c>
      <c r="AG63">
        <v>26000</v>
      </c>
      <c r="AH63" s="30">
        <v>45561</v>
      </c>
      <c r="AI63" t="s">
        <v>43</v>
      </c>
      <c r="AJ63">
        <v>1</v>
      </c>
      <c r="AK63" s="31">
        <v>45532.635416666657</v>
      </c>
      <c r="AL63" s="31">
        <v>45560.635416666657</v>
      </c>
      <c r="AM63">
        <v>884.25</v>
      </c>
      <c r="AN63">
        <v>0.86219999999999997</v>
      </c>
      <c r="AO63">
        <v>66.099999999999994</v>
      </c>
      <c r="AP63">
        <v>0.43640000000000001</v>
      </c>
      <c r="AQ63">
        <v>53179.8</v>
      </c>
      <c r="AR63" t="s">
        <v>129</v>
      </c>
    </row>
    <row r="64" spans="1:44" x14ac:dyDescent="0.3">
      <c r="A64" t="s">
        <v>40</v>
      </c>
      <c r="B64" t="s">
        <v>41</v>
      </c>
      <c r="C64">
        <v>26500</v>
      </c>
      <c r="D64" s="30">
        <v>45575</v>
      </c>
      <c r="E64" t="s">
        <v>43</v>
      </c>
      <c r="F64">
        <v>5</v>
      </c>
      <c r="G64" s="31">
        <v>45566.635416666657</v>
      </c>
      <c r="H64" s="31">
        <v>45574.635416666657</v>
      </c>
      <c r="I64">
        <v>12.4</v>
      </c>
      <c r="J64">
        <v>-6.6000000000000003E-2</v>
      </c>
      <c r="K64">
        <v>0.55000000000000004</v>
      </c>
      <c r="L64">
        <v>-3.3E-3</v>
      </c>
      <c r="M64">
        <v>3851.2</v>
      </c>
      <c r="N64" t="s">
        <v>46</v>
      </c>
      <c r="P64" t="s">
        <v>40</v>
      </c>
      <c r="Q64" t="s">
        <v>41</v>
      </c>
      <c r="R64">
        <v>26500</v>
      </c>
      <c r="S64" s="30">
        <v>45575</v>
      </c>
      <c r="T64" t="s">
        <v>43</v>
      </c>
      <c r="U64">
        <v>5</v>
      </c>
      <c r="V64" s="31">
        <v>45566.635416666657</v>
      </c>
      <c r="W64" s="31">
        <v>45574.635416666657</v>
      </c>
      <c r="X64">
        <v>12.4</v>
      </c>
      <c r="Y64">
        <v>-6.6000000000000003E-2</v>
      </c>
      <c r="Z64">
        <v>0.55000000000000004</v>
      </c>
      <c r="AA64">
        <v>-3.3E-3</v>
      </c>
      <c r="AB64">
        <v>3851.2</v>
      </c>
      <c r="AC64" t="s">
        <v>46</v>
      </c>
      <c r="AE64" t="s">
        <v>40</v>
      </c>
      <c r="AF64" t="s">
        <v>51</v>
      </c>
      <c r="AG64">
        <v>25050</v>
      </c>
      <c r="AH64" s="30">
        <v>45561</v>
      </c>
      <c r="AI64" t="s">
        <v>54</v>
      </c>
      <c r="AJ64">
        <v>1</v>
      </c>
      <c r="AK64" s="31">
        <v>45532.635416666657</v>
      </c>
      <c r="AL64" s="31">
        <v>45560.635416666657</v>
      </c>
      <c r="AM64">
        <v>288.89999999999998</v>
      </c>
      <c r="AN64">
        <v>-0.43430000000000002</v>
      </c>
      <c r="AO64">
        <v>1.95</v>
      </c>
      <c r="AP64">
        <v>-1.2500000000000001E-2</v>
      </c>
      <c r="AQ64">
        <v>-18651.8</v>
      </c>
      <c r="AR64" t="s">
        <v>129</v>
      </c>
    </row>
    <row r="65" spans="1:44" x14ac:dyDescent="0.3">
      <c r="A65" t="s">
        <v>40</v>
      </c>
      <c r="B65" t="s">
        <v>41</v>
      </c>
      <c r="C65">
        <v>25800</v>
      </c>
      <c r="D65" s="30">
        <v>45582</v>
      </c>
      <c r="E65" t="s">
        <v>43</v>
      </c>
      <c r="F65">
        <v>5</v>
      </c>
      <c r="G65" s="31">
        <v>45574.635416666657</v>
      </c>
      <c r="H65" s="31">
        <v>45581.635416666657</v>
      </c>
      <c r="I65">
        <v>13.35</v>
      </c>
      <c r="J65">
        <v>-6.1899999999999997E-2</v>
      </c>
      <c r="K65">
        <v>0.8</v>
      </c>
      <c r="L65">
        <v>-7.3000000000000001E-3</v>
      </c>
      <c r="M65">
        <v>4078.7</v>
      </c>
      <c r="N65" t="s">
        <v>46</v>
      </c>
      <c r="P65" t="s">
        <v>40</v>
      </c>
      <c r="Q65" t="s">
        <v>41</v>
      </c>
      <c r="R65">
        <v>25800</v>
      </c>
      <c r="S65" s="30">
        <v>45582</v>
      </c>
      <c r="T65" t="s">
        <v>43</v>
      </c>
      <c r="U65">
        <v>5</v>
      </c>
      <c r="V65" s="31">
        <v>45574.635416666657</v>
      </c>
      <c r="W65" s="31">
        <v>45581.635416666657</v>
      </c>
      <c r="X65">
        <v>13.35</v>
      </c>
      <c r="Y65">
        <v>-6.1899999999999997E-2</v>
      </c>
      <c r="Z65">
        <v>0.8</v>
      </c>
      <c r="AA65">
        <v>-7.3000000000000001E-3</v>
      </c>
      <c r="AB65">
        <v>4078.7</v>
      </c>
      <c r="AC65" t="s">
        <v>46</v>
      </c>
      <c r="AE65" t="s">
        <v>40</v>
      </c>
      <c r="AF65" t="s">
        <v>41</v>
      </c>
      <c r="AG65">
        <v>26050</v>
      </c>
      <c r="AH65" s="30">
        <v>45561</v>
      </c>
      <c r="AI65" t="s">
        <v>43</v>
      </c>
      <c r="AJ65">
        <v>5</v>
      </c>
      <c r="AK65" s="31">
        <v>45553.635416666657</v>
      </c>
      <c r="AL65" s="31">
        <v>45560.635416666657</v>
      </c>
      <c r="AM65">
        <v>15.6</v>
      </c>
      <c r="AN65">
        <v>-7.9200000000000007E-2</v>
      </c>
      <c r="AO65">
        <v>50.6</v>
      </c>
      <c r="AP65">
        <v>-0.45100000000000001</v>
      </c>
      <c r="AQ65">
        <v>-11375</v>
      </c>
      <c r="AR65" t="s">
        <v>46</v>
      </c>
    </row>
    <row r="66" spans="1:44" x14ac:dyDescent="0.3">
      <c r="A66" t="s">
        <v>40</v>
      </c>
      <c r="B66" t="s">
        <v>41</v>
      </c>
      <c r="C66">
        <v>25600</v>
      </c>
      <c r="D66" s="30">
        <v>45589</v>
      </c>
      <c r="E66" t="s">
        <v>43</v>
      </c>
      <c r="F66">
        <v>5</v>
      </c>
      <c r="G66" s="31">
        <v>45581.635416666657</v>
      </c>
      <c r="H66" s="31">
        <v>45588.635416666657</v>
      </c>
      <c r="I66">
        <v>13.15</v>
      </c>
      <c r="J66">
        <v>-7.3300000000000004E-2</v>
      </c>
      <c r="K66">
        <v>0.55000000000000004</v>
      </c>
      <c r="L66">
        <v>-4.1000000000000003E-3</v>
      </c>
      <c r="M66">
        <v>4095</v>
      </c>
      <c r="N66" t="s">
        <v>46</v>
      </c>
      <c r="P66" t="s">
        <v>40</v>
      </c>
      <c r="Q66" t="s">
        <v>41</v>
      </c>
      <c r="R66">
        <v>25600</v>
      </c>
      <c r="S66" s="30">
        <v>45589</v>
      </c>
      <c r="T66" t="s">
        <v>43</v>
      </c>
      <c r="U66">
        <v>5</v>
      </c>
      <c r="V66" s="31">
        <v>45581.635416666657</v>
      </c>
      <c r="W66" s="31">
        <v>45588.635416666657</v>
      </c>
      <c r="X66">
        <v>13.15</v>
      </c>
      <c r="Y66">
        <v>-7.3300000000000004E-2</v>
      </c>
      <c r="Z66">
        <v>0.55000000000000004</v>
      </c>
      <c r="AA66">
        <v>-4.1000000000000003E-3</v>
      </c>
      <c r="AB66">
        <v>4095</v>
      </c>
      <c r="AC66" t="s">
        <v>46</v>
      </c>
      <c r="AE66" t="s">
        <v>40</v>
      </c>
      <c r="AF66" t="s">
        <v>41</v>
      </c>
      <c r="AG66">
        <v>26650</v>
      </c>
      <c r="AH66" s="30">
        <v>45568</v>
      </c>
      <c r="AI66" t="s">
        <v>43</v>
      </c>
      <c r="AJ66">
        <v>5</v>
      </c>
      <c r="AK66" s="31">
        <v>45560.635416666657</v>
      </c>
      <c r="AL66" s="31">
        <v>45566.635416666657</v>
      </c>
      <c r="AM66">
        <v>12.7</v>
      </c>
      <c r="AN66">
        <v>-7.2300000000000003E-2</v>
      </c>
      <c r="AO66">
        <v>0.7</v>
      </c>
      <c r="AP66">
        <v>-6.4999999999999997E-3</v>
      </c>
      <c r="AQ66">
        <v>3900</v>
      </c>
      <c r="AR66" t="s">
        <v>46</v>
      </c>
    </row>
    <row r="67" spans="1:44" x14ac:dyDescent="0.3">
      <c r="A67" t="s">
        <v>40</v>
      </c>
      <c r="B67" t="s">
        <v>51</v>
      </c>
      <c r="C67">
        <v>26000</v>
      </c>
      <c r="D67" s="30">
        <v>45596</v>
      </c>
      <c r="E67" t="s">
        <v>54</v>
      </c>
      <c r="F67">
        <v>1</v>
      </c>
      <c r="G67" s="31">
        <v>45560.635416666657</v>
      </c>
      <c r="H67" s="31">
        <v>45595.635416666657</v>
      </c>
      <c r="I67">
        <v>328.95</v>
      </c>
      <c r="J67">
        <v>-0.42009999999999997</v>
      </c>
      <c r="K67">
        <v>1633.95</v>
      </c>
      <c r="L67">
        <v>-0.99709999999999999</v>
      </c>
      <c r="M67">
        <v>84825</v>
      </c>
      <c r="N67" t="s">
        <v>46</v>
      </c>
      <c r="P67" t="s">
        <v>40</v>
      </c>
      <c r="Q67" t="s">
        <v>51</v>
      </c>
      <c r="R67">
        <v>26000</v>
      </c>
      <c r="S67" s="30">
        <v>45596</v>
      </c>
      <c r="T67" t="s">
        <v>54</v>
      </c>
      <c r="U67">
        <v>1</v>
      </c>
      <c r="V67" s="31">
        <v>45560.635416666657</v>
      </c>
      <c r="W67" s="31">
        <v>45595.635416666657</v>
      </c>
      <c r="X67">
        <v>328.95</v>
      </c>
      <c r="Y67">
        <v>-0.42009999999999997</v>
      </c>
      <c r="Z67">
        <v>1633.95</v>
      </c>
      <c r="AA67">
        <v>-0.99709999999999999</v>
      </c>
      <c r="AB67">
        <v>84825</v>
      </c>
      <c r="AC67" t="s">
        <v>46</v>
      </c>
      <c r="AE67" t="s">
        <v>40</v>
      </c>
      <c r="AF67" t="s">
        <v>41</v>
      </c>
      <c r="AG67">
        <v>26500</v>
      </c>
      <c r="AH67" s="30">
        <v>45575</v>
      </c>
      <c r="AI67" t="s">
        <v>43</v>
      </c>
      <c r="AJ67">
        <v>5</v>
      </c>
      <c r="AK67" s="31">
        <v>45566.635416666657</v>
      </c>
      <c r="AL67" s="31">
        <v>45574.635416666657</v>
      </c>
      <c r="AM67">
        <v>12.4</v>
      </c>
      <c r="AN67">
        <v>-6.6000000000000003E-2</v>
      </c>
      <c r="AO67">
        <v>0.55000000000000004</v>
      </c>
      <c r="AP67">
        <v>-3.3E-3</v>
      </c>
      <c r="AQ67">
        <v>3851.2</v>
      </c>
      <c r="AR67" t="s">
        <v>46</v>
      </c>
    </row>
    <row r="68" spans="1:44" x14ac:dyDescent="0.3">
      <c r="A68" t="s">
        <v>40</v>
      </c>
      <c r="B68" t="s">
        <v>51</v>
      </c>
      <c r="C68">
        <v>27000</v>
      </c>
      <c r="D68" s="30">
        <v>45596</v>
      </c>
      <c r="E68" t="s">
        <v>43</v>
      </c>
      <c r="F68">
        <v>1</v>
      </c>
      <c r="G68" s="31">
        <v>45560.635416666657</v>
      </c>
      <c r="H68" s="31">
        <v>45595.635416666657</v>
      </c>
      <c r="I68">
        <v>922</v>
      </c>
      <c r="J68">
        <v>0.83140000000000003</v>
      </c>
      <c r="K68">
        <v>2640</v>
      </c>
      <c r="L68">
        <v>0.99819999999999998</v>
      </c>
      <c r="M68">
        <v>-111670</v>
      </c>
      <c r="N68" t="s">
        <v>46</v>
      </c>
      <c r="P68" t="s">
        <v>40</v>
      </c>
      <c r="Q68" t="s">
        <v>51</v>
      </c>
      <c r="R68">
        <v>26700</v>
      </c>
      <c r="S68" s="30">
        <v>45596</v>
      </c>
      <c r="T68" t="s">
        <v>43</v>
      </c>
      <c r="U68">
        <v>1</v>
      </c>
      <c r="V68" s="31">
        <v>45560.635416666657</v>
      </c>
      <c r="W68" s="31">
        <v>45595.635416666657</v>
      </c>
      <c r="X68">
        <v>700.35</v>
      </c>
      <c r="Y68">
        <v>0.72170000000000001</v>
      </c>
      <c r="Z68">
        <v>2338.75</v>
      </c>
      <c r="AA68">
        <v>0.99780000000000002</v>
      </c>
      <c r="AB68">
        <v>-106496</v>
      </c>
      <c r="AC68" t="s">
        <v>46</v>
      </c>
      <c r="AE68" t="s">
        <v>40</v>
      </c>
      <c r="AF68" t="s">
        <v>41</v>
      </c>
      <c r="AG68">
        <v>25800</v>
      </c>
      <c r="AH68" s="30">
        <v>45582</v>
      </c>
      <c r="AI68" t="s">
        <v>43</v>
      </c>
      <c r="AJ68">
        <v>5</v>
      </c>
      <c r="AK68" s="31">
        <v>45574.635416666657</v>
      </c>
      <c r="AL68" s="31">
        <v>45581.635416666657</v>
      </c>
      <c r="AM68">
        <v>13.35</v>
      </c>
      <c r="AN68">
        <v>-6.1899999999999997E-2</v>
      </c>
      <c r="AO68">
        <v>0.8</v>
      </c>
      <c r="AP68">
        <v>-7.3000000000000001E-3</v>
      </c>
      <c r="AQ68">
        <v>4078.7</v>
      </c>
      <c r="AR68" t="s">
        <v>46</v>
      </c>
    </row>
    <row r="69" spans="1:44" x14ac:dyDescent="0.3">
      <c r="A69" t="s">
        <v>40</v>
      </c>
      <c r="B69" t="s">
        <v>41</v>
      </c>
      <c r="C69">
        <v>25150</v>
      </c>
      <c r="D69" s="30">
        <v>45596</v>
      </c>
      <c r="E69" t="s">
        <v>43</v>
      </c>
      <c r="F69">
        <v>5</v>
      </c>
      <c r="G69" s="31">
        <v>45588.635416666657</v>
      </c>
      <c r="H69" s="31">
        <v>45595.635416666657</v>
      </c>
      <c r="I69">
        <v>14.45</v>
      </c>
      <c r="J69">
        <v>-7.1499999999999994E-2</v>
      </c>
      <c r="K69">
        <v>0.65</v>
      </c>
      <c r="L69">
        <v>-6.3E-3</v>
      </c>
      <c r="M69">
        <v>4485</v>
      </c>
      <c r="N69" t="s">
        <v>46</v>
      </c>
      <c r="P69" t="s">
        <v>40</v>
      </c>
      <c r="Q69" t="s">
        <v>41</v>
      </c>
      <c r="R69">
        <v>25150</v>
      </c>
      <c r="S69" s="30">
        <v>45596</v>
      </c>
      <c r="T69" t="s">
        <v>43</v>
      </c>
      <c r="U69">
        <v>5</v>
      </c>
      <c r="V69" s="31">
        <v>45588.635416666657</v>
      </c>
      <c r="W69" s="31">
        <v>45595.635416666657</v>
      </c>
      <c r="X69">
        <v>14.45</v>
      </c>
      <c r="Y69">
        <v>-7.1499999999999994E-2</v>
      </c>
      <c r="Z69">
        <v>0.65</v>
      </c>
      <c r="AA69">
        <v>-6.3E-3</v>
      </c>
      <c r="AB69">
        <v>4485</v>
      </c>
      <c r="AC69" t="s">
        <v>46</v>
      </c>
      <c r="AE69" t="s">
        <v>40</v>
      </c>
      <c r="AF69" t="s">
        <v>41</v>
      </c>
      <c r="AG69">
        <v>25600</v>
      </c>
      <c r="AH69" s="30">
        <v>45589</v>
      </c>
      <c r="AI69" t="s">
        <v>43</v>
      </c>
      <c r="AJ69">
        <v>5</v>
      </c>
      <c r="AK69" s="31">
        <v>45581.635416666657</v>
      </c>
      <c r="AL69" s="31">
        <v>45588.635416666657</v>
      </c>
      <c r="AM69">
        <v>13.15</v>
      </c>
      <c r="AN69">
        <v>-7.3300000000000004E-2</v>
      </c>
      <c r="AO69">
        <v>0.55000000000000004</v>
      </c>
      <c r="AP69">
        <v>-4.1000000000000003E-3</v>
      </c>
      <c r="AQ69">
        <v>4095</v>
      </c>
      <c r="AR69" t="s">
        <v>46</v>
      </c>
    </row>
    <row r="70" spans="1:44" x14ac:dyDescent="0.3">
      <c r="A70" t="s">
        <v>40</v>
      </c>
      <c r="B70" t="s">
        <v>41</v>
      </c>
      <c r="C70">
        <v>25150</v>
      </c>
      <c r="D70" s="30">
        <v>45603</v>
      </c>
      <c r="E70" t="s">
        <v>43</v>
      </c>
      <c r="F70">
        <v>5</v>
      </c>
      <c r="G70" s="31">
        <v>45595.635416666657</v>
      </c>
      <c r="H70" s="31">
        <v>45602.635416666657</v>
      </c>
      <c r="I70">
        <v>17.899999999999999</v>
      </c>
      <c r="J70">
        <v>-7.5800000000000006E-2</v>
      </c>
      <c r="K70">
        <v>1</v>
      </c>
      <c r="L70">
        <v>-1.04E-2</v>
      </c>
      <c r="M70">
        <v>5492.5</v>
      </c>
      <c r="N70" t="s">
        <v>46</v>
      </c>
      <c r="P70" t="s">
        <v>40</v>
      </c>
      <c r="Q70" t="s">
        <v>41</v>
      </c>
      <c r="R70">
        <v>25150</v>
      </c>
      <c r="S70" s="30">
        <v>45603</v>
      </c>
      <c r="T70" t="s">
        <v>43</v>
      </c>
      <c r="U70">
        <v>5</v>
      </c>
      <c r="V70" s="31">
        <v>45595.635416666657</v>
      </c>
      <c r="W70" s="31">
        <v>45602.635416666657</v>
      </c>
      <c r="X70">
        <v>17.899999999999999</v>
      </c>
      <c r="Y70">
        <v>-7.5800000000000006E-2</v>
      </c>
      <c r="Z70">
        <v>1</v>
      </c>
      <c r="AA70">
        <v>-1.04E-2</v>
      </c>
      <c r="AB70">
        <v>5492.5</v>
      </c>
      <c r="AC70" t="s">
        <v>46</v>
      </c>
      <c r="AE70" t="s">
        <v>40</v>
      </c>
      <c r="AF70" t="s">
        <v>51</v>
      </c>
      <c r="AG70">
        <v>26700</v>
      </c>
      <c r="AH70" s="30">
        <v>45596</v>
      </c>
      <c r="AI70" t="s">
        <v>43</v>
      </c>
      <c r="AJ70">
        <v>1</v>
      </c>
      <c r="AK70" s="31">
        <v>45560.635416666657</v>
      </c>
      <c r="AL70" s="31">
        <v>45595.635416666657</v>
      </c>
      <c r="AM70">
        <v>700.35</v>
      </c>
      <c r="AN70">
        <v>0.72170000000000001</v>
      </c>
      <c r="AO70">
        <v>2338.75</v>
      </c>
      <c r="AP70">
        <v>0.99780000000000002</v>
      </c>
      <c r="AQ70">
        <v>-106496</v>
      </c>
      <c r="AR70" t="s">
        <v>46</v>
      </c>
    </row>
    <row r="71" spans="1:44" x14ac:dyDescent="0.3">
      <c r="A71" t="s">
        <v>40</v>
      </c>
      <c r="B71" t="s">
        <v>41</v>
      </c>
      <c r="C71">
        <v>25200</v>
      </c>
      <c r="D71" s="30">
        <v>45610</v>
      </c>
      <c r="E71" t="s">
        <v>43</v>
      </c>
      <c r="F71">
        <v>5</v>
      </c>
      <c r="G71" s="31">
        <v>45602.635416666657</v>
      </c>
      <c r="H71" s="31">
        <v>45609.635416666657</v>
      </c>
      <c r="I71">
        <v>17.05</v>
      </c>
      <c r="J71">
        <v>-7.9600000000000004E-2</v>
      </c>
      <c r="K71">
        <v>0.85</v>
      </c>
      <c r="L71">
        <v>-4.4999999999999997E-3</v>
      </c>
      <c r="M71">
        <v>5265</v>
      </c>
      <c r="N71" t="s">
        <v>46</v>
      </c>
      <c r="P71" t="s">
        <v>40</v>
      </c>
      <c r="Q71" t="s">
        <v>41</v>
      </c>
      <c r="R71">
        <v>25200</v>
      </c>
      <c r="S71" s="30">
        <v>45610</v>
      </c>
      <c r="T71" t="s">
        <v>43</v>
      </c>
      <c r="U71">
        <v>5</v>
      </c>
      <c r="V71" s="31">
        <v>45602.635416666657</v>
      </c>
      <c r="W71" s="31">
        <v>45609.635416666657</v>
      </c>
      <c r="X71">
        <v>17.05</v>
      </c>
      <c r="Y71">
        <v>-7.9600000000000004E-2</v>
      </c>
      <c r="Z71">
        <v>0.85</v>
      </c>
      <c r="AA71">
        <v>-4.4999999999999997E-3</v>
      </c>
      <c r="AB71">
        <v>5265</v>
      </c>
      <c r="AC71" t="s">
        <v>46</v>
      </c>
      <c r="AE71" t="s">
        <v>40</v>
      </c>
      <c r="AF71" t="s">
        <v>51</v>
      </c>
      <c r="AG71">
        <v>26000</v>
      </c>
      <c r="AH71" s="30">
        <v>45596</v>
      </c>
      <c r="AI71" t="s">
        <v>54</v>
      </c>
      <c r="AJ71">
        <v>1</v>
      </c>
      <c r="AK71" s="31">
        <v>45560.635416666657</v>
      </c>
      <c r="AL71" s="31">
        <v>45595.635416666657</v>
      </c>
      <c r="AM71">
        <v>328.95</v>
      </c>
      <c r="AN71">
        <v>-0.42009999999999997</v>
      </c>
      <c r="AO71">
        <v>1633.95</v>
      </c>
      <c r="AP71">
        <v>-0.99709999999999999</v>
      </c>
      <c r="AQ71">
        <v>84825</v>
      </c>
      <c r="AR71" t="s">
        <v>46</v>
      </c>
    </row>
    <row r="72" spans="1:44" x14ac:dyDescent="0.3">
      <c r="A72" t="s">
        <v>40</v>
      </c>
      <c r="B72" t="s">
        <v>41</v>
      </c>
      <c r="C72">
        <v>24350</v>
      </c>
      <c r="D72" s="30">
        <v>45617</v>
      </c>
      <c r="E72" t="s">
        <v>43</v>
      </c>
      <c r="F72">
        <v>5</v>
      </c>
      <c r="G72" s="31">
        <v>45609.635416666657</v>
      </c>
      <c r="H72" s="31">
        <v>45615.635416666657</v>
      </c>
      <c r="I72">
        <v>16.850000000000001</v>
      </c>
      <c r="J72">
        <v>-7.4700000000000003E-2</v>
      </c>
      <c r="K72">
        <v>0.85</v>
      </c>
      <c r="L72">
        <v>-7.4999999999999997E-3</v>
      </c>
      <c r="M72">
        <v>5200</v>
      </c>
      <c r="N72" t="s">
        <v>46</v>
      </c>
      <c r="P72" t="s">
        <v>40</v>
      </c>
      <c r="Q72" t="s">
        <v>41</v>
      </c>
      <c r="R72">
        <v>24350</v>
      </c>
      <c r="S72" s="30">
        <v>45617</v>
      </c>
      <c r="T72" t="s">
        <v>43</v>
      </c>
      <c r="U72">
        <v>5</v>
      </c>
      <c r="V72" s="31">
        <v>45609.635416666657</v>
      </c>
      <c r="W72" s="31">
        <v>45615.635416666657</v>
      </c>
      <c r="X72">
        <v>16.850000000000001</v>
      </c>
      <c r="Y72">
        <v>-7.4700000000000003E-2</v>
      </c>
      <c r="Z72">
        <v>0.85</v>
      </c>
      <c r="AA72">
        <v>-7.4999999999999997E-3</v>
      </c>
      <c r="AB72">
        <v>5200</v>
      </c>
      <c r="AC72" t="s">
        <v>46</v>
      </c>
      <c r="AE72" t="s">
        <v>40</v>
      </c>
      <c r="AF72" t="s">
        <v>41</v>
      </c>
      <c r="AG72">
        <v>25150</v>
      </c>
      <c r="AH72" s="30">
        <v>45596</v>
      </c>
      <c r="AI72" t="s">
        <v>43</v>
      </c>
      <c r="AJ72">
        <v>5</v>
      </c>
      <c r="AK72" s="31">
        <v>45588.635416666657</v>
      </c>
      <c r="AL72" s="31">
        <v>45595.635416666657</v>
      </c>
      <c r="AM72">
        <v>14.45</v>
      </c>
      <c r="AN72">
        <v>-7.1499999999999994E-2</v>
      </c>
      <c r="AO72">
        <v>0.65</v>
      </c>
      <c r="AP72">
        <v>-6.3E-3</v>
      </c>
      <c r="AQ72">
        <v>4485</v>
      </c>
      <c r="AR72" t="s">
        <v>46</v>
      </c>
    </row>
    <row r="73" spans="1:44" x14ac:dyDescent="0.3">
      <c r="A73" t="s">
        <v>40</v>
      </c>
      <c r="B73" t="s">
        <v>51</v>
      </c>
      <c r="C73">
        <v>24350</v>
      </c>
      <c r="D73" s="30">
        <v>45624</v>
      </c>
      <c r="E73" t="s">
        <v>54</v>
      </c>
      <c r="F73">
        <v>1</v>
      </c>
      <c r="G73" s="31">
        <v>45595.635416666657</v>
      </c>
      <c r="H73" s="31">
        <v>45623.635416666657</v>
      </c>
      <c r="I73">
        <v>345.55</v>
      </c>
      <c r="J73">
        <v>-0.44790000000000002</v>
      </c>
      <c r="K73">
        <v>98.35</v>
      </c>
      <c r="L73">
        <v>-0.64539999999999997</v>
      </c>
      <c r="M73">
        <v>-16068</v>
      </c>
      <c r="N73" t="s">
        <v>46</v>
      </c>
      <c r="P73" t="s">
        <v>40</v>
      </c>
      <c r="Q73" t="s">
        <v>51</v>
      </c>
      <c r="R73">
        <v>24350</v>
      </c>
      <c r="S73" s="30">
        <v>45624</v>
      </c>
      <c r="T73" t="s">
        <v>54</v>
      </c>
      <c r="U73">
        <v>1</v>
      </c>
      <c r="V73" s="31">
        <v>45595.635416666657</v>
      </c>
      <c r="W73" s="31">
        <v>45623.635416666657</v>
      </c>
      <c r="X73">
        <v>345.55</v>
      </c>
      <c r="Y73">
        <v>-0.44790000000000002</v>
      </c>
      <c r="Z73">
        <v>98.35</v>
      </c>
      <c r="AA73">
        <v>-0.64539999999999997</v>
      </c>
      <c r="AB73">
        <v>-16068</v>
      </c>
      <c r="AC73" t="s">
        <v>46</v>
      </c>
      <c r="AE73" t="s">
        <v>40</v>
      </c>
      <c r="AF73" t="s">
        <v>41</v>
      </c>
      <c r="AG73">
        <v>25150</v>
      </c>
      <c r="AH73" s="30">
        <v>45603</v>
      </c>
      <c r="AI73" t="s">
        <v>43</v>
      </c>
      <c r="AJ73">
        <v>5</v>
      </c>
      <c r="AK73" s="31">
        <v>45595.635416666657</v>
      </c>
      <c r="AL73" s="31">
        <v>45602.635416666657</v>
      </c>
      <c r="AM73">
        <v>17.899999999999999</v>
      </c>
      <c r="AN73">
        <v>-7.5800000000000006E-2</v>
      </c>
      <c r="AO73">
        <v>1</v>
      </c>
      <c r="AP73">
        <v>-1.04E-2</v>
      </c>
      <c r="AQ73">
        <v>5492.5</v>
      </c>
      <c r="AR73" t="s">
        <v>46</v>
      </c>
    </row>
    <row r="74" spans="1:44" x14ac:dyDescent="0.3">
      <c r="A74" t="s">
        <v>40</v>
      </c>
      <c r="B74" t="s">
        <v>51</v>
      </c>
      <c r="C74">
        <v>25000</v>
      </c>
      <c r="D74" s="30">
        <v>45624</v>
      </c>
      <c r="E74" t="s">
        <v>43</v>
      </c>
      <c r="F74">
        <v>1</v>
      </c>
      <c r="G74" s="31">
        <v>45595.635416666657</v>
      </c>
      <c r="H74" s="31">
        <v>45623.635416666657</v>
      </c>
      <c r="I74">
        <v>682.15</v>
      </c>
      <c r="J74">
        <v>0.69840000000000002</v>
      </c>
      <c r="K74">
        <v>700</v>
      </c>
      <c r="L74">
        <v>0.99309999999999998</v>
      </c>
      <c r="M74">
        <v>-1160.3</v>
      </c>
      <c r="N74" t="s">
        <v>46</v>
      </c>
      <c r="P74" t="s">
        <v>40</v>
      </c>
      <c r="Q74" t="s">
        <v>51</v>
      </c>
      <c r="R74">
        <v>25000</v>
      </c>
      <c r="S74" s="30">
        <v>45624</v>
      </c>
      <c r="T74" t="s">
        <v>43</v>
      </c>
      <c r="U74">
        <v>1</v>
      </c>
      <c r="V74" s="31">
        <v>45595.635416666657</v>
      </c>
      <c r="W74" s="31">
        <v>45623.635416666657</v>
      </c>
      <c r="X74">
        <v>682.15</v>
      </c>
      <c r="Y74">
        <v>0.69840000000000002</v>
      </c>
      <c r="Z74">
        <v>700</v>
      </c>
      <c r="AA74">
        <v>0.99309999999999998</v>
      </c>
      <c r="AB74">
        <v>-1160.3</v>
      </c>
      <c r="AC74" t="s">
        <v>46</v>
      </c>
      <c r="AE74" t="s">
        <v>40</v>
      </c>
      <c r="AF74" t="s">
        <v>41</v>
      </c>
      <c r="AG74">
        <v>25200</v>
      </c>
      <c r="AH74" s="30">
        <v>45610</v>
      </c>
      <c r="AI74" t="s">
        <v>43</v>
      </c>
      <c r="AJ74">
        <v>5</v>
      </c>
      <c r="AK74" s="31">
        <v>45602.635416666657</v>
      </c>
      <c r="AL74" s="31">
        <v>45609.635416666657</v>
      </c>
      <c r="AM74">
        <v>17.05</v>
      </c>
      <c r="AN74">
        <v>-7.9600000000000004E-2</v>
      </c>
      <c r="AO74">
        <v>0.85</v>
      </c>
      <c r="AP74">
        <v>-4.4999999999999997E-3</v>
      </c>
      <c r="AQ74">
        <v>5265</v>
      </c>
      <c r="AR74" t="s">
        <v>46</v>
      </c>
    </row>
    <row r="75" spans="1:44" x14ac:dyDescent="0.3">
      <c r="A75" t="s">
        <v>40</v>
      </c>
      <c r="B75" t="s">
        <v>41</v>
      </c>
      <c r="C75">
        <v>24200</v>
      </c>
      <c r="D75" s="30">
        <v>45624</v>
      </c>
      <c r="E75" t="s">
        <v>43</v>
      </c>
      <c r="F75">
        <v>5</v>
      </c>
      <c r="G75" s="31">
        <v>45615.635416666657</v>
      </c>
      <c r="H75" s="31">
        <v>45623.635416666657</v>
      </c>
      <c r="I75">
        <v>16</v>
      </c>
      <c r="J75">
        <v>-7.6700000000000004E-2</v>
      </c>
      <c r="K75">
        <v>139.44999999999999</v>
      </c>
      <c r="L75">
        <v>-0.66279999999999994</v>
      </c>
      <c r="M75">
        <v>-40121.199999999997</v>
      </c>
      <c r="N75" t="s">
        <v>46</v>
      </c>
      <c r="P75" t="s">
        <v>40</v>
      </c>
      <c r="Q75" t="s">
        <v>41</v>
      </c>
      <c r="R75">
        <v>24200</v>
      </c>
      <c r="S75" s="30">
        <v>45624</v>
      </c>
      <c r="T75" t="s">
        <v>43</v>
      </c>
      <c r="U75">
        <v>5</v>
      </c>
      <c r="V75" s="31">
        <v>45615.635416666657</v>
      </c>
      <c r="W75" s="31">
        <v>45623.635416666657</v>
      </c>
      <c r="X75">
        <v>16</v>
      </c>
      <c r="Y75">
        <v>-7.6700000000000004E-2</v>
      </c>
      <c r="Z75">
        <v>139.44999999999999</v>
      </c>
      <c r="AA75">
        <v>-0.66279999999999994</v>
      </c>
      <c r="AB75">
        <v>-40121.199999999997</v>
      </c>
      <c r="AC75" t="s">
        <v>46</v>
      </c>
      <c r="AE75" t="s">
        <v>40</v>
      </c>
      <c r="AF75" t="s">
        <v>41</v>
      </c>
      <c r="AG75">
        <v>24350</v>
      </c>
      <c r="AH75" s="30">
        <v>45617</v>
      </c>
      <c r="AI75" t="s">
        <v>43</v>
      </c>
      <c r="AJ75">
        <v>5</v>
      </c>
      <c r="AK75" s="31">
        <v>45609.635416666657</v>
      </c>
      <c r="AL75" s="31">
        <v>45615.635416666657</v>
      </c>
      <c r="AM75">
        <v>16.850000000000001</v>
      </c>
      <c r="AN75">
        <v>-7.4700000000000003E-2</v>
      </c>
      <c r="AO75">
        <v>0.85</v>
      </c>
      <c r="AP75">
        <v>-7.4999999999999997E-3</v>
      </c>
      <c r="AQ75">
        <v>5200</v>
      </c>
      <c r="AR75" t="s">
        <v>46</v>
      </c>
    </row>
    <row r="76" spans="1:44" x14ac:dyDescent="0.3">
      <c r="A76" t="s">
        <v>40</v>
      </c>
      <c r="B76" t="s">
        <v>41</v>
      </c>
      <c r="C76">
        <v>24950</v>
      </c>
      <c r="D76" s="30">
        <v>45631</v>
      </c>
      <c r="E76" t="s">
        <v>43</v>
      </c>
      <c r="F76">
        <v>5</v>
      </c>
      <c r="G76" s="31">
        <v>45623.635416666657</v>
      </c>
      <c r="H76" s="31">
        <v>45630.635416666657</v>
      </c>
      <c r="I76">
        <v>13.75</v>
      </c>
      <c r="J76">
        <v>-7.22E-2</v>
      </c>
      <c r="K76">
        <v>3.35</v>
      </c>
      <c r="L76">
        <v>-3.3399999999999999E-2</v>
      </c>
      <c r="M76">
        <v>3380</v>
      </c>
      <c r="N76" t="s">
        <v>46</v>
      </c>
      <c r="P76" t="s">
        <v>40</v>
      </c>
      <c r="Q76" t="s">
        <v>41</v>
      </c>
      <c r="R76">
        <v>24950</v>
      </c>
      <c r="S76" s="30">
        <v>45631</v>
      </c>
      <c r="T76" t="s">
        <v>43</v>
      </c>
      <c r="U76">
        <v>5</v>
      </c>
      <c r="V76" s="31">
        <v>45623.635416666657</v>
      </c>
      <c r="W76" s="31">
        <v>45630.635416666657</v>
      </c>
      <c r="X76">
        <v>13.75</v>
      </c>
      <c r="Y76">
        <v>-7.22E-2</v>
      </c>
      <c r="Z76">
        <v>3.35</v>
      </c>
      <c r="AA76">
        <v>-3.3399999999999999E-2</v>
      </c>
      <c r="AB76">
        <v>3380</v>
      </c>
      <c r="AC76" t="s">
        <v>46</v>
      </c>
      <c r="AE76" t="s">
        <v>40</v>
      </c>
      <c r="AF76" t="s">
        <v>51</v>
      </c>
      <c r="AG76">
        <v>25000</v>
      </c>
      <c r="AH76" s="30">
        <v>45624</v>
      </c>
      <c r="AI76" t="s">
        <v>43</v>
      </c>
      <c r="AJ76">
        <v>1</v>
      </c>
      <c r="AK76" s="31">
        <v>45595.635416666657</v>
      </c>
      <c r="AL76" s="31">
        <v>45623.635416666657</v>
      </c>
      <c r="AM76">
        <v>682.15</v>
      </c>
      <c r="AN76">
        <v>0.69840000000000002</v>
      </c>
      <c r="AO76">
        <v>700</v>
      </c>
      <c r="AP76">
        <v>0.99309999999999998</v>
      </c>
      <c r="AQ76">
        <v>-1160.3</v>
      </c>
      <c r="AR76" t="s">
        <v>46</v>
      </c>
    </row>
    <row r="77" spans="1:44" x14ac:dyDescent="0.3">
      <c r="A77" t="s">
        <v>40</v>
      </c>
      <c r="B77" t="s">
        <v>41</v>
      </c>
      <c r="C77">
        <v>25250</v>
      </c>
      <c r="D77" s="30">
        <v>45638</v>
      </c>
      <c r="E77" t="s">
        <v>43</v>
      </c>
      <c r="F77">
        <v>5</v>
      </c>
      <c r="G77" s="31">
        <v>45630.635416666657</v>
      </c>
      <c r="H77" s="31">
        <v>45637.635416666657</v>
      </c>
      <c r="I77">
        <v>14.7</v>
      </c>
      <c r="J77">
        <v>-6.8699999999999997E-2</v>
      </c>
      <c r="K77">
        <v>1.9</v>
      </c>
      <c r="L77">
        <v>-1.8599999999999998E-2</v>
      </c>
      <c r="M77">
        <v>4160</v>
      </c>
      <c r="N77" t="s">
        <v>46</v>
      </c>
      <c r="P77" t="s">
        <v>40</v>
      </c>
      <c r="Q77" t="s">
        <v>51</v>
      </c>
      <c r="R77">
        <v>24700</v>
      </c>
      <c r="S77" s="30">
        <v>45652</v>
      </c>
      <c r="T77" t="s">
        <v>43</v>
      </c>
      <c r="U77">
        <v>1</v>
      </c>
      <c r="V77" s="31">
        <v>45623.635416666657</v>
      </c>
      <c r="W77" s="31">
        <v>45631.635416666657</v>
      </c>
      <c r="X77">
        <v>471.85</v>
      </c>
      <c r="Y77">
        <v>0.62749999999999995</v>
      </c>
      <c r="Z77">
        <v>275.2</v>
      </c>
      <c r="AA77">
        <v>0.42970000000000003</v>
      </c>
      <c r="AB77">
        <v>12782.3</v>
      </c>
      <c r="AC77" t="s">
        <v>63</v>
      </c>
      <c r="AE77" t="s">
        <v>40</v>
      </c>
      <c r="AF77" t="s">
        <v>51</v>
      </c>
      <c r="AG77">
        <v>24350</v>
      </c>
      <c r="AH77" s="30">
        <v>45624</v>
      </c>
      <c r="AI77" t="s">
        <v>54</v>
      </c>
      <c r="AJ77">
        <v>1</v>
      </c>
      <c r="AK77" s="31">
        <v>45595.635416666657</v>
      </c>
      <c r="AL77" s="31">
        <v>45623.635416666657</v>
      </c>
      <c r="AM77">
        <v>345.55</v>
      </c>
      <c r="AN77">
        <v>-0.44790000000000002</v>
      </c>
      <c r="AO77">
        <v>98.35</v>
      </c>
      <c r="AP77">
        <v>-0.64539999999999997</v>
      </c>
      <c r="AQ77">
        <v>-16068</v>
      </c>
      <c r="AR77" t="s">
        <v>46</v>
      </c>
    </row>
    <row r="78" spans="1:44" x14ac:dyDescent="0.3">
      <c r="A78" t="s">
        <v>40</v>
      </c>
      <c r="B78" t="s">
        <v>41</v>
      </c>
      <c r="C78">
        <v>25350</v>
      </c>
      <c r="D78" s="30">
        <v>45645</v>
      </c>
      <c r="E78" t="s">
        <v>43</v>
      </c>
      <c r="F78">
        <v>5</v>
      </c>
      <c r="G78" s="31">
        <v>45637.635416666657</v>
      </c>
      <c r="H78" s="31">
        <v>45644.635416666657</v>
      </c>
      <c r="I78">
        <v>12.55</v>
      </c>
      <c r="J78">
        <v>-6.6500000000000004E-2</v>
      </c>
      <c r="K78">
        <v>4.3</v>
      </c>
      <c r="L78">
        <v>-2.1299999999999999E-2</v>
      </c>
      <c r="M78">
        <v>2681.2</v>
      </c>
      <c r="N78" t="s">
        <v>46</v>
      </c>
      <c r="P78" t="s">
        <v>40</v>
      </c>
      <c r="Q78" t="s">
        <v>41</v>
      </c>
      <c r="R78">
        <v>25250</v>
      </c>
      <c r="S78" s="30">
        <v>45638</v>
      </c>
      <c r="T78" t="s">
        <v>43</v>
      </c>
      <c r="U78">
        <v>5</v>
      </c>
      <c r="V78" s="31">
        <v>45630.635416666657</v>
      </c>
      <c r="W78" s="31">
        <v>45637.635416666657</v>
      </c>
      <c r="X78">
        <v>14.7</v>
      </c>
      <c r="Y78">
        <v>-6.8699999999999997E-2</v>
      </c>
      <c r="Z78">
        <v>1.9</v>
      </c>
      <c r="AA78">
        <v>-1.8599999999999998E-2</v>
      </c>
      <c r="AB78">
        <v>4160</v>
      </c>
      <c r="AC78" t="s">
        <v>46</v>
      </c>
      <c r="AE78" t="s">
        <v>40</v>
      </c>
      <c r="AF78" t="s">
        <v>41</v>
      </c>
      <c r="AG78">
        <v>24200</v>
      </c>
      <c r="AH78" s="30">
        <v>45624</v>
      </c>
      <c r="AI78" t="s">
        <v>43</v>
      </c>
      <c r="AJ78">
        <v>5</v>
      </c>
      <c r="AK78" s="31">
        <v>45615.635416666657</v>
      </c>
      <c r="AL78" s="31">
        <v>45623.635416666657</v>
      </c>
      <c r="AM78">
        <v>16</v>
      </c>
      <c r="AN78">
        <v>-7.6700000000000004E-2</v>
      </c>
      <c r="AO78">
        <v>139.44999999999999</v>
      </c>
      <c r="AP78">
        <v>-0.66279999999999994</v>
      </c>
      <c r="AQ78">
        <v>-40121.199999999997</v>
      </c>
      <c r="AR78" t="s">
        <v>46</v>
      </c>
    </row>
    <row r="79" spans="1:44" x14ac:dyDescent="0.3">
      <c r="A79" t="s">
        <v>40</v>
      </c>
      <c r="B79" t="s">
        <v>51</v>
      </c>
      <c r="C79">
        <v>24250</v>
      </c>
      <c r="D79" s="30">
        <v>45652</v>
      </c>
      <c r="E79" t="s">
        <v>54</v>
      </c>
      <c r="F79">
        <v>1</v>
      </c>
      <c r="G79" s="31">
        <v>45623.635416666657</v>
      </c>
      <c r="H79" s="31">
        <v>45650.635416666657</v>
      </c>
      <c r="I79">
        <v>263.39999999999998</v>
      </c>
      <c r="J79">
        <v>-0.4229</v>
      </c>
      <c r="K79">
        <v>480.35</v>
      </c>
      <c r="L79">
        <v>-0.9768</v>
      </c>
      <c r="M79">
        <v>14101.8</v>
      </c>
      <c r="N79" t="s">
        <v>46</v>
      </c>
      <c r="P79" t="s">
        <v>40</v>
      </c>
      <c r="Q79" t="s">
        <v>41</v>
      </c>
      <c r="R79">
        <v>25350</v>
      </c>
      <c r="S79" s="30">
        <v>45645</v>
      </c>
      <c r="T79" t="s">
        <v>43</v>
      </c>
      <c r="U79">
        <v>5</v>
      </c>
      <c r="V79" s="31">
        <v>45637.635416666657</v>
      </c>
      <c r="W79" s="31">
        <v>45644.635416666657</v>
      </c>
      <c r="X79">
        <v>12.55</v>
      </c>
      <c r="Y79">
        <v>-6.6500000000000004E-2</v>
      </c>
      <c r="Z79">
        <v>4.3</v>
      </c>
      <c r="AA79">
        <v>-2.1299999999999999E-2</v>
      </c>
      <c r="AB79">
        <v>2681.2</v>
      </c>
      <c r="AC79" t="s">
        <v>46</v>
      </c>
      <c r="AE79" t="s">
        <v>40</v>
      </c>
      <c r="AF79" t="s">
        <v>41</v>
      </c>
      <c r="AG79">
        <v>24950</v>
      </c>
      <c r="AH79" s="30">
        <v>45631</v>
      </c>
      <c r="AI79" t="s">
        <v>43</v>
      </c>
      <c r="AJ79">
        <v>5</v>
      </c>
      <c r="AK79" s="31">
        <v>45623.635416666657</v>
      </c>
      <c r="AL79" s="31">
        <v>45630.635416666657</v>
      </c>
      <c r="AM79">
        <v>13.75</v>
      </c>
      <c r="AN79">
        <v>-7.22E-2</v>
      </c>
      <c r="AO79">
        <v>3.35</v>
      </c>
      <c r="AP79">
        <v>-3.3399999999999999E-2</v>
      </c>
      <c r="AQ79">
        <v>3380</v>
      </c>
      <c r="AR79" t="s">
        <v>46</v>
      </c>
    </row>
    <row r="80" spans="1:44" x14ac:dyDescent="0.3">
      <c r="A80" t="s">
        <v>40</v>
      </c>
      <c r="B80" t="s">
        <v>51</v>
      </c>
      <c r="C80">
        <v>25000</v>
      </c>
      <c r="D80" s="30">
        <v>45652</v>
      </c>
      <c r="E80" t="s">
        <v>43</v>
      </c>
      <c r="F80">
        <v>1</v>
      </c>
      <c r="G80" s="31">
        <v>45623.635416666657</v>
      </c>
      <c r="H80" s="31">
        <v>45650.635416666657</v>
      </c>
      <c r="I80">
        <v>670</v>
      </c>
      <c r="J80">
        <v>0.75309999999999999</v>
      </c>
      <c r="K80">
        <v>1230.3</v>
      </c>
      <c r="L80">
        <v>0.99450000000000005</v>
      </c>
      <c r="M80">
        <v>-36419.5</v>
      </c>
      <c r="N80" t="s">
        <v>46</v>
      </c>
      <c r="P80" t="s">
        <v>40</v>
      </c>
      <c r="Q80" t="s">
        <v>51</v>
      </c>
      <c r="R80">
        <v>24250</v>
      </c>
      <c r="S80" s="30">
        <v>45652</v>
      </c>
      <c r="T80" t="s">
        <v>54</v>
      </c>
      <c r="U80">
        <v>1</v>
      </c>
      <c r="V80" s="31">
        <v>45623.635416666657</v>
      </c>
      <c r="W80" s="31">
        <v>45650.635416666657</v>
      </c>
      <c r="X80">
        <v>263.39999999999998</v>
      </c>
      <c r="Y80">
        <v>-0.4229</v>
      </c>
      <c r="Z80">
        <v>480.35</v>
      </c>
      <c r="AA80">
        <v>-0.9768</v>
      </c>
      <c r="AB80">
        <v>14101.8</v>
      </c>
      <c r="AC80" t="s">
        <v>46</v>
      </c>
      <c r="AE80" t="s">
        <v>40</v>
      </c>
      <c r="AF80" t="s">
        <v>51</v>
      </c>
      <c r="AG80">
        <v>24700</v>
      </c>
      <c r="AH80" s="30">
        <v>45652</v>
      </c>
      <c r="AI80" t="s">
        <v>43</v>
      </c>
      <c r="AJ80">
        <v>1</v>
      </c>
      <c r="AK80" s="31">
        <v>45623.635416666657</v>
      </c>
      <c r="AL80" s="31">
        <v>45631.635416666657</v>
      </c>
      <c r="AM80">
        <v>471.85</v>
      </c>
      <c r="AN80">
        <v>0.62749999999999995</v>
      </c>
      <c r="AO80">
        <v>275.2</v>
      </c>
      <c r="AP80">
        <v>0.42970000000000003</v>
      </c>
      <c r="AQ80">
        <v>12782.3</v>
      </c>
      <c r="AR80" t="s">
        <v>63</v>
      </c>
    </row>
    <row r="81" spans="1:44" x14ac:dyDescent="0.3">
      <c r="A81" t="s">
        <v>40</v>
      </c>
      <c r="B81" t="s">
        <v>41</v>
      </c>
      <c r="C81">
        <v>25450</v>
      </c>
      <c r="D81" s="30">
        <v>45652</v>
      </c>
      <c r="E81" t="s">
        <v>43</v>
      </c>
      <c r="F81">
        <v>5</v>
      </c>
      <c r="G81" s="31">
        <v>45644.635416666657</v>
      </c>
      <c r="H81" s="31">
        <v>45650.635416666657</v>
      </c>
      <c r="I81">
        <v>13.2</v>
      </c>
      <c r="J81">
        <v>-4.6300000000000001E-2</v>
      </c>
      <c r="K81">
        <v>0.7</v>
      </c>
      <c r="L81">
        <v>-3.7000000000000002E-3</v>
      </c>
      <c r="M81">
        <v>4062.5</v>
      </c>
      <c r="N81" t="s">
        <v>46</v>
      </c>
      <c r="P81" t="s">
        <v>40</v>
      </c>
      <c r="Q81" t="s">
        <v>51</v>
      </c>
      <c r="R81">
        <v>25500</v>
      </c>
      <c r="S81" s="30">
        <v>45652</v>
      </c>
      <c r="T81" t="s">
        <v>43</v>
      </c>
      <c r="U81">
        <v>1</v>
      </c>
      <c r="V81" s="31">
        <v>45631.635416666657</v>
      </c>
      <c r="W81" s="31">
        <v>45650.635416666657</v>
      </c>
      <c r="X81">
        <v>760</v>
      </c>
      <c r="Y81">
        <v>0.83079999999999998</v>
      </c>
      <c r="Z81">
        <v>1731.05</v>
      </c>
      <c r="AA81">
        <v>0.99609999999999999</v>
      </c>
      <c r="AB81">
        <v>-63118.2</v>
      </c>
      <c r="AC81" t="s">
        <v>46</v>
      </c>
      <c r="AE81" t="s">
        <v>40</v>
      </c>
      <c r="AF81" t="s">
        <v>51</v>
      </c>
      <c r="AG81">
        <v>24250</v>
      </c>
      <c r="AH81" s="30">
        <v>45652</v>
      </c>
      <c r="AI81" t="s">
        <v>54</v>
      </c>
      <c r="AJ81">
        <v>1</v>
      </c>
      <c r="AK81" s="31">
        <v>45623.635416666657</v>
      </c>
      <c r="AL81" s="31">
        <v>45631.635416666657</v>
      </c>
      <c r="AM81">
        <v>263.39999999999998</v>
      </c>
      <c r="AN81">
        <v>-0.4229</v>
      </c>
      <c r="AO81">
        <v>144.6</v>
      </c>
      <c r="AP81">
        <v>-0.25540000000000002</v>
      </c>
      <c r="AQ81">
        <v>-7722</v>
      </c>
      <c r="AR81" t="s">
        <v>63</v>
      </c>
    </row>
    <row r="82" spans="1:44" x14ac:dyDescent="0.3">
      <c r="A82" t="s">
        <v>40</v>
      </c>
      <c r="B82" t="s">
        <v>41</v>
      </c>
      <c r="C82">
        <v>24500</v>
      </c>
      <c r="D82" s="30">
        <v>45659</v>
      </c>
      <c r="E82" t="s">
        <v>43</v>
      </c>
      <c r="F82">
        <v>5</v>
      </c>
      <c r="G82" s="31">
        <v>45650.635416666657</v>
      </c>
      <c r="H82" s="31">
        <v>45658.635416666657</v>
      </c>
      <c r="I82">
        <v>11.95</v>
      </c>
      <c r="J82">
        <v>-6.0299999999999999E-2</v>
      </c>
      <c r="K82">
        <v>0.95</v>
      </c>
      <c r="L82">
        <v>-8.9999999999999993E-3</v>
      </c>
      <c r="M82">
        <v>3575</v>
      </c>
      <c r="N82" t="s">
        <v>46</v>
      </c>
      <c r="P82" t="s">
        <v>40</v>
      </c>
      <c r="Q82" t="s">
        <v>41</v>
      </c>
      <c r="R82">
        <v>25450</v>
      </c>
      <c r="S82" s="30">
        <v>45652</v>
      </c>
      <c r="T82" t="s">
        <v>43</v>
      </c>
      <c r="U82">
        <v>5</v>
      </c>
      <c r="V82" s="31">
        <v>45644.635416666657</v>
      </c>
      <c r="W82" s="31">
        <v>45650.635416666657</v>
      </c>
      <c r="X82">
        <v>13.2</v>
      </c>
      <c r="Y82">
        <v>-4.6300000000000001E-2</v>
      </c>
      <c r="Z82">
        <v>0.7</v>
      </c>
      <c r="AA82">
        <v>-3.7000000000000002E-3</v>
      </c>
      <c r="AB82">
        <v>4062.5</v>
      </c>
      <c r="AC82" t="s">
        <v>46</v>
      </c>
      <c r="AE82" t="s">
        <v>40</v>
      </c>
      <c r="AF82" t="s">
        <v>41</v>
      </c>
      <c r="AG82">
        <v>25250</v>
      </c>
      <c r="AH82" s="30">
        <v>45638</v>
      </c>
      <c r="AI82" t="s">
        <v>43</v>
      </c>
      <c r="AJ82">
        <v>5</v>
      </c>
      <c r="AK82" s="31">
        <v>45630.635416666657</v>
      </c>
      <c r="AL82" s="31">
        <v>45637.635416666657</v>
      </c>
      <c r="AM82">
        <v>14.7</v>
      </c>
      <c r="AN82">
        <v>-6.8699999999999997E-2</v>
      </c>
      <c r="AO82">
        <v>1.9</v>
      </c>
      <c r="AP82">
        <v>-1.8599999999999998E-2</v>
      </c>
      <c r="AQ82">
        <v>4160</v>
      </c>
      <c r="AR82" t="s">
        <v>46</v>
      </c>
    </row>
    <row r="83" spans="1:44" x14ac:dyDescent="0.3">
      <c r="A83" t="s">
        <v>40</v>
      </c>
      <c r="B83" t="s">
        <v>41</v>
      </c>
      <c r="C83">
        <v>24600</v>
      </c>
      <c r="D83" s="30">
        <v>45666</v>
      </c>
      <c r="E83" t="s">
        <v>43</v>
      </c>
      <c r="F83">
        <v>5</v>
      </c>
      <c r="G83" s="31">
        <v>45658.635416666657</v>
      </c>
      <c r="H83" s="31">
        <v>45665.635416666657</v>
      </c>
      <c r="I83">
        <v>13.3</v>
      </c>
      <c r="J83">
        <v>-0.06</v>
      </c>
      <c r="K83">
        <v>0.9</v>
      </c>
      <c r="L83">
        <v>-7.4999999999999997E-3</v>
      </c>
      <c r="M83">
        <v>4030</v>
      </c>
      <c r="N83" t="s">
        <v>46</v>
      </c>
      <c r="P83" t="s">
        <v>40</v>
      </c>
      <c r="Q83" t="s">
        <v>41</v>
      </c>
      <c r="R83">
        <v>24500</v>
      </c>
      <c r="S83" s="30">
        <v>45659</v>
      </c>
      <c r="T83" t="s">
        <v>43</v>
      </c>
      <c r="U83">
        <v>5</v>
      </c>
      <c r="V83" s="31">
        <v>45650.635416666657</v>
      </c>
      <c r="W83" s="31">
        <v>45658.635416666657</v>
      </c>
      <c r="X83">
        <v>11.95</v>
      </c>
      <c r="Y83">
        <v>-6.0299999999999999E-2</v>
      </c>
      <c r="Z83">
        <v>0.95</v>
      </c>
      <c r="AA83">
        <v>-8.9999999999999993E-3</v>
      </c>
      <c r="AB83">
        <v>3575</v>
      </c>
      <c r="AC83" t="s">
        <v>46</v>
      </c>
      <c r="AE83" t="s">
        <v>40</v>
      </c>
      <c r="AF83" t="s">
        <v>41</v>
      </c>
      <c r="AG83">
        <v>25300</v>
      </c>
      <c r="AH83" s="30">
        <v>45645</v>
      </c>
      <c r="AI83" t="s">
        <v>43</v>
      </c>
      <c r="AJ83">
        <v>5</v>
      </c>
      <c r="AK83" s="31">
        <v>45637.635416666657</v>
      </c>
      <c r="AL83" s="31">
        <v>45644.635416666657</v>
      </c>
      <c r="AM83">
        <v>15.7</v>
      </c>
      <c r="AN83">
        <v>-8.0799999999999997E-2</v>
      </c>
      <c r="AO83">
        <v>4.3499999999999996</v>
      </c>
      <c r="AP83">
        <v>-2.2200000000000001E-2</v>
      </c>
      <c r="AQ83">
        <v>3688.8</v>
      </c>
      <c r="AR83" t="s">
        <v>46</v>
      </c>
    </row>
    <row r="84" spans="1:44" x14ac:dyDescent="0.3">
      <c r="A84" t="s">
        <v>40</v>
      </c>
      <c r="B84" t="s">
        <v>41</v>
      </c>
      <c r="C84">
        <v>24500</v>
      </c>
      <c r="D84" s="30">
        <v>45673</v>
      </c>
      <c r="E84" t="s">
        <v>43</v>
      </c>
      <c r="F84">
        <v>5</v>
      </c>
      <c r="G84" s="31">
        <v>45665.635416666657</v>
      </c>
      <c r="H84" s="31">
        <v>45672.635416666657</v>
      </c>
      <c r="I84">
        <v>11.35</v>
      </c>
      <c r="J84">
        <v>-5.6300000000000003E-2</v>
      </c>
      <c r="K84">
        <v>0.8</v>
      </c>
      <c r="L84">
        <v>-5.1999999999999998E-3</v>
      </c>
      <c r="M84">
        <v>3428.7</v>
      </c>
      <c r="N84" t="s">
        <v>46</v>
      </c>
      <c r="P84" t="s">
        <v>40</v>
      </c>
      <c r="Q84" t="s">
        <v>41</v>
      </c>
      <c r="R84">
        <v>24600</v>
      </c>
      <c r="S84" s="30">
        <v>45666</v>
      </c>
      <c r="T84" t="s">
        <v>43</v>
      </c>
      <c r="U84">
        <v>5</v>
      </c>
      <c r="V84" s="31">
        <v>45658.635416666657</v>
      </c>
      <c r="W84" s="31">
        <v>45665.635416666657</v>
      </c>
      <c r="X84">
        <v>13.3</v>
      </c>
      <c r="Y84">
        <v>-0.06</v>
      </c>
      <c r="Z84">
        <v>0.9</v>
      </c>
      <c r="AA84">
        <v>-7.4999999999999997E-3</v>
      </c>
      <c r="AB84">
        <v>4030</v>
      </c>
      <c r="AC84" t="s">
        <v>46</v>
      </c>
      <c r="AE84" t="s">
        <v>40</v>
      </c>
      <c r="AF84" t="s">
        <v>51</v>
      </c>
      <c r="AG84">
        <v>25500</v>
      </c>
      <c r="AH84" s="30">
        <v>45652</v>
      </c>
      <c r="AI84" t="s">
        <v>43</v>
      </c>
      <c r="AJ84">
        <v>1</v>
      </c>
      <c r="AK84" s="31">
        <v>45631.635416666657</v>
      </c>
      <c r="AL84" s="31">
        <v>45650.635416666657</v>
      </c>
      <c r="AM84">
        <v>760</v>
      </c>
      <c r="AN84">
        <v>0.83079999999999998</v>
      </c>
      <c r="AO84">
        <v>1731.05</v>
      </c>
      <c r="AP84">
        <v>0.99609999999999999</v>
      </c>
      <c r="AQ84">
        <v>-63118.2</v>
      </c>
      <c r="AR84" t="s">
        <v>46</v>
      </c>
    </row>
    <row r="85" spans="1:44" x14ac:dyDescent="0.3">
      <c r="A85" t="s">
        <v>40</v>
      </c>
      <c r="B85" t="s">
        <v>41</v>
      </c>
      <c r="C85">
        <v>23900</v>
      </c>
      <c r="D85" s="30">
        <v>45680</v>
      </c>
      <c r="E85" t="s">
        <v>43</v>
      </c>
      <c r="F85">
        <v>5</v>
      </c>
      <c r="G85" s="31">
        <v>45672.635416666657</v>
      </c>
      <c r="H85" s="31">
        <v>45679.635416666657</v>
      </c>
      <c r="I85">
        <v>12.85</v>
      </c>
      <c r="J85">
        <v>-6.7699999999999996E-2</v>
      </c>
      <c r="K85">
        <v>1.1499999999999999</v>
      </c>
      <c r="L85">
        <v>-1.0699999999999999E-2</v>
      </c>
      <c r="M85">
        <v>3802.5</v>
      </c>
      <c r="N85" t="s">
        <v>46</v>
      </c>
      <c r="P85" t="s">
        <v>40</v>
      </c>
      <c r="Q85" t="s">
        <v>41</v>
      </c>
      <c r="R85">
        <v>24500</v>
      </c>
      <c r="S85" s="30">
        <v>45673</v>
      </c>
      <c r="T85" t="s">
        <v>43</v>
      </c>
      <c r="U85">
        <v>5</v>
      </c>
      <c r="V85" s="31">
        <v>45665.635416666657</v>
      </c>
      <c r="W85" s="31">
        <v>45672.635416666657</v>
      </c>
      <c r="X85">
        <v>11.35</v>
      </c>
      <c r="Y85">
        <v>-5.6300000000000003E-2</v>
      </c>
      <c r="Z85">
        <v>0.8</v>
      </c>
      <c r="AA85">
        <v>-5.1999999999999998E-3</v>
      </c>
      <c r="AB85">
        <v>3428.7</v>
      </c>
      <c r="AC85" t="s">
        <v>46</v>
      </c>
      <c r="AE85" t="s">
        <v>40</v>
      </c>
      <c r="AF85" t="s">
        <v>51</v>
      </c>
      <c r="AG85">
        <v>24750</v>
      </c>
      <c r="AH85" s="30">
        <v>45652</v>
      </c>
      <c r="AI85" t="s">
        <v>54</v>
      </c>
      <c r="AJ85">
        <v>1</v>
      </c>
      <c r="AK85" s="31">
        <v>45631.635416666657</v>
      </c>
      <c r="AL85" s="31">
        <v>45650.635416666657</v>
      </c>
      <c r="AM85">
        <v>294.35000000000002</v>
      </c>
      <c r="AN85">
        <v>-0.45190000000000002</v>
      </c>
      <c r="AO85">
        <v>978.05</v>
      </c>
      <c r="AP85">
        <v>-0.99339999999999995</v>
      </c>
      <c r="AQ85">
        <v>44440.5</v>
      </c>
      <c r="AR85" t="s">
        <v>46</v>
      </c>
    </row>
    <row r="86" spans="1:44" x14ac:dyDescent="0.3">
      <c r="A86" t="s">
        <v>40</v>
      </c>
      <c r="B86" t="s">
        <v>51</v>
      </c>
      <c r="C86">
        <v>23750</v>
      </c>
      <c r="D86" s="30">
        <v>45687</v>
      </c>
      <c r="E86" t="s">
        <v>54</v>
      </c>
      <c r="F86">
        <v>1</v>
      </c>
      <c r="G86" s="31">
        <v>45650.635416666657</v>
      </c>
      <c r="H86" s="31">
        <v>45686.635416666657</v>
      </c>
      <c r="I86">
        <v>303.10000000000002</v>
      </c>
      <c r="J86">
        <v>-0.43490000000000001</v>
      </c>
      <c r="K86">
        <v>605</v>
      </c>
      <c r="L86">
        <v>-0.97260000000000002</v>
      </c>
      <c r="M86">
        <v>19623.5</v>
      </c>
      <c r="N86" t="s">
        <v>46</v>
      </c>
      <c r="P86" t="s">
        <v>40</v>
      </c>
      <c r="Q86" t="s">
        <v>41</v>
      </c>
      <c r="R86">
        <v>23900</v>
      </c>
      <c r="S86" s="30">
        <v>45680</v>
      </c>
      <c r="T86" t="s">
        <v>43</v>
      </c>
      <c r="U86">
        <v>5</v>
      </c>
      <c r="V86" s="31">
        <v>45672.635416666657</v>
      </c>
      <c r="W86" s="31">
        <v>45679.635416666657</v>
      </c>
      <c r="X86">
        <v>12.85</v>
      </c>
      <c r="Y86">
        <v>-6.7699999999999996E-2</v>
      </c>
      <c r="Z86">
        <v>1.1499999999999999</v>
      </c>
      <c r="AA86">
        <v>-1.0699999999999999E-2</v>
      </c>
      <c r="AB86">
        <v>3802.5</v>
      </c>
      <c r="AC86" t="s">
        <v>46</v>
      </c>
      <c r="AE86" t="s">
        <v>40</v>
      </c>
      <c r="AF86" t="s">
        <v>41</v>
      </c>
      <c r="AG86">
        <v>25400</v>
      </c>
      <c r="AH86" s="30">
        <v>45652</v>
      </c>
      <c r="AI86" t="s">
        <v>43</v>
      </c>
      <c r="AJ86">
        <v>5</v>
      </c>
      <c r="AK86" s="31">
        <v>45644.635416666657</v>
      </c>
      <c r="AL86" s="31">
        <v>45650.635416666657</v>
      </c>
      <c r="AM86">
        <v>14.55</v>
      </c>
      <c r="AN86">
        <v>-5.0900000000000001E-2</v>
      </c>
      <c r="AO86">
        <v>0.7</v>
      </c>
      <c r="AP86">
        <v>-3.8E-3</v>
      </c>
      <c r="AQ86">
        <v>4501.3</v>
      </c>
      <c r="AR86" t="s">
        <v>46</v>
      </c>
    </row>
    <row r="87" spans="1:44" x14ac:dyDescent="0.3">
      <c r="A87" t="s">
        <v>40</v>
      </c>
      <c r="B87" t="s">
        <v>51</v>
      </c>
      <c r="C87">
        <v>24500</v>
      </c>
      <c r="D87" s="30">
        <v>45687</v>
      </c>
      <c r="E87" t="s">
        <v>43</v>
      </c>
      <c r="F87">
        <v>1</v>
      </c>
      <c r="G87" s="31">
        <v>45650.635416666657</v>
      </c>
      <c r="H87" s="31">
        <v>45686.635416666657</v>
      </c>
      <c r="I87">
        <v>709</v>
      </c>
      <c r="J87">
        <v>0.73229999999999995</v>
      </c>
      <c r="K87">
        <v>1365</v>
      </c>
      <c r="L87">
        <v>0.99709999999999999</v>
      </c>
      <c r="M87">
        <v>-42640</v>
      </c>
      <c r="N87" t="s">
        <v>46</v>
      </c>
      <c r="P87" t="s">
        <v>40</v>
      </c>
      <c r="Q87" t="s">
        <v>51</v>
      </c>
      <c r="R87">
        <v>23750</v>
      </c>
      <c r="S87" s="30">
        <v>45687</v>
      </c>
      <c r="T87" t="s">
        <v>54</v>
      </c>
      <c r="U87">
        <v>1</v>
      </c>
      <c r="V87" s="31">
        <v>45650.635416666657</v>
      </c>
      <c r="W87" s="31">
        <v>45686.635416666657</v>
      </c>
      <c r="X87">
        <v>303.10000000000002</v>
      </c>
      <c r="Y87">
        <v>-0.43490000000000001</v>
      </c>
      <c r="Z87">
        <v>605</v>
      </c>
      <c r="AA87">
        <v>-0.97260000000000002</v>
      </c>
      <c r="AB87">
        <v>19623.5</v>
      </c>
      <c r="AC87" t="s">
        <v>46</v>
      </c>
      <c r="AE87" t="s">
        <v>40</v>
      </c>
      <c r="AF87" t="s">
        <v>41</v>
      </c>
      <c r="AG87">
        <v>24500</v>
      </c>
      <c r="AH87" s="30">
        <v>45659</v>
      </c>
      <c r="AI87" t="s">
        <v>43</v>
      </c>
      <c r="AJ87">
        <v>5</v>
      </c>
      <c r="AK87" s="31">
        <v>45650.635416666657</v>
      </c>
      <c r="AL87" s="31">
        <v>45658.635416666657</v>
      </c>
      <c r="AM87">
        <v>11.95</v>
      </c>
      <c r="AN87">
        <v>-6.0299999999999999E-2</v>
      </c>
      <c r="AO87">
        <v>0.95</v>
      </c>
      <c r="AP87">
        <v>-8.9999999999999993E-3</v>
      </c>
      <c r="AQ87">
        <v>3575</v>
      </c>
      <c r="AR87" t="s">
        <v>46</v>
      </c>
    </row>
    <row r="88" spans="1:44" x14ac:dyDescent="0.3">
      <c r="A88" t="s">
        <v>40</v>
      </c>
      <c r="B88" t="s">
        <v>41</v>
      </c>
      <c r="C88">
        <v>23950</v>
      </c>
      <c r="D88" s="30">
        <v>45687</v>
      </c>
      <c r="E88" t="s">
        <v>43</v>
      </c>
      <c r="F88">
        <v>5</v>
      </c>
      <c r="G88" s="31">
        <v>45679.635416666657</v>
      </c>
      <c r="H88" s="31">
        <v>45686.635416666657</v>
      </c>
      <c r="I88">
        <v>12.6</v>
      </c>
      <c r="J88">
        <v>-6.1100000000000002E-2</v>
      </c>
      <c r="K88">
        <v>0.9</v>
      </c>
      <c r="L88">
        <v>-8.3999999999999995E-3</v>
      </c>
      <c r="M88">
        <v>3802.5</v>
      </c>
      <c r="N88" t="s">
        <v>46</v>
      </c>
      <c r="P88" t="s">
        <v>40</v>
      </c>
      <c r="Q88" t="s">
        <v>51</v>
      </c>
      <c r="R88">
        <v>24300</v>
      </c>
      <c r="S88" s="30">
        <v>45687</v>
      </c>
      <c r="T88" t="s">
        <v>43</v>
      </c>
      <c r="U88">
        <v>1</v>
      </c>
      <c r="V88" s="31">
        <v>45650.635416666657</v>
      </c>
      <c r="W88" s="31">
        <v>45686.635416666657</v>
      </c>
      <c r="X88">
        <v>574.25</v>
      </c>
      <c r="Y88">
        <v>0.65790000000000004</v>
      </c>
      <c r="Z88">
        <v>1159</v>
      </c>
      <c r="AA88">
        <v>0.99609999999999999</v>
      </c>
      <c r="AB88">
        <v>-38008.800000000003</v>
      </c>
      <c r="AC88" t="s">
        <v>46</v>
      </c>
      <c r="AE88" t="s">
        <v>40</v>
      </c>
      <c r="AF88" t="s">
        <v>41</v>
      </c>
      <c r="AG88">
        <v>24600</v>
      </c>
      <c r="AH88" s="30">
        <v>45666</v>
      </c>
      <c r="AI88" t="s">
        <v>43</v>
      </c>
      <c r="AJ88">
        <v>5</v>
      </c>
      <c r="AK88" s="31">
        <v>45658.635416666657</v>
      </c>
      <c r="AL88" s="31">
        <v>45665.635416666657</v>
      </c>
      <c r="AM88">
        <v>13.3</v>
      </c>
      <c r="AN88">
        <v>-0.06</v>
      </c>
      <c r="AO88">
        <v>0.9</v>
      </c>
      <c r="AP88">
        <v>-7.4999999999999997E-3</v>
      </c>
      <c r="AQ88">
        <v>4030</v>
      </c>
      <c r="AR88" t="s">
        <v>46</v>
      </c>
    </row>
    <row r="89" spans="1:44" x14ac:dyDescent="0.3">
      <c r="A89" t="s">
        <v>40</v>
      </c>
      <c r="B89" t="s">
        <v>41</v>
      </c>
      <c r="C89">
        <v>23950</v>
      </c>
      <c r="D89" s="30">
        <v>45694</v>
      </c>
      <c r="E89" t="s">
        <v>43</v>
      </c>
      <c r="F89">
        <v>5</v>
      </c>
      <c r="G89" s="31">
        <v>45686.635416666657</v>
      </c>
      <c r="H89" s="31">
        <v>45693.635416666657</v>
      </c>
      <c r="I89">
        <v>78.2</v>
      </c>
      <c r="J89">
        <v>-0.18140000000000001</v>
      </c>
      <c r="K89">
        <v>14.5</v>
      </c>
      <c r="L89">
        <v>-0.13089999999999999</v>
      </c>
      <c r="M89">
        <v>20702.5</v>
      </c>
      <c r="N89" t="s">
        <v>46</v>
      </c>
      <c r="P89" t="s">
        <v>40</v>
      </c>
      <c r="Q89" t="s">
        <v>41</v>
      </c>
      <c r="R89">
        <v>23950</v>
      </c>
      <c r="S89" s="30">
        <v>45687</v>
      </c>
      <c r="T89" t="s">
        <v>43</v>
      </c>
      <c r="U89">
        <v>5</v>
      </c>
      <c r="V89" s="31">
        <v>45679.635416666657</v>
      </c>
      <c r="W89" s="31">
        <v>45686.635416666657</v>
      </c>
      <c r="X89">
        <v>12.6</v>
      </c>
      <c r="Y89">
        <v>-6.1100000000000002E-2</v>
      </c>
      <c r="Z89">
        <v>0.9</v>
      </c>
      <c r="AA89">
        <v>-8.3999999999999995E-3</v>
      </c>
      <c r="AB89">
        <v>3802.5</v>
      </c>
      <c r="AC89" t="s">
        <v>46</v>
      </c>
      <c r="AE89" t="s">
        <v>40</v>
      </c>
      <c r="AF89" t="s">
        <v>41</v>
      </c>
      <c r="AG89">
        <v>24500</v>
      </c>
      <c r="AH89" s="30">
        <v>45673</v>
      </c>
      <c r="AI89" t="s">
        <v>43</v>
      </c>
      <c r="AJ89">
        <v>5</v>
      </c>
      <c r="AK89" s="31">
        <v>45665.635416666657</v>
      </c>
      <c r="AL89" s="31">
        <v>45672.635416666657</v>
      </c>
      <c r="AM89">
        <v>11.35</v>
      </c>
      <c r="AN89">
        <v>-5.6300000000000003E-2</v>
      </c>
      <c r="AO89">
        <v>0.8</v>
      </c>
      <c r="AP89">
        <v>-5.1999999999999998E-3</v>
      </c>
      <c r="AQ89">
        <v>3428.7</v>
      </c>
      <c r="AR89" t="s">
        <v>46</v>
      </c>
    </row>
    <row r="90" spans="1:44" x14ac:dyDescent="0.3">
      <c r="A90" t="s">
        <v>40</v>
      </c>
      <c r="B90" t="s">
        <v>41</v>
      </c>
      <c r="C90">
        <v>24350</v>
      </c>
      <c r="D90" s="30">
        <v>45701</v>
      </c>
      <c r="E90" t="s">
        <v>43</v>
      </c>
      <c r="F90">
        <v>5</v>
      </c>
      <c r="G90" s="31">
        <v>45693.635416666657</v>
      </c>
      <c r="H90" s="31">
        <v>45700.635416666657</v>
      </c>
      <c r="I90">
        <v>22.9</v>
      </c>
      <c r="J90">
        <v>-0.1017</v>
      </c>
      <c r="K90">
        <v>0.6</v>
      </c>
      <c r="L90">
        <v>-4.1000000000000003E-3</v>
      </c>
      <c r="M90">
        <v>7247.5</v>
      </c>
      <c r="N90" t="s">
        <v>46</v>
      </c>
      <c r="P90" t="s">
        <v>40</v>
      </c>
      <c r="Q90" t="s">
        <v>41</v>
      </c>
      <c r="R90">
        <v>23950</v>
      </c>
      <c r="S90" s="30">
        <v>45694</v>
      </c>
      <c r="T90" t="s">
        <v>43</v>
      </c>
      <c r="U90">
        <v>5</v>
      </c>
      <c r="V90" s="31">
        <v>45686.635416666657</v>
      </c>
      <c r="W90" s="31">
        <v>45693.635416666657</v>
      </c>
      <c r="X90">
        <v>78.2</v>
      </c>
      <c r="Y90">
        <v>-0.18140000000000001</v>
      </c>
      <c r="Z90">
        <v>14.5</v>
      </c>
      <c r="AA90">
        <v>-0.13089999999999999</v>
      </c>
      <c r="AB90">
        <v>20702.5</v>
      </c>
      <c r="AC90" t="s">
        <v>46</v>
      </c>
      <c r="AE90" t="s">
        <v>40</v>
      </c>
      <c r="AF90" t="s">
        <v>41</v>
      </c>
      <c r="AG90">
        <v>23900</v>
      </c>
      <c r="AH90" s="30">
        <v>45680</v>
      </c>
      <c r="AI90" t="s">
        <v>43</v>
      </c>
      <c r="AJ90">
        <v>5</v>
      </c>
      <c r="AK90" s="31">
        <v>45672.635416666657</v>
      </c>
      <c r="AL90" s="31">
        <v>45679.635416666657</v>
      </c>
      <c r="AM90">
        <v>12.85</v>
      </c>
      <c r="AN90">
        <v>-6.7699999999999996E-2</v>
      </c>
      <c r="AO90">
        <v>1.1499999999999999</v>
      </c>
      <c r="AP90">
        <v>-1.0699999999999999E-2</v>
      </c>
      <c r="AQ90">
        <v>3802.5</v>
      </c>
      <c r="AR90" t="s">
        <v>46</v>
      </c>
    </row>
    <row r="91" spans="1:44" x14ac:dyDescent="0.3">
      <c r="A91" t="s">
        <v>40</v>
      </c>
      <c r="B91" t="s">
        <v>41</v>
      </c>
      <c r="C91">
        <v>23700</v>
      </c>
      <c r="D91" s="30">
        <v>45708</v>
      </c>
      <c r="E91" t="s">
        <v>43</v>
      </c>
      <c r="F91">
        <v>5</v>
      </c>
      <c r="G91" s="31">
        <v>45700.635416666657</v>
      </c>
      <c r="H91" s="31">
        <v>45707.635416666657</v>
      </c>
      <c r="I91">
        <v>23.55</v>
      </c>
      <c r="J91">
        <v>-0.10440000000000001</v>
      </c>
      <c r="K91">
        <v>0.8</v>
      </c>
      <c r="L91">
        <v>-7.9000000000000008E-3</v>
      </c>
      <c r="M91">
        <v>7393.8</v>
      </c>
      <c r="N91" t="s">
        <v>46</v>
      </c>
      <c r="P91" t="s">
        <v>40</v>
      </c>
      <c r="Q91" t="s">
        <v>41</v>
      </c>
      <c r="R91">
        <v>24350</v>
      </c>
      <c r="S91" s="30">
        <v>45701</v>
      </c>
      <c r="T91" t="s">
        <v>43</v>
      </c>
      <c r="U91">
        <v>5</v>
      </c>
      <c r="V91" s="31">
        <v>45693.635416666657</v>
      </c>
      <c r="W91" s="31">
        <v>45700.635416666657</v>
      </c>
      <c r="X91">
        <v>22.9</v>
      </c>
      <c r="Y91">
        <v>-0.1017</v>
      </c>
      <c r="Z91">
        <v>0.6</v>
      </c>
      <c r="AA91">
        <v>-4.1000000000000003E-3</v>
      </c>
      <c r="AB91">
        <v>7247.5</v>
      </c>
      <c r="AC91" t="s">
        <v>46</v>
      </c>
      <c r="AE91" t="s">
        <v>40</v>
      </c>
      <c r="AF91" t="s">
        <v>51</v>
      </c>
      <c r="AG91">
        <v>24300</v>
      </c>
      <c r="AH91" s="30">
        <v>45687</v>
      </c>
      <c r="AI91" t="s">
        <v>43</v>
      </c>
      <c r="AJ91">
        <v>1</v>
      </c>
      <c r="AK91" s="31">
        <v>45650.635416666657</v>
      </c>
      <c r="AL91" s="31">
        <v>45686.635416666657</v>
      </c>
      <c r="AM91">
        <v>574.25</v>
      </c>
      <c r="AN91">
        <v>0.65790000000000004</v>
      </c>
      <c r="AO91">
        <v>1159</v>
      </c>
      <c r="AP91">
        <v>0.99609999999999999</v>
      </c>
      <c r="AQ91">
        <v>-38008.800000000003</v>
      </c>
      <c r="AR91" t="s">
        <v>46</v>
      </c>
    </row>
    <row r="92" spans="1:44" x14ac:dyDescent="0.3">
      <c r="A92" t="s">
        <v>40</v>
      </c>
      <c r="B92" t="s">
        <v>51</v>
      </c>
      <c r="C92">
        <v>23150</v>
      </c>
      <c r="D92" s="30">
        <v>45715</v>
      </c>
      <c r="E92" t="s">
        <v>54</v>
      </c>
      <c r="F92">
        <v>1</v>
      </c>
      <c r="G92" s="31">
        <v>45686.635416666657</v>
      </c>
      <c r="H92" s="31">
        <v>45713.635416666657</v>
      </c>
      <c r="I92">
        <v>429</v>
      </c>
      <c r="J92">
        <v>-0.44869999999999999</v>
      </c>
      <c r="K92">
        <v>563</v>
      </c>
      <c r="L92">
        <v>-0.9798</v>
      </c>
      <c r="M92">
        <v>8710</v>
      </c>
      <c r="N92" t="s">
        <v>46</v>
      </c>
      <c r="P92" t="s">
        <v>40</v>
      </c>
      <c r="Q92" t="s">
        <v>41</v>
      </c>
      <c r="R92">
        <v>23700</v>
      </c>
      <c r="S92" s="30">
        <v>45708</v>
      </c>
      <c r="T92" t="s">
        <v>43</v>
      </c>
      <c r="U92">
        <v>5</v>
      </c>
      <c r="V92" s="31">
        <v>45700.635416666657</v>
      </c>
      <c r="W92" s="31">
        <v>45707.635416666657</v>
      </c>
      <c r="X92">
        <v>23.55</v>
      </c>
      <c r="Y92">
        <v>-0.10440000000000001</v>
      </c>
      <c r="Z92">
        <v>0.8</v>
      </c>
      <c r="AA92">
        <v>-7.9000000000000008E-3</v>
      </c>
      <c r="AB92">
        <v>7393.8</v>
      </c>
      <c r="AC92" t="s">
        <v>46</v>
      </c>
      <c r="AE92" t="s">
        <v>40</v>
      </c>
      <c r="AF92" t="s">
        <v>51</v>
      </c>
      <c r="AG92">
        <v>23750</v>
      </c>
      <c r="AH92" s="30">
        <v>45687</v>
      </c>
      <c r="AI92" t="s">
        <v>54</v>
      </c>
      <c r="AJ92">
        <v>1</v>
      </c>
      <c r="AK92" s="31">
        <v>45650.635416666657</v>
      </c>
      <c r="AL92" s="31">
        <v>45686.635416666657</v>
      </c>
      <c r="AM92">
        <v>303.10000000000002</v>
      </c>
      <c r="AN92">
        <v>-0.43490000000000001</v>
      </c>
      <c r="AO92">
        <v>605</v>
      </c>
      <c r="AP92">
        <v>-0.97260000000000002</v>
      </c>
      <c r="AQ92">
        <v>19623.5</v>
      </c>
      <c r="AR92" t="s">
        <v>46</v>
      </c>
    </row>
    <row r="93" spans="1:44" x14ac:dyDescent="0.3">
      <c r="A93" t="s">
        <v>40</v>
      </c>
      <c r="B93" t="s">
        <v>51</v>
      </c>
      <c r="C93">
        <v>24500</v>
      </c>
      <c r="D93" s="30">
        <v>45715</v>
      </c>
      <c r="E93" t="s">
        <v>43</v>
      </c>
      <c r="F93">
        <v>1</v>
      </c>
      <c r="G93" s="31">
        <v>45686.635416666657</v>
      </c>
      <c r="H93" s="31">
        <v>45713.635416666657</v>
      </c>
      <c r="I93">
        <v>1294</v>
      </c>
      <c r="J93">
        <v>0.85399999999999998</v>
      </c>
      <c r="K93">
        <v>1910</v>
      </c>
      <c r="L93">
        <v>0.99660000000000004</v>
      </c>
      <c r="M93">
        <v>-40040</v>
      </c>
      <c r="N93" t="s">
        <v>46</v>
      </c>
      <c r="P93" t="s">
        <v>40</v>
      </c>
      <c r="Q93" t="s">
        <v>51</v>
      </c>
      <c r="R93">
        <v>23150</v>
      </c>
      <c r="S93" s="30">
        <v>45715</v>
      </c>
      <c r="T93" t="s">
        <v>54</v>
      </c>
      <c r="U93">
        <v>1</v>
      </c>
      <c r="V93" s="31">
        <v>45686.635416666657</v>
      </c>
      <c r="W93" s="31">
        <v>45713.635416666657</v>
      </c>
      <c r="X93">
        <v>429</v>
      </c>
      <c r="Y93">
        <v>-0.44869999999999999</v>
      </c>
      <c r="Z93">
        <v>563</v>
      </c>
      <c r="AA93">
        <v>-0.9798</v>
      </c>
      <c r="AB93">
        <v>8710</v>
      </c>
      <c r="AC93" t="s">
        <v>46</v>
      </c>
      <c r="AE93" t="s">
        <v>40</v>
      </c>
      <c r="AF93" t="s">
        <v>41</v>
      </c>
      <c r="AG93">
        <v>23950</v>
      </c>
      <c r="AH93" s="30">
        <v>45687</v>
      </c>
      <c r="AI93" t="s">
        <v>43</v>
      </c>
      <c r="AJ93">
        <v>5</v>
      </c>
      <c r="AK93" s="31">
        <v>45679.635416666657</v>
      </c>
      <c r="AL93" s="31">
        <v>45686.635416666657</v>
      </c>
      <c r="AM93">
        <v>12.6</v>
      </c>
      <c r="AN93">
        <v>-6.1100000000000002E-2</v>
      </c>
      <c r="AO93">
        <v>0.9</v>
      </c>
      <c r="AP93">
        <v>-8.3999999999999995E-3</v>
      </c>
      <c r="AQ93">
        <v>3802.5</v>
      </c>
      <c r="AR93" t="s">
        <v>46</v>
      </c>
    </row>
    <row r="94" spans="1:44" x14ac:dyDescent="0.3">
      <c r="A94" t="s">
        <v>40</v>
      </c>
      <c r="B94" t="s">
        <v>41</v>
      </c>
      <c r="C94">
        <v>23550</v>
      </c>
      <c r="D94" s="30">
        <v>45715</v>
      </c>
      <c r="E94" t="s">
        <v>43</v>
      </c>
      <c r="F94">
        <v>5</v>
      </c>
      <c r="G94" s="31">
        <v>45707.635416666657</v>
      </c>
      <c r="H94" s="31">
        <v>45713.635416666657</v>
      </c>
      <c r="I94">
        <v>21.7</v>
      </c>
      <c r="J94">
        <v>-0.1023</v>
      </c>
      <c r="K94">
        <v>1.25</v>
      </c>
      <c r="L94">
        <v>-9.1000000000000004E-3</v>
      </c>
      <c r="M94">
        <v>6646.2</v>
      </c>
      <c r="N94" t="s">
        <v>46</v>
      </c>
      <c r="P94" t="s">
        <v>40</v>
      </c>
      <c r="Q94" t="s">
        <v>51</v>
      </c>
      <c r="R94">
        <v>24300</v>
      </c>
      <c r="S94" s="30">
        <v>45715</v>
      </c>
      <c r="T94" t="s">
        <v>43</v>
      </c>
      <c r="U94">
        <v>1</v>
      </c>
      <c r="V94" s="31">
        <v>45686.635416666657</v>
      </c>
      <c r="W94" s="31">
        <v>45713.635416666657</v>
      </c>
      <c r="X94">
        <v>1125.6500000000001</v>
      </c>
      <c r="Y94">
        <v>0.80889999999999995</v>
      </c>
      <c r="Z94">
        <v>1711.75</v>
      </c>
      <c r="AA94">
        <v>0.99650000000000005</v>
      </c>
      <c r="AB94">
        <v>-38096.5</v>
      </c>
      <c r="AC94" t="s">
        <v>46</v>
      </c>
      <c r="AE94" t="s">
        <v>40</v>
      </c>
      <c r="AF94" t="s">
        <v>41</v>
      </c>
      <c r="AG94">
        <v>23950</v>
      </c>
      <c r="AH94" s="30">
        <v>45694</v>
      </c>
      <c r="AI94" t="s">
        <v>43</v>
      </c>
      <c r="AJ94">
        <v>5</v>
      </c>
      <c r="AK94" s="31">
        <v>45686.635416666657</v>
      </c>
      <c r="AL94" s="31">
        <v>45693.635416666657</v>
      </c>
      <c r="AM94">
        <v>78.2</v>
      </c>
      <c r="AN94">
        <v>-0.18140000000000001</v>
      </c>
      <c r="AO94">
        <v>14.5</v>
      </c>
      <c r="AP94">
        <v>-0.13089999999999999</v>
      </c>
      <c r="AQ94">
        <v>20702.5</v>
      </c>
      <c r="AR94" t="s">
        <v>46</v>
      </c>
    </row>
    <row r="95" spans="1:44" x14ac:dyDescent="0.3">
      <c r="A95" t="s">
        <v>40</v>
      </c>
      <c r="B95" t="s">
        <v>41</v>
      </c>
      <c r="C95">
        <v>23150</v>
      </c>
      <c r="D95" s="30">
        <v>45722</v>
      </c>
      <c r="E95" t="s">
        <v>43</v>
      </c>
      <c r="F95">
        <v>5</v>
      </c>
      <c r="G95" s="31">
        <v>45713.635416666657</v>
      </c>
      <c r="H95" s="31">
        <v>45721.635416666657</v>
      </c>
      <c r="I95">
        <v>14.35</v>
      </c>
      <c r="J95">
        <v>-8.0600000000000005E-2</v>
      </c>
      <c r="K95">
        <v>0.45</v>
      </c>
      <c r="L95">
        <v>-4.7000000000000002E-3</v>
      </c>
      <c r="M95">
        <v>4517.5</v>
      </c>
      <c r="N95" t="s">
        <v>46</v>
      </c>
      <c r="P95" t="s">
        <v>40</v>
      </c>
      <c r="Q95" t="s">
        <v>41</v>
      </c>
      <c r="R95">
        <v>23550</v>
      </c>
      <c r="S95" s="30">
        <v>45715</v>
      </c>
      <c r="T95" t="s">
        <v>43</v>
      </c>
      <c r="U95">
        <v>5</v>
      </c>
      <c r="V95" s="31">
        <v>45707.635416666657</v>
      </c>
      <c r="W95" s="31">
        <v>45713.635416666657</v>
      </c>
      <c r="X95">
        <v>21.7</v>
      </c>
      <c r="Y95">
        <v>-0.1023</v>
      </c>
      <c r="Z95">
        <v>1.25</v>
      </c>
      <c r="AA95">
        <v>-9.1000000000000004E-3</v>
      </c>
      <c r="AB95">
        <v>6646.2</v>
      </c>
      <c r="AC95" t="s">
        <v>46</v>
      </c>
      <c r="AE95" t="s">
        <v>40</v>
      </c>
      <c r="AF95" t="s">
        <v>41</v>
      </c>
      <c r="AG95">
        <v>24350</v>
      </c>
      <c r="AH95" s="30">
        <v>45701</v>
      </c>
      <c r="AI95" t="s">
        <v>43</v>
      </c>
      <c r="AJ95">
        <v>5</v>
      </c>
      <c r="AK95" s="31">
        <v>45693.635416666657</v>
      </c>
      <c r="AL95" s="31">
        <v>45700.635416666657</v>
      </c>
      <c r="AM95">
        <v>22.9</v>
      </c>
      <c r="AN95">
        <v>-0.1017</v>
      </c>
      <c r="AO95">
        <v>0.6</v>
      </c>
      <c r="AP95">
        <v>-4.1000000000000003E-3</v>
      </c>
      <c r="AQ95">
        <v>7247.5</v>
      </c>
      <c r="AR95" t="s">
        <v>46</v>
      </c>
    </row>
    <row r="96" spans="1:44" x14ac:dyDescent="0.3">
      <c r="A96" t="s">
        <v>40</v>
      </c>
      <c r="B96" t="s">
        <v>41</v>
      </c>
      <c r="C96">
        <v>23000</v>
      </c>
      <c r="D96" s="30">
        <v>45729</v>
      </c>
      <c r="E96" t="s">
        <v>43</v>
      </c>
      <c r="F96">
        <v>5</v>
      </c>
      <c r="G96" s="31">
        <v>45721.635416666657</v>
      </c>
      <c r="H96" s="31">
        <v>45728.635416666657</v>
      </c>
      <c r="I96">
        <v>11.8</v>
      </c>
      <c r="J96">
        <v>-6.5699999999999995E-2</v>
      </c>
      <c r="K96">
        <v>1.3</v>
      </c>
      <c r="L96">
        <v>-1.5100000000000001E-2</v>
      </c>
      <c r="M96">
        <v>3412.5</v>
      </c>
      <c r="N96" t="s">
        <v>46</v>
      </c>
      <c r="P96" t="s">
        <v>40</v>
      </c>
      <c r="Q96" t="s">
        <v>41</v>
      </c>
      <c r="R96">
        <v>23150</v>
      </c>
      <c r="S96" s="30">
        <v>45722</v>
      </c>
      <c r="T96" t="s">
        <v>43</v>
      </c>
      <c r="U96">
        <v>5</v>
      </c>
      <c r="V96" s="31">
        <v>45713.635416666657</v>
      </c>
      <c r="W96" s="31">
        <v>45721.635416666657</v>
      </c>
      <c r="X96">
        <v>14.35</v>
      </c>
      <c r="Y96">
        <v>-8.0600000000000005E-2</v>
      </c>
      <c r="Z96">
        <v>0.45</v>
      </c>
      <c r="AA96">
        <v>-4.7000000000000002E-3</v>
      </c>
      <c r="AB96">
        <v>4517.5</v>
      </c>
      <c r="AC96" t="s">
        <v>46</v>
      </c>
      <c r="AE96" t="s">
        <v>40</v>
      </c>
      <c r="AF96" t="s">
        <v>41</v>
      </c>
      <c r="AG96">
        <v>23700</v>
      </c>
      <c r="AH96" s="30">
        <v>45708</v>
      </c>
      <c r="AI96" t="s">
        <v>43</v>
      </c>
      <c r="AJ96">
        <v>5</v>
      </c>
      <c r="AK96" s="31">
        <v>45700.635416666657</v>
      </c>
      <c r="AL96" s="31">
        <v>45707.635416666657</v>
      </c>
      <c r="AM96">
        <v>23.55</v>
      </c>
      <c r="AN96">
        <v>-0.10440000000000001</v>
      </c>
      <c r="AO96">
        <v>0.8</v>
      </c>
      <c r="AP96">
        <v>-7.9000000000000008E-3</v>
      </c>
      <c r="AQ96">
        <v>7393.8</v>
      </c>
      <c r="AR96" t="s">
        <v>46</v>
      </c>
    </row>
    <row r="97" spans="1:44" x14ac:dyDescent="0.3">
      <c r="A97" t="s">
        <v>40</v>
      </c>
      <c r="B97" t="s">
        <v>41</v>
      </c>
      <c r="C97">
        <v>23050</v>
      </c>
      <c r="D97" s="30">
        <v>45736</v>
      </c>
      <c r="E97" t="s">
        <v>43</v>
      </c>
      <c r="F97">
        <v>5</v>
      </c>
      <c r="G97" s="31">
        <v>45728.635416666657</v>
      </c>
      <c r="H97" s="31">
        <v>45735.635416666657</v>
      </c>
      <c r="I97">
        <v>11.3</v>
      </c>
      <c r="J97">
        <v>-6.9699999999999998E-2</v>
      </c>
      <c r="K97">
        <v>30.5</v>
      </c>
      <c r="L97">
        <v>-0.25209999999999999</v>
      </c>
      <c r="M97">
        <v>-6240</v>
      </c>
      <c r="N97" t="s">
        <v>46</v>
      </c>
      <c r="P97" t="s">
        <v>40</v>
      </c>
      <c r="Q97" t="s">
        <v>41</v>
      </c>
      <c r="R97">
        <v>23000</v>
      </c>
      <c r="S97" s="30">
        <v>45729</v>
      </c>
      <c r="T97" t="s">
        <v>43</v>
      </c>
      <c r="U97">
        <v>5</v>
      </c>
      <c r="V97" s="31">
        <v>45721.635416666657</v>
      </c>
      <c r="W97" s="31">
        <v>45728.635416666657</v>
      </c>
      <c r="X97">
        <v>11.8</v>
      </c>
      <c r="Y97">
        <v>-6.5699999999999995E-2</v>
      </c>
      <c r="Z97">
        <v>1.3</v>
      </c>
      <c r="AA97">
        <v>-1.5100000000000001E-2</v>
      </c>
      <c r="AB97">
        <v>3412.5</v>
      </c>
      <c r="AC97" t="s">
        <v>46</v>
      </c>
      <c r="AE97" t="s">
        <v>40</v>
      </c>
      <c r="AF97" t="s">
        <v>51</v>
      </c>
      <c r="AG97">
        <v>24300</v>
      </c>
      <c r="AH97" s="30">
        <v>45715</v>
      </c>
      <c r="AI97" t="s">
        <v>43</v>
      </c>
      <c r="AJ97">
        <v>1</v>
      </c>
      <c r="AK97" s="31">
        <v>45686.635416666657</v>
      </c>
      <c r="AL97" s="31">
        <v>45713.635416666657</v>
      </c>
      <c r="AM97">
        <v>1125.6500000000001</v>
      </c>
      <c r="AN97">
        <v>0.80889999999999995</v>
      </c>
      <c r="AO97">
        <v>1711.75</v>
      </c>
      <c r="AP97">
        <v>0.99650000000000005</v>
      </c>
      <c r="AQ97">
        <v>-38096.5</v>
      </c>
      <c r="AR97" t="s">
        <v>46</v>
      </c>
    </row>
    <row r="98" spans="1:44" x14ac:dyDescent="0.3">
      <c r="A98" t="s">
        <v>40</v>
      </c>
      <c r="B98" t="s">
        <v>51</v>
      </c>
      <c r="C98">
        <v>23000</v>
      </c>
      <c r="D98" s="30">
        <v>45743</v>
      </c>
      <c r="E98" t="s">
        <v>43</v>
      </c>
      <c r="F98">
        <v>1</v>
      </c>
      <c r="G98" s="31">
        <v>45713.635416666657</v>
      </c>
      <c r="H98" s="31">
        <v>45736.635416666657</v>
      </c>
      <c r="I98">
        <v>471.6</v>
      </c>
      <c r="J98">
        <v>0.64380000000000004</v>
      </c>
      <c r="K98">
        <v>63.1</v>
      </c>
      <c r="L98">
        <v>0.27629999999999999</v>
      </c>
      <c r="M98">
        <v>26552.5</v>
      </c>
      <c r="N98" t="s">
        <v>63</v>
      </c>
      <c r="P98" t="s">
        <v>40</v>
      </c>
      <c r="Q98" t="s">
        <v>41</v>
      </c>
      <c r="R98">
        <v>23050</v>
      </c>
      <c r="S98" s="30">
        <v>45736</v>
      </c>
      <c r="T98" t="s">
        <v>43</v>
      </c>
      <c r="U98">
        <v>5</v>
      </c>
      <c r="V98" s="31">
        <v>45728.635416666657</v>
      </c>
      <c r="W98" s="31">
        <v>45735.635416666657</v>
      </c>
      <c r="X98">
        <v>11.3</v>
      </c>
      <c r="Y98">
        <v>-6.9699999999999998E-2</v>
      </c>
      <c r="Z98">
        <v>30.5</v>
      </c>
      <c r="AA98">
        <v>-0.25209999999999999</v>
      </c>
      <c r="AB98">
        <v>-6240</v>
      </c>
      <c r="AC98" t="s">
        <v>46</v>
      </c>
      <c r="AE98" t="s">
        <v>40</v>
      </c>
      <c r="AF98" t="s">
        <v>51</v>
      </c>
      <c r="AG98">
        <v>23150</v>
      </c>
      <c r="AH98" s="30">
        <v>45715</v>
      </c>
      <c r="AI98" t="s">
        <v>54</v>
      </c>
      <c r="AJ98">
        <v>1</v>
      </c>
      <c r="AK98" s="31">
        <v>45686.635416666657</v>
      </c>
      <c r="AL98" s="31">
        <v>45713.635416666657</v>
      </c>
      <c r="AM98">
        <v>429</v>
      </c>
      <c r="AN98">
        <v>-0.44869999999999999</v>
      </c>
      <c r="AO98">
        <v>563</v>
      </c>
      <c r="AP98">
        <v>-0.9798</v>
      </c>
      <c r="AQ98">
        <v>8710</v>
      </c>
      <c r="AR98" t="s">
        <v>46</v>
      </c>
    </row>
    <row r="99" spans="1:44" x14ac:dyDescent="0.3">
      <c r="A99" t="s">
        <v>40</v>
      </c>
      <c r="B99" t="s">
        <v>51</v>
      </c>
      <c r="C99">
        <v>22550</v>
      </c>
      <c r="D99" s="30">
        <v>45743</v>
      </c>
      <c r="E99" t="s">
        <v>54</v>
      </c>
      <c r="F99">
        <v>1</v>
      </c>
      <c r="G99" s="31">
        <v>45713.635416666657</v>
      </c>
      <c r="H99" s="31">
        <v>45742.635416666657</v>
      </c>
      <c r="I99">
        <v>255.55</v>
      </c>
      <c r="J99">
        <v>-0.43240000000000001</v>
      </c>
      <c r="K99">
        <v>1.75</v>
      </c>
      <c r="L99">
        <v>-1.18E-2</v>
      </c>
      <c r="M99">
        <v>-16497</v>
      </c>
      <c r="N99" t="s">
        <v>46</v>
      </c>
      <c r="P99" t="s">
        <v>40</v>
      </c>
      <c r="Q99" t="s">
        <v>51</v>
      </c>
      <c r="R99">
        <v>23100</v>
      </c>
      <c r="S99" s="30">
        <v>45743</v>
      </c>
      <c r="T99" t="s">
        <v>43</v>
      </c>
      <c r="U99">
        <v>1</v>
      </c>
      <c r="V99" s="31">
        <v>45713.635416666657</v>
      </c>
      <c r="W99" s="31">
        <v>45736.635416666657</v>
      </c>
      <c r="X99">
        <v>532</v>
      </c>
      <c r="Y99">
        <v>0.69010000000000005</v>
      </c>
      <c r="Z99">
        <v>94.45</v>
      </c>
      <c r="AA99">
        <v>0.373</v>
      </c>
      <c r="AB99">
        <v>28440.799999999999</v>
      </c>
      <c r="AC99" t="s">
        <v>63</v>
      </c>
      <c r="AE99" t="s">
        <v>40</v>
      </c>
      <c r="AF99" t="s">
        <v>41</v>
      </c>
      <c r="AG99">
        <v>23550</v>
      </c>
      <c r="AH99" s="30">
        <v>45715</v>
      </c>
      <c r="AI99" t="s">
        <v>43</v>
      </c>
      <c r="AJ99">
        <v>5</v>
      </c>
      <c r="AK99" s="31">
        <v>45707.635416666657</v>
      </c>
      <c r="AL99" s="31">
        <v>45713.635416666657</v>
      </c>
      <c r="AM99">
        <v>21.7</v>
      </c>
      <c r="AN99">
        <v>-0.1023</v>
      </c>
      <c r="AO99">
        <v>1.25</v>
      </c>
      <c r="AP99">
        <v>-9.1000000000000004E-3</v>
      </c>
      <c r="AQ99">
        <v>6646.2</v>
      </c>
      <c r="AR99" t="s">
        <v>46</v>
      </c>
    </row>
    <row r="100" spans="1:44" x14ac:dyDescent="0.3">
      <c r="A100" t="s">
        <v>40</v>
      </c>
      <c r="B100" t="s">
        <v>51</v>
      </c>
      <c r="C100">
        <v>24000</v>
      </c>
      <c r="D100" s="30">
        <v>45743</v>
      </c>
      <c r="E100" t="s">
        <v>43</v>
      </c>
      <c r="F100">
        <v>1</v>
      </c>
      <c r="G100" s="31">
        <v>45736.635416666657</v>
      </c>
      <c r="H100" s="31">
        <v>45742.635416666657</v>
      </c>
      <c r="I100">
        <v>808</v>
      </c>
      <c r="J100">
        <v>0.97940000000000005</v>
      </c>
      <c r="K100">
        <v>480.35</v>
      </c>
      <c r="L100">
        <v>0.96140000000000003</v>
      </c>
      <c r="M100">
        <v>21297.200000000001</v>
      </c>
      <c r="N100" t="s">
        <v>46</v>
      </c>
      <c r="P100" t="s">
        <v>40</v>
      </c>
      <c r="Q100" t="s">
        <v>51</v>
      </c>
      <c r="R100">
        <v>22550</v>
      </c>
      <c r="S100" s="30">
        <v>45743</v>
      </c>
      <c r="T100" t="s">
        <v>54</v>
      </c>
      <c r="U100">
        <v>1</v>
      </c>
      <c r="V100" s="31">
        <v>45713.635416666657</v>
      </c>
      <c r="W100" s="31">
        <v>45742.635416666657</v>
      </c>
      <c r="X100">
        <v>255.55</v>
      </c>
      <c r="Y100">
        <v>-0.43240000000000001</v>
      </c>
      <c r="Z100">
        <v>1.75</v>
      </c>
      <c r="AA100">
        <v>-1.18E-2</v>
      </c>
      <c r="AB100">
        <v>-16497</v>
      </c>
      <c r="AC100" t="s">
        <v>46</v>
      </c>
      <c r="AE100" t="s">
        <v>40</v>
      </c>
      <c r="AF100" t="s">
        <v>41</v>
      </c>
      <c r="AG100">
        <v>23150</v>
      </c>
      <c r="AH100" s="30">
        <v>45722</v>
      </c>
      <c r="AI100" t="s">
        <v>43</v>
      </c>
      <c r="AJ100">
        <v>5</v>
      </c>
      <c r="AK100" s="31">
        <v>45713.635416666657</v>
      </c>
      <c r="AL100" s="31">
        <v>45721.635416666657</v>
      </c>
      <c r="AM100">
        <v>14.35</v>
      </c>
      <c r="AN100">
        <v>-8.0600000000000005E-2</v>
      </c>
      <c r="AO100">
        <v>0.45</v>
      </c>
      <c r="AP100">
        <v>-4.7000000000000002E-3</v>
      </c>
      <c r="AQ100">
        <v>4517.5</v>
      </c>
      <c r="AR100" t="s">
        <v>46</v>
      </c>
    </row>
    <row r="101" spans="1:44" x14ac:dyDescent="0.3">
      <c r="A101" t="s">
        <v>40</v>
      </c>
      <c r="B101" t="s">
        <v>41</v>
      </c>
      <c r="C101">
        <v>23550</v>
      </c>
      <c r="D101" s="30">
        <v>45743</v>
      </c>
      <c r="E101" t="s">
        <v>43</v>
      </c>
      <c r="F101">
        <v>5</v>
      </c>
      <c r="G101" s="31">
        <v>45735.635416666657</v>
      </c>
      <c r="H101" s="31">
        <v>45742.635416666657</v>
      </c>
      <c r="I101">
        <v>13.25</v>
      </c>
      <c r="J101">
        <v>-7.2999999999999995E-2</v>
      </c>
      <c r="K101">
        <v>65.900000000000006</v>
      </c>
      <c r="L101">
        <v>-0.39600000000000002</v>
      </c>
      <c r="M101">
        <v>-17111.3</v>
      </c>
      <c r="N101" t="s">
        <v>46</v>
      </c>
      <c r="P101" t="s">
        <v>40</v>
      </c>
      <c r="Q101" t="s">
        <v>51</v>
      </c>
      <c r="R101">
        <v>23700</v>
      </c>
      <c r="S101" s="30">
        <v>45743</v>
      </c>
      <c r="T101" t="s">
        <v>43</v>
      </c>
      <c r="U101">
        <v>1</v>
      </c>
      <c r="V101" s="31">
        <v>45736.635416666657</v>
      </c>
      <c r="W101" s="31">
        <v>45742.635416666657</v>
      </c>
      <c r="X101">
        <v>516.1</v>
      </c>
      <c r="Y101">
        <v>0.92920000000000003</v>
      </c>
      <c r="Z101">
        <v>202</v>
      </c>
      <c r="AA101">
        <v>0.81130000000000002</v>
      </c>
      <c r="AB101">
        <v>20416.5</v>
      </c>
      <c r="AC101" t="s">
        <v>46</v>
      </c>
      <c r="AE101" t="s">
        <v>40</v>
      </c>
      <c r="AF101" t="s">
        <v>41</v>
      </c>
      <c r="AG101">
        <v>23000</v>
      </c>
      <c r="AH101" s="30">
        <v>45729</v>
      </c>
      <c r="AI101" t="s">
        <v>43</v>
      </c>
      <c r="AJ101">
        <v>5</v>
      </c>
      <c r="AK101" s="31">
        <v>45721.635416666657</v>
      </c>
      <c r="AL101" s="31">
        <v>45728.635416666657</v>
      </c>
      <c r="AM101">
        <v>11.8</v>
      </c>
      <c r="AN101">
        <v>-6.5699999999999995E-2</v>
      </c>
      <c r="AO101">
        <v>1.3</v>
      </c>
      <c r="AP101">
        <v>-1.5100000000000001E-2</v>
      </c>
      <c r="AQ101">
        <v>3412.5</v>
      </c>
      <c r="AR101" t="s">
        <v>46</v>
      </c>
    </row>
    <row r="102" spans="1:44" x14ac:dyDescent="0.3">
      <c r="A102" t="s">
        <v>40</v>
      </c>
      <c r="B102" t="s">
        <v>41</v>
      </c>
      <c r="C102">
        <v>24400</v>
      </c>
      <c r="D102" s="30">
        <v>45750</v>
      </c>
      <c r="E102" t="s">
        <v>43</v>
      </c>
      <c r="F102">
        <v>5</v>
      </c>
      <c r="G102" s="31">
        <v>45742.635416666657</v>
      </c>
      <c r="H102" s="31">
        <v>45749.635416666657</v>
      </c>
      <c r="I102">
        <v>12.35</v>
      </c>
      <c r="J102">
        <v>-5.5E-2</v>
      </c>
      <c r="K102">
        <v>0.9</v>
      </c>
      <c r="L102">
        <v>-6.6E-3</v>
      </c>
      <c r="M102">
        <v>3721.2</v>
      </c>
      <c r="N102" t="s">
        <v>46</v>
      </c>
      <c r="P102" t="s">
        <v>40</v>
      </c>
      <c r="Q102" t="s">
        <v>41</v>
      </c>
      <c r="R102">
        <v>23550</v>
      </c>
      <c r="S102" s="30">
        <v>45743</v>
      </c>
      <c r="T102" t="s">
        <v>43</v>
      </c>
      <c r="U102">
        <v>5</v>
      </c>
      <c r="V102" s="31">
        <v>45735.635416666657</v>
      </c>
      <c r="W102" s="31">
        <v>45742.635416666657</v>
      </c>
      <c r="X102">
        <v>13.25</v>
      </c>
      <c r="Y102">
        <v>-7.2999999999999995E-2</v>
      </c>
      <c r="Z102">
        <v>65.900000000000006</v>
      </c>
      <c r="AA102">
        <v>-0.39600000000000002</v>
      </c>
      <c r="AB102">
        <v>-17111.3</v>
      </c>
      <c r="AC102" t="s">
        <v>46</v>
      </c>
      <c r="AE102" t="s">
        <v>40</v>
      </c>
      <c r="AF102" t="s">
        <v>41</v>
      </c>
      <c r="AG102">
        <v>23050</v>
      </c>
      <c r="AH102" s="30">
        <v>45736</v>
      </c>
      <c r="AI102" t="s">
        <v>43</v>
      </c>
      <c r="AJ102">
        <v>5</v>
      </c>
      <c r="AK102" s="31">
        <v>45728.635416666657</v>
      </c>
      <c r="AL102" s="31">
        <v>45735.635416666657</v>
      </c>
      <c r="AM102">
        <v>11.3</v>
      </c>
      <c r="AN102">
        <v>-6.9699999999999998E-2</v>
      </c>
      <c r="AO102">
        <v>30.5</v>
      </c>
      <c r="AP102">
        <v>-0.25209999999999999</v>
      </c>
      <c r="AQ102">
        <v>-6240</v>
      </c>
      <c r="AR102" t="s">
        <v>46</v>
      </c>
    </row>
    <row r="103" spans="1:44" x14ac:dyDescent="0.3">
      <c r="A103" t="s">
        <v>40</v>
      </c>
      <c r="B103" t="s">
        <v>41</v>
      </c>
      <c r="C103">
        <v>24100</v>
      </c>
      <c r="D103" s="30">
        <v>45756</v>
      </c>
      <c r="E103" t="s">
        <v>43</v>
      </c>
      <c r="F103">
        <v>5</v>
      </c>
      <c r="G103" s="31">
        <v>45749.635416666657</v>
      </c>
      <c r="H103" s="31">
        <v>45755.635416666657</v>
      </c>
      <c r="I103">
        <v>12.25</v>
      </c>
      <c r="J103">
        <v>-6.1100000000000002E-2</v>
      </c>
      <c r="K103">
        <v>1.45</v>
      </c>
      <c r="L103">
        <v>-7.1999999999999998E-3</v>
      </c>
      <c r="M103">
        <v>3510</v>
      </c>
      <c r="N103" t="s">
        <v>46</v>
      </c>
      <c r="P103" t="s">
        <v>40</v>
      </c>
      <c r="Q103" t="s">
        <v>41</v>
      </c>
      <c r="R103">
        <v>24400</v>
      </c>
      <c r="S103" s="30">
        <v>45750</v>
      </c>
      <c r="T103" t="s">
        <v>43</v>
      </c>
      <c r="U103">
        <v>5</v>
      </c>
      <c r="V103" s="31">
        <v>45742.635416666657</v>
      </c>
      <c r="W103" s="31">
        <v>45749.635416666657</v>
      </c>
      <c r="X103">
        <v>12.35</v>
      </c>
      <c r="Y103">
        <v>-5.5E-2</v>
      </c>
      <c r="Z103">
        <v>0.9</v>
      </c>
      <c r="AA103">
        <v>-6.6E-3</v>
      </c>
      <c r="AB103">
        <v>3721.2</v>
      </c>
      <c r="AC103" t="s">
        <v>46</v>
      </c>
      <c r="AE103" t="s">
        <v>40</v>
      </c>
      <c r="AF103" t="s">
        <v>51</v>
      </c>
      <c r="AG103">
        <v>23100</v>
      </c>
      <c r="AH103" s="30">
        <v>45743</v>
      </c>
      <c r="AI103" t="s">
        <v>43</v>
      </c>
      <c r="AJ103">
        <v>1</v>
      </c>
      <c r="AK103" s="31">
        <v>45713.635416666657</v>
      </c>
      <c r="AL103" s="31">
        <v>45736.635416666657</v>
      </c>
      <c r="AM103">
        <v>532</v>
      </c>
      <c r="AN103">
        <v>0.69010000000000005</v>
      </c>
      <c r="AO103">
        <v>94.45</v>
      </c>
      <c r="AP103">
        <v>0.373</v>
      </c>
      <c r="AQ103">
        <v>28440.799999999999</v>
      </c>
      <c r="AR103" t="s">
        <v>63</v>
      </c>
    </row>
    <row r="104" spans="1:44" x14ac:dyDescent="0.3">
      <c r="A104" t="s">
        <v>40</v>
      </c>
      <c r="B104" t="s">
        <v>41</v>
      </c>
      <c r="C104">
        <v>24050</v>
      </c>
      <c r="D104" s="30">
        <v>45764</v>
      </c>
      <c r="E104" t="s">
        <v>43</v>
      </c>
      <c r="F104">
        <v>5</v>
      </c>
      <c r="G104" s="31">
        <v>45755.635416666657</v>
      </c>
      <c r="H104" s="31">
        <v>45763.635416666657</v>
      </c>
      <c r="I104">
        <v>13.35</v>
      </c>
      <c r="J104">
        <v>-4.0800000000000003E-2</v>
      </c>
      <c r="K104">
        <v>1.9</v>
      </c>
      <c r="L104">
        <v>-1.8100000000000002E-2</v>
      </c>
      <c r="M104">
        <v>3721.2</v>
      </c>
      <c r="N104" t="s">
        <v>46</v>
      </c>
      <c r="P104" t="s">
        <v>40</v>
      </c>
      <c r="Q104" t="s">
        <v>41</v>
      </c>
      <c r="R104">
        <v>24100</v>
      </c>
      <c r="S104" s="30">
        <v>45756</v>
      </c>
      <c r="T104" t="s">
        <v>43</v>
      </c>
      <c r="U104">
        <v>5</v>
      </c>
      <c r="V104" s="31">
        <v>45749.635416666657</v>
      </c>
      <c r="W104" s="31">
        <v>45755.635416666657</v>
      </c>
      <c r="X104">
        <v>12.25</v>
      </c>
      <c r="Y104">
        <v>-6.1100000000000002E-2</v>
      </c>
      <c r="Z104">
        <v>1.45</v>
      </c>
      <c r="AA104">
        <v>-7.1999999999999998E-3</v>
      </c>
      <c r="AB104">
        <v>3510</v>
      </c>
      <c r="AC104" t="s">
        <v>46</v>
      </c>
      <c r="AE104" t="s">
        <v>40</v>
      </c>
      <c r="AF104" t="s">
        <v>51</v>
      </c>
      <c r="AG104">
        <v>22550</v>
      </c>
      <c r="AH104" s="30">
        <v>45743</v>
      </c>
      <c r="AI104" t="s">
        <v>54</v>
      </c>
      <c r="AJ104">
        <v>1</v>
      </c>
      <c r="AK104" s="31">
        <v>45713.635416666657</v>
      </c>
      <c r="AL104" s="31">
        <v>45736.635416666657</v>
      </c>
      <c r="AM104">
        <v>255.55</v>
      </c>
      <c r="AN104">
        <v>-0.43240000000000001</v>
      </c>
      <c r="AO104">
        <v>12.85</v>
      </c>
      <c r="AP104">
        <v>-6.5199999999999994E-2</v>
      </c>
      <c r="AQ104">
        <v>-15775.5</v>
      </c>
      <c r="AR104" t="s">
        <v>63</v>
      </c>
    </row>
    <row r="105" spans="1:44" x14ac:dyDescent="0.3">
      <c r="A105" t="s">
        <v>40</v>
      </c>
      <c r="B105" t="s">
        <v>51</v>
      </c>
      <c r="C105">
        <v>24000</v>
      </c>
      <c r="D105" s="30">
        <v>45771</v>
      </c>
      <c r="E105" t="s">
        <v>43</v>
      </c>
      <c r="F105">
        <v>1</v>
      </c>
      <c r="G105" s="31">
        <v>45742.635416666657</v>
      </c>
      <c r="H105" s="31">
        <v>45768.635416666657</v>
      </c>
      <c r="I105">
        <v>499</v>
      </c>
      <c r="J105">
        <v>0.66810000000000003</v>
      </c>
      <c r="K105">
        <v>70.5</v>
      </c>
      <c r="L105">
        <v>0.3286</v>
      </c>
      <c r="M105">
        <v>27852.5</v>
      </c>
      <c r="N105" t="s">
        <v>63</v>
      </c>
      <c r="P105" t="s">
        <v>40</v>
      </c>
      <c r="Q105" t="s">
        <v>41</v>
      </c>
      <c r="R105">
        <v>24050</v>
      </c>
      <c r="S105" s="30">
        <v>45764</v>
      </c>
      <c r="T105" t="s">
        <v>43</v>
      </c>
      <c r="U105">
        <v>5</v>
      </c>
      <c r="V105" s="31">
        <v>45755.635416666657</v>
      </c>
      <c r="W105" s="31">
        <v>45763.635416666657</v>
      </c>
      <c r="X105">
        <v>13.35</v>
      </c>
      <c r="Y105">
        <v>-4.0800000000000003E-2</v>
      </c>
      <c r="Z105">
        <v>1.9</v>
      </c>
      <c r="AA105">
        <v>-1.8100000000000002E-2</v>
      </c>
      <c r="AB105">
        <v>3721.2</v>
      </c>
      <c r="AC105" t="s">
        <v>46</v>
      </c>
      <c r="AE105" t="s">
        <v>40</v>
      </c>
      <c r="AF105" t="s">
        <v>51</v>
      </c>
      <c r="AG105">
        <v>23700</v>
      </c>
      <c r="AH105" s="30">
        <v>45743</v>
      </c>
      <c r="AI105" t="s">
        <v>43</v>
      </c>
      <c r="AJ105">
        <v>1</v>
      </c>
      <c r="AK105" s="31">
        <v>45736.635416666657</v>
      </c>
      <c r="AL105" s="31">
        <v>45742.635416666657</v>
      </c>
      <c r="AM105">
        <v>516.1</v>
      </c>
      <c r="AN105">
        <v>0.92920000000000003</v>
      </c>
      <c r="AO105">
        <v>202</v>
      </c>
      <c r="AP105">
        <v>0.81130000000000002</v>
      </c>
      <c r="AQ105">
        <v>20416.5</v>
      </c>
      <c r="AR105" t="s">
        <v>46</v>
      </c>
    </row>
    <row r="106" spans="1:44" x14ac:dyDescent="0.3">
      <c r="A106" t="s">
        <v>40</v>
      </c>
      <c r="B106" t="s">
        <v>51</v>
      </c>
      <c r="C106">
        <v>23500</v>
      </c>
      <c r="D106" s="30">
        <v>45771</v>
      </c>
      <c r="E106" t="s">
        <v>54</v>
      </c>
      <c r="F106">
        <v>1</v>
      </c>
      <c r="G106" s="31">
        <v>45742.635416666657</v>
      </c>
      <c r="H106" s="31">
        <v>45770.635416666657</v>
      </c>
      <c r="I106">
        <v>253.75</v>
      </c>
      <c r="J106">
        <v>-0.43640000000000001</v>
      </c>
      <c r="K106">
        <v>6</v>
      </c>
      <c r="L106">
        <v>-3.3000000000000002E-2</v>
      </c>
      <c r="M106">
        <v>-16103.8</v>
      </c>
      <c r="N106" t="s">
        <v>46</v>
      </c>
      <c r="P106" t="s">
        <v>40</v>
      </c>
      <c r="Q106" t="s">
        <v>51</v>
      </c>
      <c r="R106">
        <v>24000</v>
      </c>
      <c r="S106" s="30">
        <v>45771</v>
      </c>
      <c r="T106" t="s">
        <v>43</v>
      </c>
      <c r="U106">
        <v>1</v>
      </c>
      <c r="V106" s="31">
        <v>45742.635416666657</v>
      </c>
      <c r="W106" s="31">
        <v>45768.635416666657</v>
      </c>
      <c r="X106">
        <v>499</v>
      </c>
      <c r="Y106">
        <v>0.66810000000000003</v>
      </c>
      <c r="Z106">
        <v>70.5</v>
      </c>
      <c r="AA106">
        <v>0.3286</v>
      </c>
      <c r="AB106">
        <v>27852.5</v>
      </c>
      <c r="AC106" t="s">
        <v>63</v>
      </c>
      <c r="AE106" t="s">
        <v>40</v>
      </c>
      <c r="AF106" t="s">
        <v>51</v>
      </c>
      <c r="AG106">
        <v>23200</v>
      </c>
      <c r="AH106" s="30">
        <v>45743</v>
      </c>
      <c r="AI106" t="s">
        <v>54</v>
      </c>
      <c r="AJ106">
        <v>1</v>
      </c>
      <c r="AK106" s="31">
        <v>45736.635416666657</v>
      </c>
      <c r="AL106" s="31">
        <v>45742.635416666657</v>
      </c>
      <c r="AM106">
        <v>137</v>
      </c>
      <c r="AN106">
        <v>-0.48010000000000003</v>
      </c>
      <c r="AO106">
        <v>10.6</v>
      </c>
      <c r="AP106">
        <v>-9.7699999999999995E-2</v>
      </c>
      <c r="AQ106">
        <v>-8216</v>
      </c>
      <c r="AR106" t="s">
        <v>46</v>
      </c>
    </row>
    <row r="107" spans="1:44" x14ac:dyDescent="0.3">
      <c r="A107" t="s">
        <v>40</v>
      </c>
      <c r="B107" t="s">
        <v>51</v>
      </c>
      <c r="C107">
        <v>25500</v>
      </c>
      <c r="D107" s="30">
        <v>45771</v>
      </c>
      <c r="E107" t="s">
        <v>43</v>
      </c>
      <c r="F107">
        <v>1</v>
      </c>
      <c r="G107" s="31">
        <v>45768.635416666657</v>
      </c>
      <c r="H107" s="31">
        <v>45770.635416666657</v>
      </c>
      <c r="I107">
        <v>1365</v>
      </c>
      <c r="J107">
        <v>0.98939999999999995</v>
      </c>
      <c r="K107">
        <v>1203</v>
      </c>
      <c r="L107">
        <v>0.99099999999999999</v>
      </c>
      <c r="M107">
        <v>10530</v>
      </c>
      <c r="N107" t="s">
        <v>46</v>
      </c>
      <c r="P107" t="s">
        <v>40</v>
      </c>
      <c r="Q107" t="s">
        <v>51</v>
      </c>
      <c r="R107">
        <v>23500</v>
      </c>
      <c r="S107" s="30">
        <v>45771</v>
      </c>
      <c r="T107" t="s">
        <v>54</v>
      </c>
      <c r="U107">
        <v>1</v>
      </c>
      <c r="V107" s="31">
        <v>45742.635416666657</v>
      </c>
      <c r="W107" s="31">
        <v>45770.635416666657</v>
      </c>
      <c r="X107">
        <v>253.75</v>
      </c>
      <c r="Y107">
        <v>-0.43640000000000001</v>
      </c>
      <c r="Z107">
        <v>6</v>
      </c>
      <c r="AA107">
        <v>-3.3000000000000002E-2</v>
      </c>
      <c r="AB107">
        <v>-16103.8</v>
      </c>
      <c r="AC107" t="s">
        <v>46</v>
      </c>
      <c r="AE107" t="s">
        <v>40</v>
      </c>
      <c r="AF107" t="s">
        <v>41</v>
      </c>
      <c r="AG107">
        <v>23550</v>
      </c>
      <c r="AH107" s="30">
        <v>45743</v>
      </c>
      <c r="AI107" t="s">
        <v>43</v>
      </c>
      <c r="AJ107">
        <v>5</v>
      </c>
      <c r="AK107" s="31">
        <v>45735.635416666657</v>
      </c>
      <c r="AL107" s="31">
        <v>45742.635416666657</v>
      </c>
      <c r="AM107">
        <v>13.25</v>
      </c>
      <c r="AN107">
        <v>-7.2999999999999995E-2</v>
      </c>
      <c r="AO107">
        <v>65.900000000000006</v>
      </c>
      <c r="AP107">
        <v>-0.39600000000000002</v>
      </c>
      <c r="AQ107">
        <v>-17111.3</v>
      </c>
      <c r="AR107" t="s">
        <v>46</v>
      </c>
    </row>
    <row r="108" spans="1:44" x14ac:dyDescent="0.3">
      <c r="A108" t="s">
        <v>40</v>
      </c>
      <c r="B108" t="s">
        <v>41</v>
      </c>
      <c r="C108">
        <v>24350</v>
      </c>
      <c r="D108" s="30">
        <v>45771</v>
      </c>
      <c r="E108" t="s">
        <v>43</v>
      </c>
      <c r="F108">
        <v>5</v>
      </c>
      <c r="G108" s="31">
        <v>45763.635416666657</v>
      </c>
      <c r="H108" s="31">
        <v>45770.635416666657</v>
      </c>
      <c r="I108">
        <v>12.35</v>
      </c>
      <c r="J108">
        <v>-5.45E-2</v>
      </c>
      <c r="K108">
        <v>46.35</v>
      </c>
      <c r="L108">
        <v>-0.44600000000000001</v>
      </c>
      <c r="M108">
        <v>-11050</v>
      </c>
      <c r="N108" t="s">
        <v>46</v>
      </c>
      <c r="P108" t="s">
        <v>40</v>
      </c>
      <c r="Q108" t="s">
        <v>51</v>
      </c>
      <c r="R108">
        <v>24600</v>
      </c>
      <c r="S108" s="30">
        <v>45771</v>
      </c>
      <c r="T108" t="s">
        <v>43</v>
      </c>
      <c r="U108">
        <v>1</v>
      </c>
      <c r="V108" s="31">
        <v>45768.635416666657</v>
      </c>
      <c r="W108" s="31">
        <v>45770.635416666657</v>
      </c>
      <c r="X108">
        <v>466.75</v>
      </c>
      <c r="Y108">
        <v>0.89580000000000004</v>
      </c>
      <c r="Z108">
        <v>314.8</v>
      </c>
      <c r="AA108">
        <v>0.87960000000000005</v>
      </c>
      <c r="AB108">
        <v>9876.7999999999993</v>
      </c>
      <c r="AC108" t="s">
        <v>46</v>
      </c>
      <c r="AE108" t="s">
        <v>40</v>
      </c>
      <c r="AF108" t="s">
        <v>41</v>
      </c>
      <c r="AG108">
        <v>24400</v>
      </c>
      <c r="AH108" s="30">
        <v>45750</v>
      </c>
      <c r="AI108" t="s">
        <v>43</v>
      </c>
      <c r="AJ108">
        <v>5</v>
      </c>
      <c r="AK108" s="31">
        <v>45742.635416666657</v>
      </c>
      <c r="AL108" s="31">
        <v>45749.635416666657</v>
      </c>
      <c r="AM108">
        <v>12.35</v>
      </c>
      <c r="AN108">
        <v>-5.5E-2</v>
      </c>
      <c r="AO108">
        <v>0.9</v>
      </c>
      <c r="AP108">
        <v>-6.6E-3</v>
      </c>
      <c r="AQ108">
        <v>3721.2</v>
      </c>
      <c r="AR108" t="s">
        <v>46</v>
      </c>
    </row>
    <row r="109" spans="1:44" x14ac:dyDescent="0.3">
      <c r="A109" t="s">
        <v>40</v>
      </c>
      <c r="B109" t="s">
        <v>41</v>
      </c>
      <c r="C109">
        <v>25300</v>
      </c>
      <c r="D109" s="30">
        <v>45777</v>
      </c>
      <c r="E109" t="s">
        <v>43</v>
      </c>
      <c r="F109">
        <v>5</v>
      </c>
      <c r="G109" s="31">
        <v>45770.635416666657</v>
      </c>
      <c r="H109" s="31">
        <v>45776.635416666657</v>
      </c>
      <c r="I109">
        <v>14.8</v>
      </c>
      <c r="J109">
        <v>-5.8999999999999997E-2</v>
      </c>
      <c r="K109">
        <v>0.9</v>
      </c>
      <c r="L109">
        <v>-7.1000000000000004E-3</v>
      </c>
      <c r="M109">
        <v>4517.5</v>
      </c>
      <c r="N109" t="s">
        <v>46</v>
      </c>
      <c r="P109" t="s">
        <v>40</v>
      </c>
      <c r="Q109" t="s">
        <v>41</v>
      </c>
      <c r="R109">
        <v>24350</v>
      </c>
      <c r="S109" s="30">
        <v>45771</v>
      </c>
      <c r="T109" t="s">
        <v>43</v>
      </c>
      <c r="U109">
        <v>5</v>
      </c>
      <c r="V109" s="31">
        <v>45763.635416666657</v>
      </c>
      <c r="W109" s="31">
        <v>45770.635416666657</v>
      </c>
      <c r="X109">
        <v>12.35</v>
      </c>
      <c r="Y109">
        <v>-5.45E-2</v>
      </c>
      <c r="Z109">
        <v>46.35</v>
      </c>
      <c r="AA109">
        <v>-0.44600000000000001</v>
      </c>
      <c r="AB109">
        <v>-11050</v>
      </c>
      <c r="AC109" t="s">
        <v>46</v>
      </c>
      <c r="AE109" t="s">
        <v>40</v>
      </c>
      <c r="AF109" t="s">
        <v>41</v>
      </c>
      <c r="AG109">
        <v>24100</v>
      </c>
      <c r="AH109" s="30">
        <v>45756</v>
      </c>
      <c r="AI109" t="s">
        <v>43</v>
      </c>
      <c r="AJ109">
        <v>5</v>
      </c>
      <c r="AK109" s="31">
        <v>45749.635416666657</v>
      </c>
      <c r="AL109" s="31">
        <v>45755.635416666657</v>
      </c>
      <c r="AM109">
        <v>12.25</v>
      </c>
      <c r="AN109">
        <v>-6.1100000000000002E-2</v>
      </c>
      <c r="AO109">
        <v>1.45</v>
      </c>
      <c r="AP109">
        <v>-7.1999999999999998E-3</v>
      </c>
      <c r="AQ109">
        <v>3510</v>
      </c>
      <c r="AR109" t="s">
        <v>46</v>
      </c>
    </row>
    <row r="110" spans="1:44" x14ac:dyDescent="0.3">
      <c r="A110" t="s">
        <v>40</v>
      </c>
      <c r="B110" t="s">
        <v>41</v>
      </c>
      <c r="C110">
        <v>25200</v>
      </c>
      <c r="D110" s="30">
        <v>45785</v>
      </c>
      <c r="E110" t="s">
        <v>43</v>
      </c>
      <c r="F110">
        <v>5</v>
      </c>
      <c r="G110" s="31">
        <v>45776.635416666657</v>
      </c>
      <c r="H110" s="31">
        <v>45784.635416666657</v>
      </c>
      <c r="I110">
        <v>14.4</v>
      </c>
      <c r="J110">
        <v>-6.2600000000000003E-2</v>
      </c>
      <c r="K110">
        <v>1.4</v>
      </c>
      <c r="L110">
        <v>-1.21E-2</v>
      </c>
      <c r="M110">
        <v>4225</v>
      </c>
      <c r="N110" t="s">
        <v>46</v>
      </c>
      <c r="P110" t="s">
        <v>40</v>
      </c>
      <c r="Q110" t="s">
        <v>41</v>
      </c>
      <c r="R110">
        <v>25300</v>
      </c>
      <c r="S110" s="30">
        <v>45777</v>
      </c>
      <c r="T110" t="s">
        <v>43</v>
      </c>
      <c r="U110">
        <v>5</v>
      </c>
      <c r="V110" s="31">
        <v>45770.635416666657</v>
      </c>
      <c r="W110" s="31">
        <v>45776.635416666657</v>
      </c>
      <c r="X110">
        <v>14.8</v>
      </c>
      <c r="Y110">
        <v>-5.8999999999999997E-2</v>
      </c>
      <c r="Z110">
        <v>0.9</v>
      </c>
      <c r="AA110">
        <v>-7.1000000000000004E-3</v>
      </c>
      <c r="AB110">
        <v>4517.5</v>
      </c>
      <c r="AC110" t="s">
        <v>46</v>
      </c>
      <c r="AE110" t="s">
        <v>40</v>
      </c>
      <c r="AF110" t="s">
        <v>41</v>
      </c>
      <c r="AG110">
        <v>24050</v>
      </c>
      <c r="AH110" s="30">
        <v>45764</v>
      </c>
      <c r="AI110" t="s">
        <v>43</v>
      </c>
      <c r="AJ110">
        <v>5</v>
      </c>
      <c r="AK110" s="31">
        <v>45755.635416666657</v>
      </c>
      <c r="AL110" s="31">
        <v>45763.635416666657</v>
      </c>
      <c r="AM110">
        <v>13.35</v>
      </c>
      <c r="AN110">
        <v>-4.0800000000000003E-2</v>
      </c>
      <c r="AO110">
        <v>1.9</v>
      </c>
      <c r="AP110">
        <v>-1.8100000000000002E-2</v>
      </c>
      <c r="AQ110">
        <v>3721.2</v>
      </c>
      <c r="AR110" t="s">
        <v>46</v>
      </c>
    </row>
    <row r="111" spans="1:44" x14ac:dyDescent="0.3">
      <c r="A111" t="s">
        <v>40</v>
      </c>
      <c r="B111" t="s">
        <v>41</v>
      </c>
      <c r="C111">
        <v>25150</v>
      </c>
      <c r="D111" s="30">
        <v>45792</v>
      </c>
      <c r="E111" t="s">
        <v>43</v>
      </c>
      <c r="F111">
        <v>5</v>
      </c>
      <c r="G111" s="31">
        <v>45784.635416666657</v>
      </c>
      <c r="H111" s="31">
        <v>45791.635416666657</v>
      </c>
      <c r="I111">
        <v>17.100000000000001</v>
      </c>
      <c r="J111">
        <v>-7.9200000000000007E-2</v>
      </c>
      <c r="K111">
        <v>4.05</v>
      </c>
      <c r="L111">
        <v>-3.7499999999999999E-2</v>
      </c>
      <c r="M111">
        <v>4241.2</v>
      </c>
      <c r="N111" t="s">
        <v>46</v>
      </c>
      <c r="P111" t="s">
        <v>40</v>
      </c>
      <c r="Q111" t="s">
        <v>41</v>
      </c>
      <c r="R111">
        <v>25200</v>
      </c>
      <c r="S111" s="30">
        <v>45785</v>
      </c>
      <c r="T111" t="s">
        <v>43</v>
      </c>
      <c r="U111">
        <v>5</v>
      </c>
      <c r="V111" s="31">
        <v>45776.635416666657</v>
      </c>
      <c r="W111" s="31">
        <v>45784.635416666657</v>
      </c>
      <c r="X111">
        <v>14.4</v>
      </c>
      <c r="Y111">
        <v>-6.2600000000000003E-2</v>
      </c>
      <c r="Z111">
        <v>1.4</v>
      </c>
      <c r="AA111">
        <v>-1.21E-2</v>
      </c>
      <c r="AB111">
        <v>4225</v>
      </c>
      <c r="AC111" t="s">
        <v>46</v>
      </c>
      <c r="AE111" t="s">
        <v>40</v>
      </c>
      <c r="AF111" t="s">
        <v>51</v>
      </c>
      <c r="AG111">
        <v>24000</v>
      </c>
      <c r="AH111" s="30">
        <v>45771</v>
      </c>
      <c r="AI111" t="s">
        <v>43</v>
      </c>
      <c r="AJ111">
        <v>1</v>
      </c>
      <c r="AK111" s="31">
        <v>45742.635416666657</v>
      </c>
      <c r="AL111" s="31">
        <v>45768.635416666657</v>
      </c>
      <c r="AM111">
        <v>499</v>
      </c>
      <c r="AN111">
        <v>0.66810000000000003</v>
      </c>
      <c r="AO111">
        <v>70.5</v>
      </c>
      <c r="AP111">
        <v>0.3286</v>
      </c>
      <c r="AQ111">
        <v>27852.5</v>
      </c>
      <c r="AR111" t="s">
        <v>63</v>
      </c>
    </row>
    <row r="112" spans="1:44" x14ac:dyDescent="0.3">
      <c r="A112" t="s">
        <v>40</v>
      </c>
      <c r="B112" t="s">
        <v>41</v>
      </c>
      <c r="C112">
        <v>25550</v>
      </c>
      <c r="D112" s="30">
        <v>45799</v>
      </c>
      <c r="E112" t="s">
        <v>43</v>
      </c>
      <c r="F112">
        <v>5</v>
      </c>
      <c r="G112" s="31">
        <v>45791.635416666657</v>
      </c>
      <c r="H112" s="31">
        <v>45798.635416666657</v>
      </c>
      <c r="I112">
        <v>15.1</v>
      </c>
      <c r="J112">
        <v>-6.3799999999999996E-2</v>
      </c>
      <c r="K112">
        <v>2.15</v>
      </c>
      <c r="L112">
        <v>-1.7399999999999999E-2</v>
      </c>
      <c r="M112">
        <v>4208.8</v>
      </c>
      <c r="N112" t="s">
        <v>46</v>
      </c>
      <c r="P112" t="s">
        <v>40</v>
      </c>
      <c r="Q112" t="s">
        <v>41</v>
      </c>
      <c r="R112">
        <v>25150</v>
      </c>
      <c r="S112" s="30">
        <v>45792</v>
      </c>
      <c r="T112" t="s">
        <v>43</v>
      </c>
      <c r="U112">
        <v>5</v>
      </c>
      <c r="V112" s="31">
        <v>45784.635416666657</v>
      </c>
      <c r="W112" s="31">
        <v>45791.635416666657</v>
      </c>
      <c r="X112">
        <v>17.100000000000001</v>
      </c>
      <c r="Y112">
        <v>-7.9200000000000007E-2</v>
      </c>
      <c r="Z112">
        <v>4.05</v>
      </c>
      <c r="AA112">
        <v>-3.7499999999999999E-2</v>
      </c>
      <c r="AB112">
        <v>4241.2</v>
      </c>
      <c r="AC112" t="s">
        <v>46</v>
      </c>
      <c r="AE112" t="s">
        <v>40</v>
      </c>
      <c r="AF112" t="s">
        <v>51</v>
      </c>
      <c r="AG112">
        <v>23500</v>
      </c>
      <c r="AH112" s="30">
        <v>45771</v>
      </c>
      <c r="AI112" t="s">
        <v>54</v>
      </c>
      <c r="AJ112">
        <v>1</v>
      </c>
      <c r="AK112" s="31">
        <v>45742.635416666657</v>
      </c>
      <c r="AL112" s="31">
        <v>45768.635416666657</v>
      </c>
      <c r="AM112">
        <v>253.75</v>
      </c>
      <c r="AN112">
        <v>-0.43640000000000001</v>
      </c>
      <c r="AO112">
        <v>18.399999999999999</v>
      </c>
      <c r="AP112">
        <v>-8.4000000000000005E-2</v>
      </c>
      <c r="AQ112">
        <v>-15297.8</v>
      </c>
      <c r="AR112" t="s">
        <v>63</v>
      </c>
    </row>
    <row r="113" spans="1:44" x14ac:dyDescent="0.3">
      <c r="A113" t="s">
        <v>40</v>
      </c>
      <c r="B113" t="s">
        <v>51</v>
      </c>
      <c r="C113">
        <v>24300</v>
      </c>
      <c r="D113" s="30">
        <v>45806</v>
      </c>
      <c r="E113" t="s">
        <v>54</v>
      </c>
      <c r="F113">
        <v>1</v>
      </c>
      <c r="G113" s="31">
        <v>45770.635416666657</v>
      </c>
      <c r="H113" s="31">
        <v>45805.635416666657</v>
      </c>
      <c r="I113">
        <v>390.7</v>
      </c>
      <c r="J113">
        <v>-0.43109999999999998</v>
      </c>
      <c r="K113">
        <v>10.35</v>
      </c>
      <c r="L113">
        <v>-7.3400000000000007E-2</v>
      </c>
      <c r="M113">
        <v>-24722.7</v>
      </c>
      <c r="N113" t="s">
        <v>46</v>
      </c>
      <c r="P113" t="s">
        <v>40</v>
      </c>
      <c r="Q113" t="s">
        <v>41</v>
      </c>
      <c r="R113">
        <v>25550</v>
      </c>
      <c r="S113" s="30">
        <v>45799</v>
      </c>
      <c r="T113" t="s">
        <v>43</v>
      </c>
      <c r="U113">
        <v>5</v>
      </c>
      <c r="V113" s="31">
        <v>45791.635416666657</v>
      </c>
      <c r="W113" s="31">
        <v>45798.635416666657</v>
      </c>
      <c r="X113">
        <v>15.1</v>
      </c>
      <c r="Y113">
        <v>-6.3799999999999996E-2</v>
      </c>
      <c r="Z113">
        <v>2.15</v>
      </c>
      <c r="AA113">
        <v>-1.7399999999999999E-2</v>
      </c>
      <c r="AB113">
        <v>4208.8</v>
      </c>
      <c r="AC113" t="s">
        <v>46</v>
      </c>
      <c r="AE113" t="s">
        <v>40</v>
      </c>
      <c r="AF113" t="s">
        <v>51</v>
      </c>
      <c r="AG113">
        <v>24600</v>
      </c>
      <c r="AH113" s="30">
        <v>45771</v>
      </c>
      <c r="AI113" t="s">
        <v>43</v>
      </c>
      <c r="AJ113">
        <v>1</v>
      </c>
      <c r="AK113" s="31">
        <v>45768.635416666657</v>
      </c>
      <c r="AL113" s="31">
        <v>45770.635416666657</v>
      </c>
      <c r="AM113">
        <v>466.75</v>
      </c>
      <c r="AN113">
        <v>0.89580000000000004</v>
      </c>
      <c r="AO113">
        <v>314.8</v>
      </c>
      <c r="AP113">
        <v>0.87960000000000005</v>
      </c>
      <c r="AQ113">
        <v>9876.7999999999993</v>
      </c>
      <c r="AR113" t="s">
        <v>46</v>
      </c>
    </row>
    <row r="114" spans="1:44" x14ac:dyDescent="0.3">
      <c r="A114" t="s">
        <v>40</v>
      </c>
      <c r="B114" t="s">
        <v>51</v>
      </c>
      <c r="C114">
        <v>25500</v>
      </c>
      <c r="D114" s="30">
        <v>45806</v>
      </c>
      <c r="E114" t="s">
        <v>43</v>
      </c>
      <c r="F114">
        <v>1</v>
      </c>
      <c r="G114" s="31">
        <v>45770.635416666657</v>
      </c>
      <c r="H114" s="31">
        <v>45805.635416666657</v>
      </c>
      <c r="I114">
        <v>1135</v>
      </c>
      <c r="J114">
        <v>0.8337</v>
      </c>
      <c r="K114">
        <v>742.45</v>
      </c>
      <c r="L114">
        <v>0.97570000000000001</v>
      </c>
      <c r="M114">
        <v>25515.7</v>
      </c>
      <c r="N114" t="s">
        <v>46</v>
      </c>
      <c r="P114" t="s">
        <v>40</v>
      </c>
      <c r="Q114" t="s">
        <v>51</v>
      </c>
      <c r="R114">
        <v>24300</v>
      </c>
      <c r="S114" s="30">
        <v>45806</v>
      </c>
      <c r="T114" t="s">
        <v>54</v>
      </c>
      <c r="U114">
        <v>1</v>
      </c>
      <c r="V114" s="31">
        <v>45770.635416666657</v>
      </c>
      <c r="W114" s="31">
        <v>45805.635416666657</v>
      </c>
      <c r="X114">
        <v>390.7</v>
      </c>
      <c r="Y114">
        <v>-0.43109999999999998</v>
      </c>
      <c r="Z114">
        <v>10.35</v>
      </c>
      <c r="AA114">
        <v>-7.3400000000000007E-2</v>
      </c>
      <c r="AB114">
        <v>-24722.7</v>
      </c>
      <c r="AC114" t="s">
        <v>46</v>
      </c>
      <c r="AE114" t="s">
        <v>40</v>
      </c>
      <c r="AF114" t="s">
        <v>51</v>
      </c>
      <c r="AG114">
        <v>24150</v>
      </c>
      <c r="AH114" s="30">
        <v>45771</v>
      </c>
      <c r="AI114" t="s">
        <v>54</v>
      </c>
      <c r="AJ114">
        <v>1</v>
      </c>
      <c r="AK114" s="31">
        <v>45768.635416666657</v>
      </c>
      <c r="AL114" s="31">
        <v>45770.635416666657</v>
      </c>
      <c r="AM114">
        <v>126.45</v>
      </c>
      <c r="AN114">
        <v>-0.50829999999999997</v>
      </c>
      <c r="AO114">
        <v>18.95</v>
      </c>
      <c r="AP114">
        <v>-0.1797</v>
      </c>
      <c r="AQ114">
        <v>-6987.5</v>
      </c>
      <c r="AR114" t="s">
        <v>46</v>
      </c>
    </row>
    <row r="115" spans="1:44" x14ac:dyDescent="0.3">
      <c r="A115" t="s">
        <v>40</v>
      </c>
      <c r="B115" t="s">
        <v>41</v>
      </c>
      <c r="C115">
        <v>25750</v>
      </c>
      <c r="D115" s="30">
        <v>45806</v>
      </c>
      <c r="E115" t="s">
        <v>43</v>
      </c>
      <c r="F115">
        <v>5</v>
      </c>
      <c r="G115" s="31">
        <v>45798.635416666657</v>
      </c>
      <c r="H115" s="31">
        <v>45805.635416666657</v>
      </c>
      <c r="I115">
        <v>14.85</v>
      </c>
      <c r="J115">
        <v>-6.08E-2</v>
      </c>
      <c r="K115">
        <v>1.85</v>
      </c>
      <c r="L115">
        <v>-1.23E-2</v>
      </c>
      <c r="M115">
        <v>4225</v>
      </c>
      <c r="N115" t="s">
        <v>46</v>
      </c>
      <c r="P115" t="s">
        <v>40</v>
      </c>
      <c r="Q115" t="s">
        <v>51</v>
      </c>
      <c r="R115">
        <v>25500</v>
      </c>
      <c r="S115" s="30">
        <v>45806</v>
      </c>
      <c r="T115" t="s">
        <v>43</v>
      </c>
      <c r="U115">
        <v>1</v>
      </c>
      <c r="V115" s="31">
        <v>45770.635416666657</v>
      </c>
      <c r="W115" s="31">
        <v>45805.635416666657</v>
      </c>
      <c r="X115">
        <v>1135</v>
      </c>
      <c r="Y115">
        <v>0.8337</v>
      </c>
      <c r="Z115">
        <v>742.45</v>
      </c>
      <c r="AA115">
        <v>0.97570000000000001</v>
      </c>
      <c r="AB115">
        <v>25515.7</v>
      </c>
      <c r="AC115" t="s">
        <v>46</v>
      </c>
      <c r="AE115" t="s">
        <v>40</v>
      </c>
      <c r="AF115" t="s">
        <v>41</v>
      </c>
      <c r="AG115">
        <v>24350</v>
      </c>
      <c r="AH115" s="30">
        <v>45771</v>
      </c>
      <c r="AI115" t="s">
        <v>43</v>
      </c>
      <c r="AJ115">
        <v>5</v>
      </c>
      <c r="AK115" s="31">
        <v>45763.635416666657</v>
      </c>
      <c r="AL115" s="31">
        <v>45770.635416666657</v>
      </c>
      <c r="AM115">
        <v>12.35</v>
      </c>
      <c r="AN115">
        <v>-5.45E-2</v>
      </c>
      <c r="AO115">
        <v>46.35</v>
      </c>
      <c r="AP115">
        <v>-0.44600000000000001</v>
      </c>
      <c r="AQ115">
        <v>-11050</v>
      </c>
      <c r="AR115" t="s">
        <v>46</v>
      </c>
    </row>
    <row r="116" spans="1:44" x14ac:dyDescent="0.3">
      <c r="A116" t="s">
        <v>40</v>
      </c>
      <c r="B116" t="s">
        <v>41</v>
      </c>
      <c r="C116">
        <v>25800</v>
      </c>
      <c r="D116" s="30">
        <v>45813</v>
      </c>
      <c r="E116" t="s">
        <v>43</v>
      </c>
      <c r="F116">
        <v>5</v>
      </c>
      <c r="G116" s="31">
        <v>45805.635416666657</v>
      </c>
      <c r="H116" s="31">
        <v>45812.635416666657</v>
      </c>
      <c r="I116">
        <v>21</v>
      </c>
      <c r="J116">
        <v>-7.1099999999999997E-2</v>
      </c>
      <c r="K116">
        <v>0.85</v>
      </c>
      <c r="L116">
        <v>-5.7999999999999996E-3</v>
      </c>
      <c r="M116">
        <v>6548.7</v>
      </c>
      <c r="N116" t="s">
        <v>46</v>
      </c>
      <c r="P116" t="s">
        <v>40</v>
      </c>
      <c r="Q116" t="s">
        <v>41</v>
      </c>
      <c r="R116">
        <v>25750</v>
      </c>
      <c r="S116" s="30">
        <v>45806</v>
      </c>
      <c r="T116" t="s">
        <v>43</v>
      </c>
      <c r="U116">
        <v>5</v>
      </c>
      <c r="V116" s="31">
        <v>45798.635416666657</v>
      </c>
      <c r="W116" s="31">
        <v>45805.635416666657</v>
      </c>
      <c r="X116">
        <v>14.85</v>
      </c>
      <c r="Y116">
        <v>-6.08E-2</v>
      </c>
      <c r="Z116">
        <v>1.85</v>
      </c>
      <c r="AA116">
        <v>-1.23E-2</v>
      </c>
      <c r="AB116">
        <v>4225</v>
      </c>
      <c r="AC116" t="s">
        <v>46</v>
      </c>
      <c r="AE116" t="s">
        <v>40</v>
      </c>
      <c r="AF116" t="s">
        <v>41</v>
      </c>
      <c r="AG116">
        <v>25300</v>
      </c>
      <c r="AH116" s="30">
        <v>45777</v>
      </c>
      <c r="AI116" t="s">
        <v>43</v>
      </c>
      <c r="AJ116">
        <v>5</v>
      </c>
      <c r="AK116" s="31">
        <v>45770.635416666657</v>
      </c>
      <c r="AL116" s="31">
        <v>45776.635416666657</v>
      </c>
      <c r="AM116">
        <v>14.8</v>
      </c>
      <c r="AN116">
        <v>-5.8999999999999997E-2</v>
      </c>
      <c r="AO116">
        <v>0.9</v>
      </c>
      <c r="AP116">
        <v>-7.1000000000000004E-3</v>
      </c>
      <c r="AQ116">
        <v>4517.5</v>
      </c>
      <c r="AR116" t="s">
        <v>46</v>
      </c>
    </row>
    <row r="117" spans="1:44" x14ac:dyDescent="0.3">
      <c r="A117" t="s">
        <v>40</v>
      </c>
      <c r="B117" t="s">
        <v>41</v>
      </c>
      <c r="C117">
        <v>25450</v>
      </c>
      <c r="D117" s="30">
        <v>45820</v>
      </c>
      <c r="E117" t="s">
        <v>43</v>
      </c>
      <c r="F117">
        <v>5</v>
      </c>
      <c r="G117" s="31">
        <v>45812.635416666657</v>
      </c>
      <c r="H117" s="31">
        <v>45819.635416666657</v>
      </c>
      <c r="I117">
        <v>21.55</v>
      </c>
      <c r="J117">
        <v>-8.3900000000000002E-2</v>
      </c>
      <c r="K117">
        <v>7.15</v>
      </c>
      <c r="L117">
        <v>-7.6100000000000001E-2</v>
      </c>
      <c r="M117">
        <v>4680</v>
      </c>
      <c r="N117" t="s">
        <v>46</v>
      </c>
      <c r="P117" t="s">
        <v>40</v>
      </c>
      <c r="Q117" t="s">
        <v>41</v>
      </c>
      <c r="R117">
        <v>25800</v>
      </c>
      <c r="S117" s="30">
        <v>45813</v>
      </c>
      <c r="T117" t="s">
        <v>43</v>
      </c>
      <c r="U117">
        <v>5</v>
      </c>
      <c r="V117" s="31">
        <v>45805.635416666657</v>
      </c>
      <c r="W117" s="31">
        <v>45812.635416666657</v>
      </c>
      <c r="X117">
        <v>21</v>
      </c>
      <c r="Y117">
        <v>-7.1099999999999997E-2</v>
      </c>
      <c r="Z117">
        <v>0.85</v>
      </c>
      <c r="AA117">
        <v>-5.7999999999999996E-3</v>
      </c>
      <c r="AB117">
        <v>6548.7</v>
      </c>
      <c r="AC117" t="s">
        <v>46</v>
      </c>
      <c r="AE117" t="s">
        <v>40</v>
      </c>
      <c r="AF117" t="s">
        <v>41</v>
      </c>
      <c r="AG117">
        <v>25200</v>
      </c>
      <c r="AH117" s="30">
        <v>45785</v>
      </c>
      <c r="AI117" t="s">
        <v>43</v>
      </c>
      <c r="AJ117">
        <v>5</v>
      </c>
      <c r="AK117" s="31">
        <v>45776.635416666657</v>
      </c>
      <c r="AL117" s="31">
        <v>45784.635416666657</v>
      </c>
      <c r="AM117">
        <v>14.4</v>
      </c>
      <c r="AN117">
        <v>-6.2600000000000003E-2</v>
      </c>
      <c r="AO117">
        <v>1.4</v>
      </c>
      <c r="AP117">
        <v>-1.21E-2</v>
      </c>
      <c r="AQ117">
        <v>4225</v>
      </c>
      <c r="AR117" t="s">
        <v>46</v>
      </c>
    </row>
    <row r="118" spans="1:44" x14ac:dyDescent="0.3">
      <c r="A118" t="s">
        <v>40</v>
      </c>
      <c r="B118" t="s">
        <v>41</v>
      </c>
      <c r="C118">
        <v>25750</v>
      </c>
      <c r="D118" s="30">
        <v>45827</v>
      </c>
      <c r="E118" t="s">
        <v>43</v>
      </c>
      <c r="F118">
        <v>5</v>
      </c>
      <c r="G118" s="31">
        <v>45819.635416666657</v>
      </c>
      <c r="H118" s="31">
        <v>45826.635416666657</v>
      </c>
      <c r="I118">
        <v>19.2</v>
      </c>
      <c r="J118">
        <v>-9.5799999999999996E-2</v>
      </c>
      <c r="K118">
        <v>1.05</v>
      </c>
      <c r="L118">
        <v>-8.3000000000000001E-3</v>
      </c>
      <c r="M118">
        <v>5898.7</v>
      </c>
      <c r="N118" t="s">
        <v>46</v>
      </c>
      <c r="P118" t="s">
        <v>40</v>
      </c>
      <c r="Q118" t="s">
        <v>41</v>
      </c>
      <c r="R118">
        <v>25450</v>
      </c>
      <c r="S118" s="30">
        <v>45820</v>
      </c>
      <c r="T118" t="s">
        <v>43</v>
      </c>
      <c r="U118">
        <v>5</v>
      </c>
      <c r="V118" s="31">
        <v>45812.635416666657</v>
      </c>
      <c r="W118" s="31">
        <v>45819.635416666657</v>
      </c>
      <c r="X118">
        <v>21.55</v>
      </c>
      <c r="Y118">
        <v>-8.3900000000000002E-2</v>
      </c>
      <c r="Z118">
        <v>7.15</v>
      </c>
      <c r="AA118">
        <v>-7.6100000000000001E-2</v>
      </c>
      <c r="AB118">
        <v>4680</v>
      </c>
      <c r="AC118" t="s">
        <v>46</v>
      </c>
      <c r="AE118" t="s">
        <v>40</v>
      </c>
      <c r="AF118" t="s">
        <v>41</v>
      </c>
      <c r="AG118">
        <v>25150</v>
      </c>
      <c r="AH118" s="30">
        <v>45792</v>
      </c>
      <c r="AI118" t="s">
        <v>43</v>
      </c>
      <c r="AJ118">
        <v>5</v>
      </c>
      <c r="AK118" s="31">
        <v>45784.635416666657</v>
      </c>
      <c r="AL118" s="31">
        <v>45791.635416666657</v>
      </c>
      <c r="AM118">
        <v>17.100000000000001</v>
      </c>
      <c r="AN118">
        <v>-7.9200000000000007E-2</v>
      </c>
      <c r="AO118">
        <v>4.05</v>
      </c>
      <c r="AP118">
        <v>-3.7499999999999999E-2</v>
      </c>
      <c r="AQ118">
        <v>4241.2</v>
      </c>
      <c r="AR118" t="s">
        <v>46</v>
      </c>
    </row>
    <row r="119" spans="1:44" x14ac:dyDescent="0.3">
      <c r="A119" t="s">
        <v>40</v>
      </c>
      <c r="B119" t="s">
        <v>51</v>
      </c>
      <c r="C119">
        <v>24750</v>
      </c>
      <c r="D119" s="30">
        <v>45834</v>
      </c>
      <c r="E119" t="s">
        <v>54</v>
      </c>
      <c r="F119">
        <v>1</v>
      </c>
      <c r="G119" s="31">
        <v>45805.635416666657</v>
      </c>
      <c r="H119" s="31">
        <v>45833.635416666657</v>
      </c>
      <c r="I119">
        <v>406.1</v>
      </c>
      <c r="J119">
        <v>-0.44840000000000002</v>
      </c>
      <c r="K119">
        <v>6.5</v>
      </c>
      <c r="L119">
        <v>-5.0099999999999999E-2</v>
      </c>
      <c r="M119">
        <v>-25974</v>
      </c>
      <c r="N119" t="s">
        <v>46</v>
      </c>
      <c r="P119" t="s">
        <v>40</v>
      </c>
      <c r="Q119" t="s">
        <v>41</v>
      </c>
      <c r="R119">
        <v>25750</v>
      </c>
      <c r="S119" s="30">
        <v>45827</v>
      </c>
      <c r="T119" t="s">
        <v>43</v>
      </c>
      <c r="U119">
        <v>5</v>
      </c>
      <c r="V119" s="31">
        <v>45819.635416666657</v>
      </c>
      <c r="W119" s="31">
        <v>45826.635416666657</v>
      </c>
      <c r="X119">
        <v>19.2</v>
      </c>
      <c r="Y119">
        <v>-9.5799999999999996E-2</v>
      </c>
      <c r="Z119">
        <v>1.05</v>
      </c>
      <c r="AA119">
        <v>-8.3000000000000001E-3</v>
      </c>
      <c r="AB119">
        <v>5898.7</v>
      </c>
      <c r="AC119" t="s">
        <v>46</v>
      </c>
      <c r="AE119" t="s">
        <v>40</v>
      </c>
      <c r="AF119" t="s">
        <v>41</v>
      </c>
      <c r="AG119">
        <v>25550</v>
      </c>
      <c r="AH119" s="30">
        <v>45799</v>
      </c>
      <c r="AI119" t="s">
        <v>43</v>
      </c>
      <c r="AJ119">
        <v>5</v>
      </c>
      <c r="AK119" s="31">
        <v>45791.635416666657</v>
      </c>
      <c r="AL119" s="31">
        <v>45798.635416666657</v>
      </c>
      <c r="AM119">
        <v>15.1</v>
      </c>
      <c r="AN119">
        <v>-6.3799999999999996E-2</v>
      </c>
      <c r="AO119">
        <v>2.15</v>
      </c>
      <c r="AP119">
        <v>-1.7399999999999999E-2</v>
      </c>
      <c r="AQ119">
        <v>4208.8</v>
      </c>
      <c r="AR119" t="s">
        <v>46</v>
      </c>
    </row>
    <row r="120" spans="1:44" x14ac:dyDescent="0.3">
      <c r="A120" t="s">
        <v>40</v>
      </c>
      <c r="B120" t="s">
        <v>51</v>
      </c>
      <c r="C120">
        <v>26000</v>
      </c>
      <c r="D120" s="30">
        <v>45834</v>
      </c>
      <c r="E120" t="s">
        <v>43</v>
      </c>
      <c r="F120">
        <v>1</v>
      </c>
      <c r="G120" s="31">
        <v>45805.635416666657</v>
      </c>
      <c r="H120" s="31">
        <v>45833.635416666657</v>
      </c>
      <c r="I120">
        <v>1215.05</v>
      </c>
      <c r="J120">
        <v>0.84340000000000004</v>
      </c>
      <c r="K120">
        <v>752.45</v>
      </c>
      <c r="L120">
        <v>0.99009999999999998</v>
      </c>
      <c r="M120">
        <v>30069</v>
      </c>
      <c r="N120" t="s">
        <v>46</v>
      </c>
      <c r="P120" t="s">
        <v>40</v>
      </c>
      <c r="Q120" t="s">
        <v>51</v>
      </c>
      <c r="R120">
        <v>24750</v>
      </c>
      <c r="S120" s="30">
        <v>45834</v>
      </c>
      <c r="T120" t="s">
        <v>54</v>
      </c>
      <c r="U120">
        <v>1</v>
      </c>
      <c r="V120" s="31">
        <v>45805.635416666657</v>
      </c>
      <c r="W120" s="31">
        <v>45833.635416666657</v>
      </c>
      <c r="X120">
        <v>406.1</v>
      </c>
      <c r="Y120">
        <v>-0.44840000000000002</v>
      </c>
      <c r="Z120">
        <v>6.5</v>
      </c>
      <c r="AA120">
        <v>-5.0099999999999999E-2</v>
      </c>
      <c r="AB120">
        <v>-25974</v>
      </c>
      <c r="AC120" t="s">
        <v>46</v>
      </c>
      <c r="AE120" t="s">
        <v>40</v>
      </c>
      <c r="AF120" t="s">
        <v>51</v>
      </c>
      <c r="AG120">
        <v>25500</v>
      </c>
      <c r="AH120" s="30">
        <v>45806</v>
      </c>
      <c r="AI120" t="s">
        <v>43</v>
      </c>
      <c r="AJ120">
        <v>1</v>
      </c>
      <c r="AK120" s="31">
        <v>45770.635416666657</v>
      </c>
      <c r="AL120" s="31">
        <v>45805.635416666657</v>
      </c>
      <c r="AM120">
        <v>1135</v>
      </c>
      <c r="AN120">
        <v>0.8337</v>
      </c>
      <c r="AO120">
        <v>742.45</v>
      </c>
      <c r="AP120">
        <v>0.97570000000000001</v>
      </c>
      <c r="AQ120">
        <v>25515.7</v>
      </c>
      <c r="AR120" t="s">
        <v>46</v>
      </c>
    </row>
    <row r="121" spans="1:44" x14ac:dyDescent="0.3">
      <c r="A121" t="s">
        <v>40</v>
      </c>
      <c r="B121" t="s">
        <v>41</v>
      </c>
      <c r="C121">
        <v>25500</v>
      </c>
      <c r="D121" s="30">
        <v>45834</v>
      </c>
      <c r="E121" t="s">
        <v>43</v>
      </c>
      <c r="F121">
        <v>5</v>
      </c>
      <c r="G121" s="31">
        <v>45826.635416666657</v>
      </c>
      <c r="H121" s="31">
        <v>45833.635416666657</v>
      </c>
      <c r="I121">
        <v>20.149999999999999</v>
      </c>
      <c r="J121">
        <v>-9.0999999999999998E-2</v>
      </c>
      <c r="K121">
        <v>9.8000000000000007</v>
      </c>
      <c r="L121">
        <v>-0.1045</v>
      </c>
      <c r="M121">
        <v>3363.7</v>
      </c>
      <c r="N121" t="s">
        <v>46</v>
      </c>
      <c r="P121" t="s">
        <v>40</v>
      </c>
      <c r="Q121" t="s">
        <v>51</v>
      </c>
      <c r="R121">
        <v>26000</v>
      </c>
      <c r="S121" s="30">
        <v>45834</v>
      </c>
      <c r="T121" t="s">
        <v>43</v>
      </c>
      <c r="U121">
        <v>1</v>
      </c>
      <c r="V121" s="31">
        <v>45805.635416666657</v>
      </c>
      <c r="W121" s="31">
        <v>45833.635416666657</v>
      </c>
      <c r="X121">
        <v>1215.05</v>
      </c>
      <c r="Y121">
        <v>0.84340000000000004</v>
      </c>
      <c r="Z121">
        <v>752.45</v>
      </c>
      <c r="AA121">
        <v>0.99009999999999998</v>
      </c>
      <c r="AB121">
        <v>30069</v>
      </c>
      <c r="AC121" t="s">
        <v>46</v>
      </c>
      <c r="AE121" t="s">
        <v>40</v>
      </c>
      <c r="AF121" t="s">
        <v>51</v>
      </c>
      <c r="AG121">
        <v>24300</v>
      </c>
      <c r="AH121" s="30">
        <v>45806</v>
      </c>
      <c r="AI121" t="s">
        <v>54</v>
      </c>
      <c r="AJ121">
        <v>1</v>
      </c>
      <c r="AK121" s="31">
        <v>45770.635416666657</v>
      </c>
      <c r="AL121" s="31">
        <v>45805.635416666657</v>
      </c>
      <c r="AM121">
        <v>390.7</v>
      </c>
      <c r="AN121">
        <v>-0.43109999999999998</v>
      </c>
      <c r="AO121">
        <v>10.35</v>
      </c>
      <c r="AP121">
        <v>-7.3400000000000007E-2</v>
      </c>
      <c r="AQ121">
        <v>-24722.7</v>
      </c>
      <c r="AR121" t="s">
        <v>46</v>
      </c>
    </row>
    <row r="122" spans="1:44" x14ac:dyDescent="0.3">
      <c r="A122" t="s">
        <v>40</v>
      </c>
      <c r="B122" t="s">
        <v>41</v>
      </c>
      <c r="C122">
        <v>25950</v>
      </c>
      <c r="D122" s="30">
        <v>45841</v>
      </c>
      <c r="E122" t="s">
        <v>43</v>
      </c>
      <c r="F122">
        <v>5</v>
      </c>
      <c r="G122" s="31">
        <v>45833.635416666657</v>
      </c>
      <c r="H122" s="31">
        <v>45840.635416666657</v>
      </c>
      <c r="I122">
        <v>12.9</v>
      </c>
      <c r="J122">
        <v>-6.7500000000000004E-2</v>
      </c>
      <c r="K122">
        <v>2.2000000000000002</v>
      </c>
      <c r="L122">
        <v>-2.4E-2</v>
      </c>
      <c r="M122">
        <v>3477.5</v>
      </c>
      <c r="N122" t="s">
        <v>46</v>
      </c>
      <c r="P122" t="s">
        <v>40</v>
      </c>
      <c r="Q122" t="s">
        <v>41</v>
      </c>
      <c r="R122">
        <v>25500</v>
      </c>
      <c r="S122" s="30">
        <v>45834</v>
      </c>
      <c r="T122" t="s">
        <v>43</v>
      </c>
      <c r="U122">
        <v>5</v>
      </c>
      <c r="V122" s="31">
        <v>45826.635416666657</v>
      </c>
      <c r="W122" s="31">
        <v>45833.635416666657</v>
      </c>
      <c r="X122">
        <v>20.149999999999999</v>
      </c>
      <c r="Y122">
        <v>-9.0999999999999998E-2</v>
      </c>
      <c r="Z122">
        <v>9.8000000000000007</v>
      </c>
      <c r="AA122">
        <v>-0.1045</v>
      </c>
      <c r="AB122">
        <v>3363.7</v>
      </c>
      <c r="AC122" t="s">
        <v>46</v>
      </c>
      <c r="AE122" t="s">
        <v>40</v>
      </c>
      <c r="AF122" t="s">
        <v>41</v>
      </c>
      <c r="AG122">
        <v>25750</v>
      </c>
      <c r="AH122" s="30">
        <v>45806</v>
      </c>
      <c r="AI122" t="s">
        <v>43</v>
      </c>
      <c r="AJ122">
        <v>5</v>
      </c>
      <c r="AK122" s="31">
        <v>45798.635416666657</v>
      </c>
      <c r="AL122" s="31">
        <v>45805.635416666657</v>
      </c>
      <c r="AM122">
        <v>14.85</v>
      </c>
      <c r="AN122">
        <v>-6.08E-2</v>
      </c>
      <c r="AO122">
        <v>1.85</v>
      </c>
      <c r="AP122">
        <v>-1.23E-2</v>
      </c>
      <c r="AQ122">
        <v>4225</v>
      </c>
      <c r="AR122" t="s">
        <v>46</v>
      </c>
    </row>
    <row r="123" spans="1:44" x14ac:dyDescent="0.3">
      <c r="A123" t="s">
        <v>40</v>
      </c>
      <c r="B123" t="s">
        <v>41</v>
      </c>
      <c r="C123">
        <v>26150</v>
      </c>
      <c r="D123" s="30">
        <v>45848</v>
      </c>
      <c r="E123" t="s">
        <v>43</v>
      </c>
      <c r="F123">
        <v>5</v>
      </c>
      <c r="G123" s="31">
        <v>45840.635416666657</v>
      </c>
      <c r="H123" s="31">
        <v>45847.635416666657</v>
      </c>
      <c r="I123">
        <v>13.55</v>
      </c>
      <c r="J123">
        <v>-7.0499999999999993E-2</v>
      </c>
      <c r="K123">
        <v>1.25</v>
      </c>
      <c r="L123">
        <v>-1.24E-2</v>
      </c>
      <c r="M123">
        <v>3997.5</v>
      </c>
      <c r="N123" t="s">
        <v>46</v>
      </c>
      <c r="P123" t="s">
        <v>40</v>
      </c>
      <c r="Q123" t="s">
        <v>41</v>
      </c>
      <c r="R123">
        <v>25950</v>
      </c>
      <c r="S123" s="30">
        <v>45841</v>
      </c>
      <c r="T123" t="s">
        <v>43</v>
      </c>
      <c r="U123">
        <v>5</v>
      </c>
      <c r="V123" s="31">
        <v>45833.635416666657</v>
      </c>
      <c r="W123" s="31">
        <v>45840.635416666657</v>
      </c>
      <c r="X123">
        <v>12.9</v>
      </c>
      <c r="Y123">
        <v>-6.7500000000000004E-2</v>
      </c>
      <c r="Z123">
        <v>2.2000000000000002</v>
      </c>
      <c r="AA123">
        <v>-2.4E-2</v>
      </c>
      <c r="AB123">
        <v>3477.5</v>
      </c>
      <c r="AC123" t="s">
        <v>46</v>
      </c>
      <c r="AE123" t="s">
        <v>40</v>
      </c>
      <c r="AF123" t="s">
        <v>41</v>
      </c>
      <c r="AG123">
        <v>25800</v>
      </c>
      <c r="AH123" s="30">
        <v>45813</v>
      </c>
      <c r="AI123" t="s">
        <v>43</v>
      </c>
      <c r="AJ123">
        <v>5</v>
      </c>
      <c r="AK123" s="31">
        <v>45805.635416666657</v>
      </c>
      <c r="AL123" s="31">
        <v>45812.635416666657</v>
      </c>
      <c r="AM123">
        <v>21</v>
      </c>
      <c r="AN123">
        <v>-7.1099999999999997E-2</v>
      </c>
      <c r="AO123">
        <v>0.85</v>
      </c>
      <c r="AP123">
        <v>-5.7999999999999996E-3</v>
      </c>
      <c r="AQ123">
        <v>6548.7</v>
      </c>
      <c r="AR123" t="s">
        <v>46</v>
      </c>
    </row>
    <row r="124" spans="1:44" x14ac:dyDescent="0.3">
      <c r="A124" t="s">
        <v>40</v>
      </c>
      <c r="B124" t="s">
        <v>41</v>
      </c>
      <c r="C124">
        <v>26100</v>
      </c>
      <c r="D124" s="30">
        <v>45855</v>
      </c>
      <c r="E124" t="s">
        <v>43</v>
      </c>
      <c r="F124">
        <v>5</v>
      </c>
      <c r="G124" s="31">
        <v>45847.635416666657</v>
      </c>
      <c r="H124" s="31">
        <v>45854.635416666657</v>
      </c>
      <c r="I124">
        <v>14.7</v>
      </c>
      <c r="J124">
        <v>-8.0100000000000005E-2</v>
      </c>
      <c r="K124">
        <v>0.65</v>
      </c>
      <c r="L124">
        <v>-5.8999999999999999E-3</v>
      </c>
      <c r="M124">
        <v>4566.2</v>
      </c>
      <c r="N124" t="s">
        <v>46</v>
      </c>
      <c r="P124" t="s">
        <v>40</v>
      </c>
      <c r="Q124" t="s">
        <v>41</v>
      </c>
      <c r="R124">
        <v>26150</v>
      </c>
      <c r="S124" s="30">
        <v>45848</v>
      </c>
      <c r="T124" t="s">
        <v>43</v>
      </c>
      <c r="U124">
        <v>5</v>
      </c>
      <c r="V124" s="31">
        <v>45840.635416666657</v>
      </c>
      <c r="W124" s="31">
        <v>45847.635416666657</v>
      </c>
      <c r="X124">
        <v>13.55</v>
      </c>
      <c r="Y124">
        <v>-7.0499999999999993E-2</v>
      </c>
      <c r="Z124">
        <v>1.25</v>
      </c>
      <c r="AA124">
        <v>-1.24E-2</v>
      </c>
      <c r="AB124">
        <v>3997.5</v>
      </c>
      <c r="AC124" t="s">
        <v>46</v>
      </c>
      <c r="AE124" t="s">
        <v>40</v>
      </c>
      <c r="AF124" t="s">
        <v>41</v>
      </c>
      <c r="AG124">
        <v>25450</v>
      </c>
      <c r="AH124" s="30">
        <v>45820</v>
      </c>
      <c r="AI124" t="s">
        <v>43</v>
      </c>
      <c r="AJ124">
        <v>5</v>
      </c>
      <c r="AK124" s="31">
        <v>45812.635416666657</v>
      </c>
      <c r="AL124" s="31">
        <v>45819.635416666657</v>
      </c>
      <c r="AM124">
        <v>21.55</v>
      </c>
      <c r="AN124">
        <v>-8.3900000000000002E-2</v>
      </c>
      <c r="AO124">
        <v>7.15</v>
      </c>
      <c r="AP124">
        <v>-7.6100000000000001E-2</v>
      </c>
      <c r="AQ124">
        <v>4680</v>
      </c>
      <c r="AR124" t="s">
        <v>46</v>
      </c>
    </row>
    <row r="125" spans="1:44" x14ac:dyDescent="0.3">
      <c r="A125" t="s">
        <v>40</v>
      </c>
      <c r="B125" t="s">
        <v>41</v>
      </c>
      <c r="C125">
        <v>25750</v>
      </c>
      <c r="D125" s="30">
        <v>45862</v>
      </c>
      <c r="E125" t="s">
        <v>43</v>
      </c>
      <c r="F125">
        <v>5</v>
      </c>
      <c r="G125" s="31">
        <v>45854.635416666657</v>
      </c>
      <c r="H125" s="31">
        <v>45861.635416666657</v>
      </c>
      <c r="I125">
        <v>14.4</v>
      </c>
      <c r="J125">
        <v>-8.6499999999999994E-2</v>
      </c>
      <c r="K125">
        <v>0.9</v>
      </c>
      <c r="L125">
        <v>-1.1599999999999999E-2</v>
      </c>
      <c r="M125">
        <v>4387.5</v>
      </c>
      <c r="N125" t="s">
        <v>46</v>
      </c>
      <c r="P125" t="s">
        <v>40</v>
      </c>
      <c r="Q125" t="s">
        <v>41</v>
      </c>
      <c r="R125">
        <v>26100</v>
      </c>
      <c r="S125" s="30">
        <v>45855</v>
      </c>
      <c r="T125" t="s">
        <v>43</v>
      </c>
      <c r="U125">
        <v>5</v>
      </c>
      <c r="V125" s="31">
        <v>45847.635416666657</v>
      </c>
      <c r="W125" s="31">
        <v>45854.635416666657</v>
      </c>
      <c r="X125">
        <v>14.7</v>
      </c>
      <c r="Y125">
        <v>-8.0100000000000005E-2</v>
      </c>
      <c r="Z125">
        <v>0.65</v>
      </c>
      <c r="AA125">
        <v>-5.8999999999999999E-3</v>
      </c>
      <c r="AB125">
        <v>4566.2</v>
      </c>
      <c r="AC125" t="s">
        <v>46</v>
      </c>
      <c r="AE125" t="s">
        <v>40</v>
      </c>
      <c r="AF125" t="s">
        <v>41</v>
      </c>
      <c r="AG125">
        <v>25750</v>
      </c>
      <c r="AH125" s="30">
        <v>45827</v>
      </c>
      <c r="AI125" t="s">
        <v>43</v>
      </c>
      <c r="AJ125">
        <v>5</v>
      </c>
      <c r="AK125" s="31">
        <v>45819.635416666657</v>
      </c>
      <c r="AL125" s="31">
        <v>45826.635416666657</v>
      </c>
      <c r="AM125">
        <v>19.2</v>
      </c>
      <c r="AN125">
        <v>-9.5799999999999996E-2</v>
      </c>
      <c r="AO125">
        <v>1.05</v>
      </c>
      <c r="AP125">
        <v>-8.3000000000000001E-3</v>
      </c>
      <c r="AQ125">
        <v>5898.7</v>
      </c>
      <c r="AR125" t="s">
        <v>46</v>
      </c>
    </row>
    <row r="126" spans="1:44" x14ac:dyDescent="0.3">
      <c r="A126" t="s">
        <v>40</v>
      </c>
      <c r="B126" t="s">
        <v>51</v>
      </c>
      <c r="C126">
        <v>25250</v>
      </c>
      <c r="D126" s="30">
        <v>45869</v>
      </c>
      <c r="E126" t="s">
        <v>54</v>
      </c>
      <c r="F126">
        <v>1</v>
      </c>
      <c r="G126" s="31">
        <v>45833.635416666657</v>
      </c>
      <c r="H126" s="31">
        <v>45868.635416666657</v>
      </c>
      <c r="I126">
        <v>344</v>
      </c>
      <c r="J126">
        <v>-0.43209999999999998</v>
      </c>
      <c r="K126">
        <v>380.25</v>
      </c>
      <c r="L126">
        <v>-0.96109999999999995</v>
      </c>
      <c r="M126">
        <v>2356.1999999999998</v>
      </c>
      <c r="N126" t="s">
        <v>46</v>
      </c>
      <c r="P126" t="s">
        <v>40</v>
      </c>
      <c r="Q126" t="s">
        <v>41</v>
      </c>
      <c r="R126">
        <v>25750</v>
      </c>
      <c r="S126" s="30">
        <v>45862</v>
      </c>
      <c r="T126" t="s">
        <v>43</v>
      </c>
      <c r="U126">
        <v>5</v>
      </c>
      <c r="V126" s="31">
        <v>45854.635416666657</v>
      </c>
      <c r="W126" s="31">
        <v>45861.635416666657</v>
      </c>
      <c r="X126">
        <v>14.4</v>
      </c>
      <c r="Y126">
        <v>-8.6499999999999994E-2</v>
      </c>
      <c r="Z126">
        <v>0.9</v>
      </c>
      <c r="AA126">
        <v>-1.1599999999999999E-2</v>
      </c>
      <c r="AB126">
        <v>4387.5</v>
      </c>
      <c r="AC126" t="s">
        <v>46</v>
      </c>
      <c r="AE126" t="s">
        <v>40</v>
      </c>
      <c r="AF126" t="s">
        <v>51</v>
      </c>
      <c r="AG126">
        <v>26000</v>
      </c>
      <c r="AH126" s="30">
        <v>45834</v>
      </c>
      <c r="AI126" t="s">
        <v>43</v>
      </c>
      <c r="AJ126">
        <v>1</v>
      </c>
      <c r="AK126" s="31">
        <v>45805.635416666657</v>
      </c>
      <c r="AL126" s="31">
        <v>45833.635416666657</v>
      </c>
      <c r="AM126">
        <v>1215.05</v>
      </c>
      <c r="AN126">
        <v>0.84340000000000004</v>
      </c>
      <c r="AO126">
        <v>752.45</v>
      </c>
      <c r="AP126">
        <v>0.99009999999999998</v>
      </c>
      <c r="AQ126">
        <v>30069</v>
      </c>
      <c r="AR126" t="s">
        <v>46</v>
      </c>
    </row>
    <row r="127" spans="1:44" x14ac:dyDescent="0.3">
      <c r="A127" t="s">
        <v>40</v>
      </c>
      <c r="B127" t="s">
        <v>51</v>
      </c>
      <c r="C127">
        <v>26000</v>
      </c>
      <c r="D127" s="30">
        <v>45869</v>
      </c>
      <c r="E127" t="s">
        <v>43</v>
      </c>
      <c r="F127">
        <v>1</v>
      </c>
      <c r="G127" s="31">
        <v>45833.635416666657</v>
      </c>
      <c r="H127" s="31">
        <v>45868.635416666657</v>
      </c>
      <c r="I127">
        <v>773.95</v>
      </c>
      <c r="J127">
        <v>0.74</v>
      </c>
      <c r="K127">
        <v>1125</v>
      </c>
      <c r="L127">
        <v>0.99429999999999996</v>
      </c>
      <c r="M127">
        <v>-22818.2</v>
      </c>
      <c r="N127" t="s">
        <v>46</v>
      </c>
      <c r="P127" t="s">
        <v>40</v>
      </c>
      <c r="Q127" t="s">
        <v>51</v>
      </c>
      <c r="R127">
        <v>25250</v>
      </c>
      <c r="S127" s="30">
        <v>45869</v>
      </c>
      <c r="T127" t="s">
        <v>54</v>
      </c>
      <c r="U127">
        <v>1</v>
      </c>
      <c r="V127" s="31">
        <v>45833.635416666657</v>
      </c>
      <c r="W127" s="31">
        <v>45868.635416666657</v>
      </c>
      <c r="X127">
        <v>344</v>
      </c>
      <c r="Y127">
        <v>-0.43209999999999998</v>
      </c>
      <c r="Z127">
        <v>380.25</v>
      </c>
      <c r="AA127">
        <v>-0.96109999999999995</v>
      </c>
      <c r="AB127">
        <v>2356.1999999999998</v>
      </c>
      <c r="AC127" t="s">
        <v>46</v>
      </c>
      <c r="AE127" t="s">
        <v>40</v>
      </c>
      <c r="AF127" t="s">
        <v>51</v>
      </c>
      <c r="AG127">
        <v>24750</v>
      </c>
      <c r="AH127" s="30">
        <v>45834</v>
      </c>
      <c r="AI127" t="s">
        <v>54</v>
      </c>
      <c r="AJ127">
        <v>1</v>
      </c>
      <c r="AK127" s="31">
        <v>45805.635416666657</v>
      </c>
      <c r="AL127" s="31">
        <v>45833.635416666657</v>
      </c>
      <c r="AM127">
        <v>406.1</v>
      </c>
      <c r="AN127">
        <v>-0.44840000000000002</v>
      </c>
      <c r="AO127">
        <v>6.5</v>
      </c>
      <c r="AP127">
        <v>-5.0099999999999999E-2</v>
      </c>
      <c r="AQ127">
        <v>-25974</v>
      </c>
      <c r="AR127" t="s">
        <v>46</v>
      </c>
    </row>
    <row r="128" spans="1:44" x14ac:dyDescent="0.3">
      <c r="A128" t="s">
        <v>40</v>
      </c>
      <c r="B128" t="s">
        <v>41</v>
      </c>
      <c r="C128">
        <v>25750</v>
      </c>
      <c r="D128" s="30">
        <v>45869</v>
      </c>
      <c r="E128" t="s">
        <v>43</v>
      </c>
      <c r="F128">
        <v>5</v>
      </c>
      <c r="G128" s="31">
        <v>45861.635416666657</v>
      </c>
      <c r="H128" s="31">
        <v>45868.635416666657</v>
      </c>
      <c r="I128">
        <v>14.05</v>
      </c>
      <c r="J128">
        <v>-8.6999999999999994E-2</v>
      </c>
      <c r="K128">
        <v>0.95</v>
      </c>
      <c r="L128">
        <v>-8.0000000000000002E-3</v>
      </c>
      <c r="M128">
        <v>4257.5</v>
      </c>
      <c r="N128" t="s">
        <v>46</v>
      </c>
      <c r="P128" t="s">
        <v>40</v>
      </c>
      <c r="Q128" t="s">
        <v>51</v>
      </c>
      <c r="R128">
        <v>26100</v>
      </c>
      <c r="S128" s="30">
        <v>45869</v>
      </c>
      <c r="T128" t="s">
        <v>43</v>
      </c>
      <c r="U128">
        <v>1</v>
      </c>
      <c r="V128" s="31">
        <v>45833.635416666657</v>
      </c>
      <c r="W128" s="31">
        <v>45868.635416666657</v>
      </c>
      <c r="X128">
        <v>850.5</v>
      </c>
      <c r="Y128">
        <v>0.77459999999999996</v>
      </c>
      <c r="Z128">
        <v>1228</v>
      </c>
      <c r="AA128">
        <v>0.99460000000000004</v>
      </c>
      <c r="AB128">
        <v>-24537.5</v>
      </c>
      <c r="AC128" t="s">
        <v>46</v>
      </c>
      <c r="AE128" t="s">
        <v>40</v>
      </c>
      <c r="AF128" t="s">
        <v>41</v>
      </c>
      <c r="AG128">
        <v>25500</v>
      </c>
      <c r="AH128" s="30">
        <v>45834</v>
      </c>
      <c r="AI128" t="s">
        <v>43</v>
      </c>
      <c r="AJ128">
        <v>5</v>
      </c>
      <c r="AK128" s="31">
        <v>45826.635416666657</v>
      </c>
      <c r="AL128" s="31">
        <v>45833.635416666657</v>
      </c>
      <c r="AM128">
        <v>20.149999999999999</v>
      </c>
      <c r="AN128">
        <v>-9.0999999999999998E-2</v>
      </c>
      <c r="AO128">
        <v>9.8000000000000007</v>
      </c>
      <c r="AP128">
        <v>-0.1045</v>
      </c>
      <c r="AQ128">
        <v>3363.7</v>
      </c>
      <c r="AR128" t="s">
        <v>46</v>
      </c>
    </row>
    <row r="129" spans="1:44" x14ac:dyDescent="0.3">
      <c r="A129" t="s">
        <v>40</v>
      </c>
      <c r="B129" t="s">
        <v>41</v>
      </c>
      <c r="C129">
        <v>25550</v>
      </c>
      <c r="D129" s="30">
        <v>45876</v>
      </c>
      <c r="E129" t="s">
        <v>43</v>
      </c>
      <c r="F129">
        <v>5</v>
      </c>
      <c r="G129" s="31">
        <v>45868.635416666657</v>
      </c>
      <c r="H129" s="31">
        <v>45875.635416666657</v>
      </c>
      <c r="I129">
        <v>11.25</v>
      </c>
      <c r="J129">
        <v>-6.2199999999999998E-2</v>
      </c>
      <c r="K129">
        <v>0.75</v>
      </c>
      <c r="L129">
        <v>-6.1000000000000004E-3</v>
      </c>
      <c r="M129">
        <v>3412.5</v>
      </c>
      <c r="N129" t="s">
        <v>46</v>
      </c>
      <c r="P129" t="s">
        <v>40</v>
      </c>
      <c r="Q129" t="s">
        <v>41</v>
      </c>
      <c r="R129">
        <v>25750</v>
      </c>
      <c r="S129" s="30">
        <v>45869</v>
      </c>
      <c r="T129" t="s">
        <v>43</v>
      </c>
      <c r="U129">
        <v>5</v>
      </c>
      <c r="V129" s="31">
        <v>45861.635416666657</v>
      </c>
      <c r="W129" s="31">
        <v>45868.635416666657</v>
      </c>
      <c r="X129">
        <v>14.05</v>
      </c>
      <c r="Y129">
        <v>-8.6999999999999994E-2</v>
      </c>
      <c r="Z129">
        <v>0.95</v>
      </c>
      <c r="AA129">
        <v>-8.0000000000000002E-3</v>
      </c>
      <c r="AB129">
        <v>4257.5</v>
      </c>
      <c r="AC129" t="s">
        <v>46</v>
      </c>
      <c r="AE129" t="s">
        <v>40</v>
      </c>
      <c r="AF129" t="s">
        <v>41</v>
      </c>
      <c r="AG129">
        <v>25950</v>
      </c>
      <c r="AH129" s="30">
        <v>45841</v>
      </c>
      <c r="AI129" t="s">
        <v>43</v>
      </c>
      <c r="AJ129">
        <v>5</v>
      </c>
      <c r="AK129" s="31">
        <v>45833.635416666657</v>
      </c>
      <c r="AL129" s="31">
        <v>45840.635416666657</v>
      </c>
      <c r="AM129">
        <v>12.9</v>
      </c>
      <c r="AN129">
        <v>-6.7500000000000004E-2</v>
      </c>
      <c r="AO129">
        <v>2.2000000000000002</v>
      </c>
      <c r="AP129">
        <v>-2.4E-2</v>
      </c>
      <c r="AQ129">
        <v>3477.5</v>
      </c>
      <c r="AR129" t="s">
        <v>46</v>
      </c>
    </row>
    <row r="130" spans="1:44" x14ac:dyDescent="0.3">
      <c r="A130" t="s">
        <v>40</v>
      </c>
      <c r="B130" t="s">
        <v>41</v>
      </c>
      <c r="C130">
        <v>25200</v>
      </c>
      <c r="D130" s="30">
        <v>45883</v>
      </c>
      <c r="E130" t="s">
        <v>43</v>
      </c>
      <c r="F130">
        <v>5</v>
      </c>
      <c r="G130" s="31">
        <v>45875.635416666657</v>
      </c>
      <c r="H130" s="31">
        <v>45882.635416666657</v>
      </c>
      <c r="I130">
        <v>11.95</v>
      </c>
      <c r="J130">
        <v>-6.9199999999999998E-2</v>
      </c>
      <c r="K130">
        <v>0.8</v>
      </c>
      <c r="L130">
        <v>-9.7999999999999997E-3</v>
      </c>
      <c r="M130">
        <v>3623.7</v>
      </c>
      <c r="N130" t="s">
        <v>46</v>
      </c>
      <c r="P130" t="s">
        <v>40</v>
      </c>
      <c r="Q130" t="s">
        <v>41</v>
      </c>
      <c r="R130">
        <v>25550</v>
      </c>
      <c r="S130" s="30">
        <v>45876</v>
      </c>
      <c r="T130" t="s">
        <v>43</v>
      </c>
      <c r="U130">
        <v>5</v>
      </c>
      <c r="V130" s="31">
        <v>45868.635416666657</v>
      </c>
      <c r="W130" s="31">
        <v>45875.635416666657</v>
      </c>
      <c r="X130">
        <v>11.25</v>
      </c>
      <c r="Y130">
        <v>-6.2199999999999998E-2</v>
      </c>
      <c r="Z130">
        <v>0.75</v>
      </c>
      <c r="AA130">
        <v>-6.1000000000000004E-3</v>
      </c>
      <c r="AB130">
        <v>3412.5</v>
      </c>
      <c r="AC130" t="s">
        <v>46</v>
      </c>
      <c r="AE130" t="s">
        <v>40</v>
      </c>
      <c r="AF130" t="s">
        <v>41</v>
      </c>
      <c r="AG130">
        <v>26150</v>
      </c>
      <c r="AH130" s="30">
        <v>45848</v>
      </c>
      <c r="AI130" t="s">
        <v>43</v>
      </c>
      <c r="AJ130">
        <v>5</v>
      </c>
      <c r="AK130" s="31">
        <v>45840.635416666657</v>
      </c>
      <c r="AL130" s="31">
        <v>45847.635416666657</v>
      </c>
      <c r="AM130">
        <v>13.55</v>
      </c>
      <c r="AN130">
        <v>-7.0499999999999993E-2</v>
      </c>
      <c r="AO130">
        <v>1.25</v>
      </c>
      <c r="AP130">
        <v>-1.24E-2</v>
      </c>
      <c r="AQ130">
        <v>3997.5</v>
      </c>
      <c r="AR130" t="s">
        <v>46</v>
      </c>
    </row>
    <row r="131" spans="1:44" x14ac:dyDescent="0.3">
      <c r="A131" t="s">
        <v>40</v>
      </c>
      <c r="B131" t="s">
        <v>41</v>
      </c>
      <c r="C131">
        <v>25250</v>
      </c>
      <c r="D131" s="30">
        <v>45890</v>
      </c>
      <c r="E131" t="s">
        <v>43</v>
      </c>
      <c r="F131">
        <v>5</v>
      </c>
      <c r="G131" s="31">
        <v>45882.635416666657</v>
      </c>
      <c r="H131" s="31">
        <v>45889.635416666657</v>
      </c>
      <c r="I131">
        <v>10.8</v>
      </c>
      <c r="J131">
        <v>-6.4600000000000005E-2</v>
      </c>
      <c r="K131">
        <v>6.65</v>
      </c>
      <c r="L131">
        <v>-9.4200000000000006E-2</v>
      </c>
      <c r="M131">
        <v>1348.8</v>
      </c>
      <c r="N131" t="s">
        <v>46</v>
      </c>
      <c r="P131" t="s">
        <v>40</v>
      </c>
      <c r="Q131" t="s">
        <v>41</v>
      </c>
      <c r="R131">
        <v>25200</v>
      </c>
      <c r="S131" s="30">
        <v>45883</v>
      </c>
      <c r="T131" t="s">
        <v>43</v>
      </c>
      <c r="U131">
        <v>5</v>
      </c>
      <c r="V131" s="31">
        <v>45875.635416666657</v>
      </c>
      <c r="W131" s="31">
        <v>45882.635416666657</v>
      </c>
      <c r="X131">
        <v>11.95</v>
      </c>
      <c r="Y131">
        <v>-6.9199999999999998E-2</v>
      </c>
      <c r="Z131">
        <v>0.8</v>
      </c>
      <c r="AA131">
        <v>-9.7999999999999997E-3</v>
      </c>
      <c r="AB131">
        <v>3623.7</v>
      </c>
      <c r="AC131" t="s">
        <v>46</v>
      </c>
      <c r="AE131" t="s">
        <v>40</v>
      </c>
      <c r="AF131" t="s">
        <v>41</v>
      </c>
      <c r="AG131">
        <v>26100</v>
      </c>
      <c r="AH131" s="30">
        <v>45855</v>
      </c>
      <c r="AI131" t="s">
        <v>43</v>
      </c>
      <c r="AJ131">
        <v>5</v>
      </c>
      <c r="AK131" s="31">
        <v>45847.635416666657</v>
      </c>
      <c r="AL131" s="31">
        <v>45854.635416666657</v>
      </c>
      <c r="AM131">
        <v>14.7</v>
      </c>
      <c r="AN131">
        <v>-8.0100000000000005E-2</v>
      </c>
      <c r="AO131">
        <v>0.65</v>
      </c>
      <c r="AP131">
        <v>-5.8999999999999999E-3</v>
      </c>
      <c r="AQ131">
        <v>4566.2</v>
      </c>
      <c r="AR131" t="s">
        <v>46</v>
      </c>
    </row>
    <row r="132" spans="1:44" x14ac:dyDescent="0.3">
      <c r="A132" t="s">
        <v>40</v>
      </c>
      <c r="B132" t="s">
        <v>51</v>
      </c>
      <c r="C132">
        <v>24850</v>
      </c>
      <c r="D132" s="30">
        <v>45897</v>
      </c>
      <c r="E132" t="s">
        <v>54</v>
      </c>
      <c r="F132">
        <v>1</v>
      </c>
      <c r="G132" s="31">
        <v>45868.635416666657</v>
      </c>
      <c r="H132" s="31">
        <v>45895.635416666657</v>
      </c>
      <c r="I132">
        <v>241.95</v>
      </c>
      <c r="J132">
        <v>-0.4239</v>
      </c>
      <c r="K132">
        <v>146.75</v>
      </c>
      <c r="L132">
        <v>-0.74260000000000004</v>
      </c>
      <c r="M132">
        <v>-6188</v>
      </c>
      <c r="N132" t="s">
        <v>46</v>
      </c>
      <c r="P132" t="s">
        <v>40</v>
      </c>
      <c r="Q132" t="s">
        <v>41</v>
      </c>
      <c r="R132">
        <v>25250</v>
      </c>
      <c r="S132" s="30">
        <v>45890</v>
      </c>
      <c r="T132" t="s">
        <v>43</v>
      </c>
      <c r="U132">
        <v>5</v>
      </c>
      <c r="V132" s="31">
        <v>45882.635416666657</v>
      </c>
      <c r="W132" s="31">
        <v>45889.635416666657</v>
      </c>
      <c r="X132">
        <v>10.8</v>
      </c>
      <c r="Y132">
        <v>-6.4600000000000005E-2</v>
      </c>
      <c r="Z132">
        <v>6.65</v>
      </c>
      <c r="AA132">
        <v>-9.4200000000000006E-2</v>
      </c>
      <c r="AB132">
        <v>1348.8</v>
      </c>
      <c r="AC132" t="s">
        <v>46</v>
      </c>
      <c r="AE132" t="s">
        <v>40</v>
      </c>
      <c r="AF132" t="s">
        <v>41</v>
      </c>
      <c r="AG132">
        <v>25750</v>
      </c>
      <c r="AH132" s="30">
        <v>45862</v>
      </c>
      <c r="AI132" t="s">
        <v>43</v>
      </c>
      <c r="AJ132">
        <v>5</v>
      </c>
      <c r="AK132" s="31">
        <v>45854.635416666657</v>
      </c>
      <c r="AL132" s="31">
        <v>45861.635416666657</v>
      </c>
      <c r="AM132">
        <v>14.4</v>
      </c>
      <c r="AN132">
        <v>-8.6499999999999994E-2</v>
      </c>
      <c r="AO132">
        <v>0.9</v>
      </c>
      <c r="AP132">
        <v>-1.1599999999999999E-2</v>
      </c>
      <c r="AQ132">
        <v>4387.5</v>
      </c>
      <c r="AR132" t="s">
        <v>46</v>
      </c>
    </row>
    <row r="133" spans="1:44" x14ac:dyDescent="0.3">
      <c r="A133" t="s">
        <v>40</v>
      </c>
      <c r="B133" t="s">
        <v>51</v>
      </c>
      <c r="C133">
        <v>25500</v>
      </c>
      <c r="D133" s="30">
        <v>45897</v>
      </c>
      <c r="E133" t="s">
        <v>43</v>
      </c>
      <c r="F133">
        <v>1</v>
      </c>
      <c r="G133" s="31">
        <v>45868.635416666657</v>
      </c>
      <c r="H133" s="31">
        <v>45895.635416666657</v>
      </c>
      <c r="I133">
        <v>623.54999999999995</v>
      </c>
      <c r="J133">
        <v>0.76500000000000001</v>
      </c>
      <c r="K133">
        <v>769.1</v>
      </c>
      <c r="L133">
        <v>0.98460000000000003</v>
      </c>
      <c r="M133">
        <v>-9460.7999999999993</v>
      </c>
      <c r="N133" t="s">
        <v>46</v>
      </c>
      <c r="P133" t="s">
        <v>40</v>
      </c>
      <c r="Q133" t="s">
        <v>51</v>
      </c>
      <c r="R133">
        <v>24850</v>
      </c>
      <c r="S133" s="30">
        <v>45897</v>
      </c>
      <c r="T133" t="s">
        <v>54</v>
      </c>
      <c r="U133">
        <v>1</v>
      </c>
      <c r="V133" s="31">
        <v>45868.635416666657</v>
      </c>
      <c r="W133" s="31">
        <v>45895.635416666657</v>
      </c>
      <c r="X133">
        <v>241.95</v>
      </c>
      <c r="Y133">
        <v>-0.4239</v>
      </c>
      <c r="Z133">
        <v>146.75</v>
      </c>
      <c r="AA133">
        <v>-0.74260000000000004</v>
      </c>
      <c r="AB133">
        <v>-6188</v>
      </c>
      <c r="AC133" t="s">
        <v>46</v>
      </c>
      <c r="AE133" t="s">
        <v>40</v>
      </c>
      <c r="AF133" t="s">
        <v>51</v>
      </c>
      <c r="AG133">
        <v>26100</v>
      </c>
      <c r="AH133" s="30">
        <v>45869</v>
      </c>
      <c r="AI133" t="s">
        <v>43</v>
      </c>
      <c r="AJ133">
        <v>1</v>
      </c>
      <c r="AK133" s="31">
        <v>45833.635416666657</v>
      </c>
      <c r="AL133" s="31">
        <v>45868.635416666657</v>
      </c>
      <c r="AM133">
        <v>850.5</v>
      </c>
      <c r="AN133">
        <v>0.77459999999999996</v>
      </c>
      <c r="AO133">
        <v>1228</v>
      </c>
      <c r="AP133">
        <v>0.99460000000000004</v>
      </c>
      <c r="AQ133">
        <v>-24537.5</v>
      </c>
      <c r="AR133" t="s">
        <v>46</v>
      </c>
    </row>
    <row r="134" spans="1:44" x14ac:dyDescent="0.3">
      <c r="A134" t="s">
        <v>40</v>
      </c>
      <c r="B134" t="s">
        <v>41</v>
      </c>
      <c r="C134">
        <v>25600</v>
      </c>
      <c r="D134" s="30">
        <v>45897</v>
      </c>
      <c r="E134" t="s">
        <v>43</v>
      </c>
      <c r="F134">
        <v>5</v>
      </c>
      <c r="G134" s="31">
        <v>45889.635416666657</v>
      </c>
      <c r="H134" s="31">
        <v>45895.635416666657</v>
      </c>
      <c r="I134">
        <v>13.1</v>
      </c>
      <c r="J134">
        <v>-0.08</v>
      </c>
      <c r="K134">
        <v>1.85</v>
      </c>
      <c r="L134">
        <v>-1.35E-2</v>
      </c>
      <c r="M134">
        <v>3656.2</v>
      </c>
      <c r="N134" t="s">
        <v>46</v>
      </c>
      <c r="P134" t="s">
        <v>40</v>
      </c>
      <c r="Q134" t="s">
        <v>51</v>
      </c>
      <c r="R134">
        <v>25500</v>
      </c>
      <c r="S134" s="30">
        <v>45897</v>
      </c>
      <c r="T134" t="s">
        <v>43</v>
      </c>
      <c r="U134">
        <v>1</v>
      </c>
      <c r="V134" s="31">
        <v>45868.635416666657</v>
      </c>
      <c r="W134" s="31">
        <v>45895.635416666657</v>
      </c>
      <c r="X134">
        <v>623.54999999999995</v>
      </c>
      <c r="Y134">
        <v>0.76500000000000001</v>
      </c>
      <c r="Z134">
        <v>769.1</v>
      </c>
      <c r="AA134">
        <v>0.98460000000000003</v>
      </c>
      <c r="AB134">
        <v>-9460.7999999999993</v>
      </c>
      <c r="AC134" t="s">
        <v>46</v>
      </c>
      <c r="AE134" t="s">
        <v>40</v>
      </c>
      <c r="AF134" t="s">
        <v>51</v>
      </c>
      <c r="AG134">
        <v>25250</v>
      </c>
      <c r="AH134" s="30">
        <v>45869</v>
      </c>
      <c r="AI134" t="s">
        <v>54</v>
      </c>
      <c r="AJ134">
        <v>1</v>
      </c>
      <c r="AK134" s="31">
        <v>45833.635416666657</v>
      </c>
      <c r="AL134" s="31">
        <v>45868.635416666657</v>
      </c>
      <c r="AM134">
        <v>344</v>
      </c>
      <c r="AN134">
        <v>-0.43209999999999998</v>
      </c>
      <c r="AO134">
        <v>380.25</v>
      </c>
      <c r="AP134">
        <v>-0.96109999999999995</v>
      </c>
      <c r="AQ134">
        <v>2356.1999999999998</v>
      </c>
      <c r="AR134" t="s">
        <v>46</v>
      </c>
    </row>
    <row r="135" spans="1:44" x14ac:dyDescent="0.3">
      <c r="A135" t="s">
        <v>40</v>
      </c>
      <c r="B135" t="s">
        <v>41</v>
      </c>
      <c r="C135">
        <v>25400</v>
      </c>
      <c r="D135" s="30">
        <v>45902</v>
      </c>
      <c r="E135" t="s">
        <v>43</v>
      </c>
      <c r="F135">
        <v>5</v>
      </c>
      <c r="G135" s="31">
        <v>45895.635416666657</v>
      </c>
      <c r="H135" s="31">
        <v>45901.635416666657</v>
      </c>
      <c r="I135">
        <v>9.8000000000000007</v>
      </c>
      <c r="J135">
        <v>-5.6399999999999999E-2</v>
      </c>
      <c r="K135">
        <v>0.6</v>
      </c>
      <c r="L135">
        <v>-6.1999999999999998E-3</v>
      </c>
      <c r="M135">
        <v>2990</v>
      </c>
      <c r="N135" t="s">
        <v>46</v>
      </c>
      <c r="P135" t="s">
        <v>40</v>
      </c>
      <c r="Q135" t="s">
        <v>41</v>
      </c>
      <c r="R135">
        <v>25600</v>
      </c>
      <c r="S135" s="30">
        <v>45897</v>
      </c>
      <c r="T135" t="s">
        <v>43</v>
      </c>
      <c r="U135">
        <v>5</v>
      </c>
      <c r="V135" s="31">
        <v>45889.635416666657</v>
      </c>
      <c r="W135" s="31">
        <v>45895.635416666657</v>
      </c>
      <c r="X135">
        <v>13.1</v>
      </c>
      <c r="Y135">
        <v>-0.08</v>
      </c>
      <c r="Z135">
        <v>1.85</v>
      </c>
      <c r="AA135">
        <v>-1.35E-2</v>
      </c>
      <c r="AB135">
        <v>3656.2</v>
      </c>
      <c r="AC135" t="s">
        <v>46</v>
      </c>
      <c r="AE135" t="s">
        <v>40</v>
      </c>
      <c r="AF135" t="s">
        <v>41</v>
      </c>
      <c r="AG135">
        <v>25750</v>
      </c>
      <c r="AH135" s="30">
        <v>45869</v>
      </c>
      <c r="AI135" t="s">
        <v>43</v>
      </c>
      <c r="AJ135">
        <v>5</v>
      </c>
      <c r="AK135" s="31">
        <v>45861.635416666657</v>
      </c>
      <c r="AL135" s="31">
        <v>45868.635416666657</v>
      </c>
      <c r="AM135">
        <v>14.05</v>
      </c>
      <c r="AN135">
        <v>-8.6999999999999994E-2</v>
      </c>
      <c r="AO135">
        <v>0.95</v>
      </c>
      <c r="AP135">
        <v>-8.0000000000000002E-3</v>
      </c>
      <c r="AQ135">
        <v>4257.5</v>
      </c>
      <c r="AR135" t="s">
        <v>46</v>
      </c>
    </row>
    <row r="136" spans="1:44" x14ac:dyDescent="0.3">
      <c r="A136" t="s">
        <v>40</v>
      </c>
      <c r="B136" t="s">
        <v>41</v>
      </c>
      <c r="C136">
        <v>25200</v>
      </c>
      <c r="D136" s="30">
        <v>45909</v>
      </c>
      <c r="E136" t="s">
        <v>43</v>
      </c>
      <c r="F136">
        <v>5</v>
      </c>
      <c r="G136" s="31">
        <v>45901.635416666657</v>
      </c>
      <c r="H136" s="31">
        <v>45908.635416666657</v>
      </c>
      <c r="I136">
        <v>10.25</v>
      </c>
      <c r="J136">
        <v>-6.6500000000000004E-2</v>
      </c>
      <c r="K136">
        <v>2.2000000000000002</v>
      </c>
      <c r="L136">
        <v>-2.64E-2</v>
      </c>
      <c r="M136">
        <v>2616.3000000000002</v>
      </c>
      <c r="N136" t="s">
        <v>46</v>
      </c>
      <c r="P136" t="s">
        <v>40</v>
      </c>
      <c r="Q136" t="s">
        <v>41</v>
      </c>
      <c r="R136">
        <v>25400</v>
      </c>
      <c r="S136" s="30">
        <v>45902</v>
      </c>
      <c r="T136" t="s">
        <v>43</v>
      </c>
      <c r="U136">
        <v>5</v>
      </c>
      <c r="V136" s="31">
        <v>45895.635416666657</v>
      </c>
      <c r="W136" s="31">
        <v>45901.635416666657</v>
      </c>
      <c r="X136">
        <v>9.8000000000000007</v>
      </c>
      <c r="Y136">
        <v>-5.6399999999999999E-2</v>
      </c>
      <c r="Z136">
        <v>0.6</v>
      </c>
      <c r="AA136">
        <v>-6.1999999999999998E-3</v>
      </c>
      <c r="AB136">
        <v>2990</v>
      </c>
      <c r="AC136" t="s">
        <v>46</v>
      </c>
      <c r="AE136" t="s">
        <v>40</v>
      </c>
      <c r="AF136" t="s">
        <v>41</v>
      </c>
      <c r="AG136">
        <v>25550</v>
      </c>
      <c r="AH136" s="30">
        <v>45876</v>
      </c>
      <c r="AI136" t="s">
        <v>43</v>
      </c>
      <c r="AJ136">
        <v>5</v>
      </c>
      <c r="AK136" s="31">
        <v>45868.635416666657</v>
      </c>
      <c r="AL136" s="31">
        <v>45875.635416666657</v>
      </c>
      <c r="AM136">
        <v>11.25</v>
      </c>
      <c r="AN136">
        <v>-6.2199999999999998E-2</v>
      </c>
      <c r="AO136">
        <v>0.75</v>
      </c>
      <c r="AP136">
        <v>-6.1000000000000004E-3</v>
      </c>
      <c r="AQ136">
        <v>3412.5</v>
      </c>
      <c r="AR136" t="s">
        <v>46</v>
      </c>
    </row>
    <row r="137" spans="1:44" x14ac:dyDescent="0.3">
      <c r="A137" t="s">
        <v>40</v>
      </c>
      <c r="B137" t="s">
        <v>41</v>
      </c>
      <c r="C137">
        <v>25400</v>
      </c>
      <c r="D137" s="30">
        <v>45916</v>
      </c>
      <c r="E137" t="s">
        <v>43</v>
      </c>
      <c r="F137">
        <v>5</v>
      </c>
      <c r="G137" s="31">
        <v>45908.635416666657</v>
      </c>
      <c r="H137" s="31">
        <v>45915.635416666657</v>
      </c>
      <c r="I137">
        <v>9.85</v>
      </c>
      <c r="J137">
        <v>-6.0499999999999998E-2</v>
      </c>
      <c r="K137">
        <v>2.65</v>
      </c>
      <c r="L137">
        <v>-3.6499999999999998E-2</v>
      </c>
      <c r="M137">
        <v>2340</v>
      </c>
      <c r="N137" t="s">
        <v>46</v>
      </c>
      <c r="P137" t="s">
        <v>40</v>
      </c>
      <c r="Q137" t="s">
        <v>41</v>
      </c>
      <c r="R137">
        <v>25200</v>
      </c>
      <c r="S137" s="30">
        <v>45909</v>
      </c>
      <c r="T137" t="s">
        <v>43</v>
      </c>
      <c r="U137">
        <v>5</v>
      </c>
      <c r="V137" s="31">
        <v>45901.635416666657</v>
      </c>
      <c r="W137" s="31">
        <v>45908.635416666657</v>
      </c>
      <c r="X137">
        <v>10.25</v>
      </c>
      <c r="Y137">
        <v>-6.6500000000000004E-2</v>
      </c>
      <c r="Z137">
        <v>2.2000000000000002</v>
      </c>
      <c r="AA137">
        <v>-2.64E-2</v>
      </c>
      <c r="AB137">
        <v>2616.3000000000002</v>
      </c>
      <c r="AC137" t="s">
        <v>46</v>
      </c>
      <c r="AE137" t="s">
        <v>40</v>
      </c>
      <c r="AF137" t="s">
        <v>41</v>
      </c>
      <c r="AG137">
        <v>25200</v>
      </c>
      <c r="AH137" s="30">
        <v>45883</v>
      </c>
      <c r="AI137" t="s">
        <v>43</v>
      </c>
      <c r="AJ137">
        <v>5</v>
      </c>
      <c r="AK137" s="31">
        <v>45875.635416666657</v>
      </c>
      <c r="AL137" s="31">
        <v>45882.635416666657</v>
      </c>
      <c r="AM137">
        <v>11.95</v>
      </c>
      <c r="AN137">
        <v>-6.9199999999999998E-2</v>
      </c>
      <c r="AO137">
        <v>0.8</v>
      </c>
      <c r="AP137">
        <v>-9.7999999999999997E-3</v>
      </c>
      <c r="AQ137">
        <v>3623.7</v>
      </c>
      <c r="AR137" t="s">
        <v>46</v>
      </c>
    </row>
    <row r="138" spans="1:44" x14ac:dyDescent="0.3">
      <c r="A138" t="s">
        <v>40</v>
      </c>
      <c r="B138" t="s">
        <v>41</v>
      </c>
      <c r="C138">
        <v>25650</v>
      </c>
      <c r="D138" s="30">
        <v>45923</v>
      </c>
      <c r="E138" t="s">
        <v>43</v>
      </c>
      <c r="F138">
        <v>5</v>
      </c>
      <c r="G138" s="31">
        <v>45915.635416666657</v>
      </c>
      <c r="H138" s="31">
        <v>45922.635416666657</v>
      </c>
      <c r="I138">
        <v>10.15</v>
      </c>
      <c r="J138">
        <v>-6.54E-2</v>
      </c>
      <c r="K138">
        <v>3.1</v>
      </c>
      <c r="L138">
        <v>-3.2899999999999999E-2</v>
      </c>
      <c r="M138">
        <v>2291.3000000000002</v>
      </c>
      <c r="N138" t="s">
        <v>46</v>
      </c>
      <c r="P138" t="s">
        <v>40</v>
      </c>
      <c r="Q138" t="s">
        <v>41</v>
      </c>
      <c r="R138">
        <v>25400</v>
      </c>
      <c r="S138" s="30">
        <v>45916</v>
      </c>
      <c r="T138" t="s">
        <v>43</v>
      </c>
      <c r="U138">
        <v>5</v>
      </c>
      <c r="V138" s="31">
        <v>45908.635416666657</v>
      </c>
      <c r="W138" s="31">
        <v>45915.635416666657</v>
      </c>
      <c r="X138">
        <v>9.85</v>
      </c>
      <c r="Y138">
        <v>-6.0499999999999998E-2</v>
      </c>
      <c r="Z138">
        <v>2.65</v>
      </c>
      <c r="AA138">
        <v>-3.6499999999999998E-2</v>
      </c>
      <c r="AB138">
        <v>2340</v>
      </c>
      <c r="AC138" t="s">
        <v>46</v>
      </c>
      <c r="AE138" t="s">
        <v>40</v>
      </c>
      <c r="AF138" t="s">
        <v>41</v>
      </c>
      <c r="AG138">
        <v>25250</v>
      </c>
      <c r="AH138" s="30">
        <v>45890</v>
      </c>
      <c r="AI138" t="s">
        <v>43</v>
      </c>
      <c r="AJ138">
        <v>5</v>
      </c>
      <c r="AK138" s="31">
        <v>45882.635416666657</v>
      </c>
      <c r="AL138" s="31">
        <v>45889.635416666657</v>
      </c>
      <c r="AM138">
        <v>10.8</v>
      </c>
      <c r="AN138">
        <v>-6.4600000000000005E-2</v>
      </c>
      <c r="AO138">
        <v>6.65</v>
      </c>
      <c r="AP138">
        <v>-9.4200000000000006E-2</v>
      </c>
      <c r="AQ138">
        <v>1348.8</v>
      </c>
      <c r="AR138" t="s">
        <v>46</v>
      </c>
    </row>
    <row r="139" spans="1:44" x14ac:dyDescent="0.3">
      <c r="A139" t="s">
        <v>40</v>
      </c>
      <c r="B139" t="s">
        <v>51</v>
      </c>
      <c r="C139">
        <v>24700</v>
      </c>
      <c r="D139" s="30">
        <v>45930</v>
      </c>
      <c r="E139" t="s">
        <v>54</v>
      </c>
      <c r="F139">
        <v>1</v>
      </c>
      <c r="G139" s="31">
        <v>45895.635416666657</v>
      </c>
      <c r="H139" s="31">
        <v>45929.635416666657</v>
      </c>
      <c r="I139">
        <v>260.35000000000002</v>
      </c>
      <c r="J139">
        <v>-0.41820000000000002</v>
      </c>
      <c r="K139">
        <v>66.849999999999994</v>
      </c>
      <c r="L139">
        <v>-0.65180000000000005</v>
      </c>
      <c r="M139">
        <v>-12577.5</v>
      </c>
      <c r="N139" t="s">
        <v>46</v>
      </c>
      <c r="P139" t="s">
        <v>40</v>
      </c>
      <c r="Q139" t="s">
        <v>51</v>
      </c>
      <c r="R139">
        <v>25300</v>
      </c>
      <c r="S139" s="30">
        <v>45930</v>
      </c>
      <c r="T139" t="s">
        <v>43</v>
      </c>
      <c r="U139">
        <v>1</v>
      </c>
      <c r="V139" s="31">
        <v>45895.635416666657</v>
      </c>
      <c r="W139" s="31">
        <v>45917.635416666657</v>
      </c>
      <c r="X139">
        <v>581.75</v>
      </c>
      <c r="Y139">
        <v>0.70130000000000003</v>
      </c>
      <c r="Z139">
        <v>117.7</v>
      </c>
      <c r="AA139">
        <v>0.41210000000000002</v>
      </c>
      <c r="AB139">
        <v>30163.200000000001</v>
      </c>
      <c r="AC139" t="s">
        <v>63</v>
      </c>
      <c r="AE139" t="s">
        <v>40</v>
      </c>
      <c r="AF139" t="s">
        <v>51</v>
      </c>
      <c r="AG139">
        <v>25500</v>
      </c>
      <c r="AH139" s="30">
        <v>45897</v>
      </c>
      <c r="AI139" t="s">
        <v>43</v>
      </c>
      <c r="AJ139">
        <v>1</v>
      </c>
      <c r="AK139" s="31">
        <v>45868.635416666657</v>
      </c>
      <c r="AL139" s="31">
        <v>45895.635416666657</v>
      </c>
      <c r="AM139">
        <v>623.54999999999995</v>
      </c>
      <c r="AN139">
        <v>0.76500000000000001</v>
      </c>
      <c r="AO139">
        <v>769.1</v>
      </c>
      <c r="AP139">
        <v>0.98460000000000003</v>
      </c>
      <c r="AQ139">
        <v>-9460.7999999999993</v>
      </c>
      <c r="AR139" t="s">
        <v>46</v>
      </c>
    </row>
    <row r="140" spans="1:44" x14ac:dyDescent="0.3">
      <c r="A140" t="s">
        <v>40</v>
      </c>
      <c r="B140" t="s">
        <v>51</v>
      </c>
      <c r="C140">
        <v>25500</v>
      </c>
      <c r="D140" s="30">
        <v>45930</v>
      </c>
      <c r="E140" t="s">
        <v>43</v>
      </c>
      <c r="F140">
        <v>1</v>
      </c>
      <c r="G140" s="31">
        <v>45895.635416666657</v>
      </c>
      <c r="H140" s="31">
        <v>45929.635416666657</v>
      </c>
      <c r="I140">
        <v>734</v>
      </c>
      <c r="J140">
        <v>0.77900000000000003</v>
      </c>
      <c r="K140">
        <v>821.6</v>
      </c>
      <c r="L140">
        <v>0.98370000000000002</v>
      </c>
      <c r="M140">
        <v>-5694</v>
      </c>
      <c r="N140" t="s">
        <v>46</v>
      </c>
      <c r="P140" t="s">
        <v>40</v>
      </c>
      <c r="Q140" t="s">
        <v>41</v>
      </c>
      <c r="R140">
        <v>25650</v>
      </c>
      <c r="S140" s="30">
        <v>45923</v>
      </c>
      <c r="T140" t="s">
        <v>43</v>
      </c>
      <c r="U140">
        <v>5</v>
      </c>
      <c r="V140" s="31">
        <v>45915.635416666657</v>
      </c>
      <c r="W140" s="31">
        <v>45922.635416666657</v>
      </c>
      <c r="X140">
        <v>10.15</v>
      </c>
      <c r="Y140">
        <v>-6.54E-2</v>
      </c>
      <c r="Z140">
        <v>3.1</v>
      </c>
      <c r="AA140">
        <v>-3.2899999999999999E-2</v>
      </c>
      <c r="AB140">
        <v>2291.3000000000002</v>
      </c>
      <c r="AC140" t="s">
        <v>46</v>
      </c>
      <c r="AE140" t="s">
        <v>40</v>
      </c>
      <c r="AF140" t="s">
        <v>51</v>
      </c>
      <c r="AG140">
        <v>24850</v>
      </c>
      <c r="AH140" s="30">
        <v>45897</v>
      </c>
      <c r="AI140" t="s">
        <v>54</v>
      </c>
      <c r="AJ140">
        <v>1</v>
      </c>
      <c r="AK140" s="31">
        <v>45868.635416666657</v>
      </c>
      <c r="AL140" s="31">
        <v>45895.635416666657</v>
      </c>
      <c r="AM140">
        <v>241.95</v>
      </c>
      <c r="AN140">
        <v>-0.4239</v>
      </c>
      <c r="AO140">
        <v>146.75</v>
      </c>
      <c r="AP140">
        <v>-0.74260000000000004</v>
      </c>
      <c r="AQ140">
        <v>-6188</v>
      </c>
      <c r="AR140" t="s">
        <v>46</v>
      </c>
    </row>
    <row r="141" spans="1:44" x14ac:dyDescent="0.3">
      <c r="A141" t="s">
        <v>40</v>
      </c>
      <c r="B141" t="s">
        <v>41</v>
      </c>
      <c r="C141">
        <v>25850</v>
      </c>
      <c r="D141" s="30">
        <v>45930</v>
      </c>
      <c r="E141" t="s">
        <v>43</v>
      </c>
      <c r="F141">
        <v>5</v>
      </c>
      <c r="G141" s="31">
        <v>45922.635416666657</v>
      </c>
      <c r="H141" s="31">
        <v>45929.635416666657</v>
      </c>
      <c r="I141">
        <v>10.6</v>
      </c>
      <c r="J141">
        <v>-6.2300000000000001E-2</v>
      </c>
      <c r="K141">
        <v>1.6</v>
      </c>
      <c r="L141">
        <v>-9.4999999999999998E-3</v>
      </c>
      <c r="M141">
        <v>2925</v>
      </c>
      <c r="N141" t="s">
        <v>46</v>
      </c>
      <c r="P141" t="s">
        <v>40</v>
      </c>
      <c r="Q141" t="s">
        <v>51</v>
      </c>
      <c r="R141">
        <v>24700</v>
      </c>
      <c r="S141" s="30">
        <v>45930</v>
      </c>
      <c r="T141" t="s">
        <v>54</v>
      </c>
      <c r="U141">
        <v>1</v>
      </c>
      <c r="V141" s="31">
        <v>45895.635416666657</v>
      </c>
      <c r="W141" s="31">
        <v>45929.635416666657</v>
      </c>
      <c r="X141">
        <v>260.35000000000002</v>
      </c>
      <c r="Y141">
        <v>-0.41820000000000002</v>
      </c>
      <c r="Z141">
        <v>66.849999999999994</v>
      </c>
      <c r="AA141">
        <v>-0.65180000000000005</v>
      </c>
      <c r="AB141">
        <v>-12577.5</v>
      </c>
      <c r="AC141" t="s">
        <v>46</v>
      </c>
      <c r="AE141" t="s">
        <v>40</v>
      </c>
      <c r="AF141" t="s">
        <v>41</v>
      </c>
      <c r="AG141">
        <v>25600</v>
      </c>
      <c r="AH141" s="30">
        <v>45897</v>
      </c>
      <c r="AI141" t="s">
        <v>43</v>
      </c>
      <c r="AJ141">
        <v>5</v>
      </c>
      <c r="AK141" s="31">
        <v>45889.635416666657</v>
      </c>
      <c r="AL141" s="31">
        <v>45895.635416666657</v>
      </c>
      <c r="AM141">
        <v>13.1</v>
      </c>
      <c r="AN141">
        <v>-0.08</v>
      </c>
      <c r="AO141">
        <v>1.85</v>
      </c>
      <c r="AP141">
        <v>-1.35E-2</v>
      </c>
      <c r="AQ141">
        <v>3656.2</v>
      </c>
      <c r="AR141" t="s">
        <v>46</v>
      </c>
    </row>
    <row r="142" spans="1:44" x14ac:dyDescent="0.3">
      <c r="A142" t="s">
        <v>40</v>
      </c>
      <c r="B142" t="s">
        <v>51</v>
      </c>
      <c r="C142">
        <v>25000</v>
      </c>
      <c r="D142" s="30">
        <v>45958</v>
      </c>
      <c r="E142" t="s">
        <v>43</v>
      </c>
      <c r="F142">
        <v>1</v>
      </c>
      <c r="G142" s="31">
        <v>45929.635416666657</v>
      </c>
      <c r="H142" s="31">
        <v>45936.635416666657</v>
      </c>
      <c r="I142">
        <v>390.25</v>
      </c>
      <c r="J142">
        <v>0.6139</v>
      </c>
      <c r="K142">
        <v>145.19999999999999</v>
      </c>
      <c r="L142">
        <v>0.37219999999999998</v>
      </c>
      <c r="M142">
        <v>15928.2</v>
      </c>
      <c r="N142" t="s">
        <v>63</v>
      </c>
      <c r="P142" t="s">
        <v>40</v>
      </c>
      <c r="Q142" t="s">
        <v>51</v>
      </c>
      <c r="R142">
        <v>25600</v>
      </c>
      <c r="S142" s="30">
        <v>45930</v>
      </c>
      <c r="T142" t="s">
        <v>43</v>
      </c>
      <c r="U142">
        <v>1</v>
      </c>
      <c r="V142" s="31">
        <v>45917.635416666657</v>
      </c>
      <c r="W142" s="31">
        <v>45929.635416666657</v>
      </c>
      <c r="X142">
        <v>268.45</v>
      </c>
      <c r="Y142">
        <v>0.6794</v>
      </c>
      <c r="Z142">
        <v>915</v>
      </c>
      <c r="AA142">
        <v>0.98680000000000001</v>
      </c>
      <c r="AB142">
        <v>-42025.8</v>
      </c>
      <c r="AC142" t="s">
        <v>46</v>
      </c>
      <c r="AE142" t="s">
        <v>40</v>
      </c>
      <c r="AF142" t="s">
        <v>41</v>
      </c>
      <c r="AG142">
        <v>25400</v>
      </c>
      <c r="AH142" s="30">
        <v>45902</v>
      </c>
      <c r="AI142" t="s">
        <v>43</v>
      </c>
      <c r="AJ142">
        <v>5</v>
      </c>
      <c r="AK142" s="31">
        <v>45895.635416666657</v>
      </c>
      <c r="AL142" s="31">
        <v>45901.635416666657</v>
      </c>
      <c r="AM142">
        <v>9.8000000000000007</v>
      </c>
      <c r="AN142">
        <v>-5.6399999999999999E-2</v>
      </c>
      <c r="AO142">
        <v>0.6</v>
      </c>
      <c r="AP142">
        <v>-6.1999999999999998E-3</v>
      </c>
      <c r="AQ142">
        <v>2990</v>
      </c>
      <c r="AR142" t="s">
        <v>46</v>
      </c>
    </row>
    <row r="143" spans="1:44" x14ac:dyDescent="0.3">
      <c r="A143" t="s">
        <v>40</v>
      </c>
      <c r="B143" t="s">
        <v>41</v>
      </c>
      <c r="C143">
        <v>25350</v>
      </c>
      <c r="D143" s="30">
        <v>45937</v>
      </c>
      <c r="E143" t="s">
        <v>43</v>
      </c>
      <c r="F143">
        <v>5</v>
      </c>
      <c r="G143" s="31">
        <v>45929.635416666657</v>
      </c>
      <c r="H143" s="31">
        <v>45936.635416666657</v>
      </c>
      <c r="I143">
        <v>12.1</v>
      </c>
      <c r="J143">
        <v>-6.3899999999999998E-2</v>
      </c>
      <c r="K143">
        <v>2.65</v>
      </c>
      <c r="L143">
        <v>-4.2299999999999997E-2</v>
      </c>
      <c r="M143">
        <v>3071.2</v>
      </c>
      <c r="N143" t="s">
        <v>46</v>
      </c>
      <c r="P143" t="s">
        <v>40</v>
      </c>
      <c r="Q143" t="s">
        <v>41</v>
      </c>
      <c r="R143">
        <v>25850</v>
      </c>
      <c r="S143" s="30">
        <v>45930</v>
      </c>
      <c r="T143" t="s">
        <v>43</v>
      </c>
      <c r="U143">
        <v>5</v>
      </c>
      <c r="V143" s="31">
        <v>45922.635416666657</v>
      </c>
      <c r="W143" s="31">
        <v>45929.635416666657</v>
      </c>
      <c r="X143">
        <v>10.6</v>
      </c>
      <c r="Y143">
        <v>-6.2300000000000001E-2</v>
      </c>
      <c r="Z143">
        <v>1.6</v>
      </c>
      <c r="AA143">
        <v>-9.4999999999999998E-3</v>
      </c>
      <c r="AB143">
        <v>2925</v>
      </c>
      <c r="AC143" t="s">
        <v>46</v>
      </c>
      <c r="AE143" t="s">
        <v>40</v>
      </c>
      <c r="AF143" t="s">
        <v>41</v>
      </c>
      <c r="AG143">
        <v>25200</v>
      </c>
      <c r="AH143" s="30">
        <v>45909</v>
      </c>
      <c r="AI143" t="s">
        <v>43</v>
      </c>
      <c r="AJ143">
        <v>5</v>
      </c>
      <c r="AK143" s="31">
        <v>45901.635416666657</v>
      </c>
      <c r="AL143" s="31">
        <v>45908.635416666657</v>
      </c>
      <c r="AM143">
        <v>10.25</v>
      </c>
      <c r="AN143">
        <v>-6.6500000000000004E-2</v>
      </c>
      <c r="AO143">
        <v>2.2000000000000002</v>
      </c>
      <c r="AP143">
        <v>-2.64E-2</v>
      </c>
      <c r="AQ143">
        <v>2616.3000000000002</v>
      </c>
      <c r="AR143" t="s">
        <v>46</v>
      </c>
    </row>
    <row r="144" spans="1:44" x14ac:dyDescent="0.3">
      <c r="A144" t="s">
        <v>40</v>
      </c>
      <c r="B144" t="s">
        <v>41</v>
      </c>
      <c r="C144">
        <v>25600</v>
      </c>
      <c r="D144" s="30">
        <v>45944</v>
      </c>
      <c r="E144" t="s">
        <v>43</v>
      </c>
      <c r="F144">
        <v>5</v>
      </c>
      <c r="G144" s="31">
        <v>45936.635416666657</v>
      </c>
      <c r="H144" s="31">
        <v>45943.635416666657</v>
      </c>
      <c r="I144">
        <v>10.1</v>
      </c>
      <c r="J144">
        <v>-7.0400000000000004E-2</v>
      </c>
      <c r="K144">
        <v>2.7</v>
      </c>
      <c r="L144">
        <v>-3.4200000000000001E-2</v>
      </c>
      <c r="M144">
        <v>2405</v>
      </c>
      <c r="N144" t="s">
        <v>46</v>
      </c>
      <c r="P144" t="s">
        <v>40</v>
      </c>
      <c r="Q144" t="s">
        <v>41</v>
      </c>
      <c r="R144">
        <v>25350</v>
      </c>
      <c r="S144" s="30">
        <v>45937</v>
      </c>
      <c r="T144" t="s">
        <v>43</v>
      </c>
      <c r="U144">
        <v>5</v>
      </c>
      <c r="V144" s="31">
        <v>45929.635416666657</v>
      </c>
      <c r="W144" s="31">
        <v>45936.635416666657</v>
      </c>
      <c r="X144">
        <v>12.1</v>
      </c>
      <c r="Y144">
        <v>-6.3899999999999998E-2</v>
      </c>
      <c r="Z144">
        <v>2.65</v>
      </c>
      <c r="AA144">
        <v>-4.2299999999999997E-2</v>
      </c>
      <c r="AB144">
        <v>3071.2</v>
      </c>
      <c r="AC144" t="s">
        <v>46</v>
      </c>
      <c r="AE144" t="s">
        <v>40</v>
      </c>
      <c r="AF144" t="s">
        <v>41</v>
      </c>
      <c r="AG144">
        <v>25400</v>
      </c>
      <c r="AH144" s="30">
        <v>45916</v>
      </c>
      <c r="AI144" t="s">
        <v>43</v>
      </c>
      <c r="AJ144">
        <v>5</v>
      </c>
      <c r="AK144" s="31">
        <v>45908.635416666657</v>
      </c>
      <c r="AL144" s="31">
        <v>45915.635416666657</v>
      </c>
      <c r="AM144">
        <v>9.85</v>
      </c>
      <c r="AN144">
        <v>-6.0499999999999998E-2</v>
      </c>
      <c r="AO144">
        <v>2.65</v>
      </c>
      <c r="AP144">
        <v>-3.6499999999999998E-2</v>
      </c>
      <c r="AQ144">
        <v>2340</v>
      </c>
      <c r="AR144" t="s">
        <v>46</v>
      </c>
    </row>
    <row r="145" spans="1:44" x14ac:dyDescent="0.3">
      <c r="A145" t="s">
        <v>40</v>
      </c>
      <c r="B145" t="s">
        <v>51</v>
      </c>
      <c r="C145">
        <v>25500</v>
      </c>
      <c r="D145" s="30">
        <v>45958</v>
      </c>
      <c r="E145" t="s">
        <v>43</v>
      </c>
      <c r="F145">
        <v>1</v>
      </c>
      <c r="G145" s="31">
        <v>45936.635416666657</v>
      </c>
      <c r="H145" s="31">
        <v>45946.635416666657</v>
      </c>
      <c r="I145">
        <v>397.7</v>
      </c>
      <c r="J145">
        <v>0.7167</v>
      </c>
      <c r="K145">
        <v>107.9</v>
      </c>
      <c r="L145">
        <v>0.37380000000000002</v>
      </c>
      <c r="M145">
        <v>18837</v>
      </c>
      <c r="N145" t="s">
        <v>63</v>
      </c>
      <c r="P145" t="s">
        <v>40</v>
      </c>
      <c r="Q145" t="s">
        <v>51</v>
      </c>
      <c r="R145">
        <v>25100</v>
      </c>
      <c r="S145" s="30">
        <v>45958</v>
      </c>
      <c r="T145" t="s">
        <v>43</v>
      </c>
      <c r="U145">
        <v>1</v>
      </c>
      <c r="V145" s="31">
        <v>45929.635416666657</v>
      </c>
      <c r="W145" s="31">
        <v>45939.635416666657</v>
      </c>
      <c r="X145">
        <v>450.95</v>
      </c>
      <c r="Y145">
        <v>0.66439999999999999</v>
      </c>
      <c r="Z145">
        <v>130.55000000000001</v>
      </c>
      <c r="AA145">
        <v>0.36820000000000003</v>
      </c>
      <c r="AB145">
        <v>20826</v>
      </c>
      <c r="AC145" t="s">
        <v>63</v>
      </c>
      <c r="AE145" t="s">
        <v>40</v>
      </c>
      <c r="AF145" t="s">
        <v>51</v>
      </c>
      <c r="AG145">
        <v>25300</v>
      </c>
      <c r="AH145" s="30">
        <v>45930</v>
      </c>
      <c r="AI145" t="s">
        <v>43</v>
      </c>
      <c r="AJ145">
        <v>1</v>
      </c>
      <c r="AK145" s="31">
        <v>45895.635416666657</v>
      </c>
      <c r="AL145" s="31">
        <v>45917.635416666657</v>
      </c>
      <c r="AM145">
        <v>581.75</v>
      </c>
      <c r="AN145">
        <v>0.70130000000000003</v>
      </c>
      <c r="AO145">
        <v>117.7</v>
      </c>
      <c r="AP145">
        <v>0.41210000000000002</v>
      </c>
      <c r="AQ145">
        <v>30163.200000000001</v>
      </c>
      <c r="AR145" t="s">
        <v>63</v>
      </c>
    </row>
    <row r="146" spans="1:44" x14ac:dyDescent="0.3">
      <c r="A146" t="s">
        <v>40</v>
      </c>
      <c r="B146" t="s">
        <v>41</v>
      </c>
      <c r="C146">
        <v>25850</v>
      </c>
      <c r="D146" s="30">
        <v>45950</v>
      </c>
      <c r="E146" t="s">
        <v>43</v>
      </c>
      <c r="F146">
        <v>5</v>
      </c>
      <c r="G146" s="31">
        <v>45943.635416666657</v>
      </c>
      <c r="H146" s="31">
        <v>45947.635416666657</v>
      </c>
      <c r="I146">
        <v>10.15</v>
      </c>
      <c r="J146">
        <v>-6.2199999999999998E-2</v>
      </c>
      <c r="K146">
        <v>30.55</v>
      </c>
      <c r="L146">
        <v>-0.2641</v>
      </c>
      <c r="M146">
        <v>-6630</v>
      </c>
      <c r="N146" t="s">
        <v>46</v>
      </c>
      <c r="P146" t="s">
        <v>40</v>
      </c>
      <c r="Q146" t="s">
        <v>41</v>
      </c>
      <c r="R146">
        <v>25600</v>
      </c>
      <c r="S146" s="30">
        <v>45944</v>
      </c>
      <c r="T146" t="s">
        <v>43</v>
      </c>
      <c r="U146">
        <v>5</v>
      </c>
      <c r="V146" s="31">
        <v>45936.635416666657</v>
      </c>
      <c r="W146" s="31">
        <v>45943.635416666657</v>
      </c>
      <c r="X146">
        <v>10.1</v>
      </c>
      <c r="Y146">
        <v>-7.0400000000000004E-2</v>
      </c>
      <c r="Z146">
        <v>2.7</v>
      </c>
      <c r="AA146">
        <v>-3.4200000000000001E-2</v>
      </c>
      <c r="AB146">
        <v>2405</v>
      </c>
      <c r="AC146" t="s">
        <v>46</v>
      </c>
      <c r="AE146" t="s">
        <v>40</v>
      </c>
      <c r="AF146" t="s">
        <v>51</v>
      </c>
      <c r="AG146">
        <v>24700</v>
      </c>
      <c r="AH146" s="30">
        <v>45930</v>
      </c>
      <c r="AI146" t="s">
        <v>54</v>
      </c>
      <c r="AJ146">
        <v>1</v>
      </c>
      <c r="AK146" s="31">
        <v>45895.635416666657</v>
      </c>
      <c r="AL146" s="31">
        <v>45917.635416666657</v>
      </c>
      <c r="AM146">
        <v>260.35000000000002</v>
      </c>
      <c r="AN146">
        <v>-0.41820000000000002</v>
      </c>
      <c r="AO146">
        <v>24.05</v>
      </c>
      <c r="AP146">
        <v>-9.5000000000000001E-2</v>
      </c>
      <c r="AQ146">
        <v>-15359.5</v>
      </c>
      <c r="AR146" t="s">
        <v>63</v>
      </c>
    </row>
    <row r="147" spans="1:44" x14ac:dyDescent="0.3">
      <c r="A147" t="s">
        <v>40</v>
      </c>
      <c r="B147" t="s">
        <v>51</v>
      </c>
      <c r="C147">
        <v>24650</v>
      </c>
      <c r="D147" s="30">
        <v>45958</v>
      </c>
      <c r="E147" t="s">
        <v>54</v>
      </c>
      <c r="F147">
        <v>1</v>
      </c>
      <c r="G147" s="31">
        <v>45929.635416666657</v>
      </c>
      <c r="H147" s="31">
        <v>45957.635416666657</v>
      </c>
      <c r="I147">
        <v>226.95</v>
      </c>
      <c r="J147">
        <v>-0.43190000000000001</v>
      </c>
      <c r="K147">
        <v>2.1</v>
      </c>
      <c r="L147">
        <v>-1.04E-2</v>
      </c>
      <c r="M147">
        <v>-14615.2</v>
      </c>
      <c r="N147" t="s">
        <v>46</v>
      </c>
      <c r="P147" t="s">
        <v>40</v>
      </c>
      <c r="Q147" t="s">
        <v>51</v>
      </c>
      <c r="R147">
        <v>25500</v>
      </c>
      <c r="S147" s="30">
        <v>45958</v>
      </c>
      <c r="T147" t="s">
        <v>43</v>
      </c>
      <c r="U147">
        <v>1</v>
      </c>
      <c r="V147" s="31">
        <v>45939.635416666657</v>
      </c>
      <c r="W147" s="31">
        <v>45946.635416666657</v>
      </c>
      <c r="X147">
        <v>327.5</v>
      </c>
      <c r="Y147">
        <v>0.67649999999999999</v>
      </c>
      <c r="Z147">
        <v>107.9</v>
      </c>
      <c r="AA147">
        <v>0.37380000000000002</v>
      </c>
      <c r="AB147">
        <v>14274</v>
      </c>
      <c r="AC147" t="s">
        <v>63</v>
      </c>
      <c r="AE147" t="s">
        <v>40</v>
      </c>
      <c r="AF147" t="s">
        <v>41</v>
      </c>
      <c r="AG147">
        <v>25650</v>
      </c>
      <c r="AH147" s="30">
        <v>45923</v>
      </c>
      <c r="AI147" t="s">
        <v>43</v>
      </c>
      <c r="AJ147">
        <v>5</v>
      </c>
      <c r="AK147" s="31">
        <v>45915.635416666657</v>
      </c>
      <c r="AL147" s="31">
        <v>45922.635416666657</v>
      </c>
      <c r="AM147">
        <v>10.15</v>
      </c>
      <c r="AN147">
        <v>-6.54E-2</v>
      </c>
      <c r="AO147">
        <v>3.1</v>
      </c>
      <c r="AP147">
        <v>-3.2899999999999999E-2</v>
      </c>
      <c r="AQ147">
        <v>2291.3000000000002</v>
      </c>
      <c r="AR147" t="s">
        <v>46</v>
      </c>
    </row>
    <row r="148" spans="1:44" x14ac:dyDescent="0.3">
      <c r="A148" t="s">
        <v>40</v>
      </c>
      <c r="B148" t="s">
        <v>51</v>
      </c>
      <c r="C148">
        <v>26000</v>
      </c>
      <c r="D148" s="30">
        <v>45958</v>
      </c>
      <c r="E148" t="s">
        <v>43</v>
      </c>
      <c r="F148">
        <v>1</v>
      </c>
      <c r="G148" s="31">
        <v>45946.635416666657</v>
      </c>
      <c r="H148" s="31">
        <v>45957.635416666657</v>
      </c>
      <c r="I148">
        <v>387.6</v>
      </c>
      <c r="J148">
        <v>0.80730000000000002</v>
      </c>
      <c r="K148">
        <v>66.75</v>
      </c>
      <c r="L148">
        <v>0.5766</v>
      </c>
      <c r="M148">
        <v>20855.2</v>
      </c>
      <c r="N148" t="s">
        <v>46</v>
      </c>
      <c r="P148" t="s">
        <v>40</v>
      </c>
      <c r="Q148" t="s">
        <v>41</v>
      </c>
      <c r="R148">
        <v>25850</v>
      </c>
      <c r="S148" s="30">
        <v>45950</v>
      </c>
      <c r="T148" t="s">
        <v>43</v>
      </c>
      <c r="U148">
        <v>5</v>
      </c>
      <c r="V148" s="31">
        <v>45943.635416666657</v>
      </c>
      <c r="W148" s="31">
        <v>45947.635416666657</v>
      </c>
      <c r="X148">
        <v>10.15</v>
      </c>
      <c r="Y148">
        <v>-6.2199999999999998E-2</v>
      </c>
      <c r="Z148">
        <v>30.55</v>
      </c>
      <c r="AA148">
        <v>-0.2641</v>
      </c>
      <c r="AB148">
        <v>-6630</v>
      </c>
      <c r="AC148" t="s">
        <v>46</v>
      </c>
      <c r="AE148" t="s">
        <v>40</v>
      </c>
      <c r="AF148" t="s">
        <v>51</v>
      </c>
      <c r="AG148">
        <v>25600</v>
      </c>
      <c r="AH148" s="30">
        <v>45930</v>
      </c>
      <c r="AI148" t="s">
        <v>43</v>
      </c>
      <c r="AJ148">
        <v>1</v>
      </c>
      <c r="AK148" s="31">
        <v>45917.635416666657</v>
      </c>
      <c r="AL148" s="31">
        <v>45929.635416666657</v>
      </c>
      <c r="AM148">
        <v>268.45</v>
      </c>
      <c r="AN148">
        <v>0.6794</v>
      </c>
      <c r="AO148">
        <v>915</v>
      </c>
      <c r="AP148">
        <v>0.98680000000000001</v>
      </c>
      <c r="AQ148">
        <v>-42025.8</v>
      </c>
      <c r="AR148" t="s">
        <v>46</v>
      </c>
    </row>
    <row r="149" spans="1:44" x14ac:dyDescent="0.3">
      <c r="A149" t="s">
        <v>40</v>
      </c>
      <c r="B149" t="s">
        <v>41</v>
      </c>
      <c r="C149">
        <v>26400</v>
      </c>
      <c r="D149" s="30">
        <v>45958</v>
      </c>
      <c r="E149" t="s">
        <v>43</v>
      </c>
      <c r="F149">
        <v>5</v>
      </c>
      <c r="G149" s="31">
        <v>45947.635416666657</v>
      </c>
      <c r="H149" s="31">
        <v>45957.635416666657</v>
      </c>
      <c r="I149">
        <v>11.45</v>
      </c>
      <c r="J149">
        <v>-6.4500000000000002E-2</v>
      </c>
      <c r="K149">
        <v>3.7</v>
      </c>
      <c r="L149">
        <v>-3.8100000000000002E-2</v>
      </c>
      <c r="M149">
        <v>2518.6999999999998</v>
      </c>
      <c r="N149" t="s">
        <v>46</v>
      </c>
      <c r="P149" t="s">
        <v>40</v>
      </c>
      <c r="Q149" t="s">
        <v>51</v>
      </c>
      <c r="R149">
        <v>25900</v>
      </c>
      <c r="S149" s="30">
        <v>45958</v>
      </c>
      <c r="T149" t="s">
        <v>43</v>
      </c>
      <c r="U149">
        <v>1</v>
      </c>
      <c r="V149" s="31">
        <v>45946.635416666657</v>
      </c>
      <c r="W149" s="31">
        <v>45957.635416666657</v>
      </c>
      <c r="X149">
        <v>308.05</v>
      </c>
      <c r="Y149">
        <v>0.7379</v>
      </c>
      <c r="Z149">
        <v>34.549999999999997</v>
      </c>
      <c r="AA149">
        <v>0.36030000000000001</v>
      </c>
      <c r="AB149">
        <v>17777.5</v>
      </c>
      <c r="AC149" t="s">
        <v>129</v>
      </c>
      <c r="AE149" t="s">
        <v>40</v>
      </c>
      <c r="AF149" t="s">
        <v>51</v>
      </c>
      <c r="AG149">
        <v>25350</v>
      </c>
      <c r="AH149" s="30">
        <v>45930</v>
      </c>
      <c r="AI149" t="s">
        <v>54</v>
      </c>
      <c r="AJ149">
        <v>1</v>
      </c>
      <c r="AK149" s="31">
        <v>45917.635416666657</v>
      </c>
      <c r="AL149" s="31">
        <v>45929.635416666657</v>
      </c>
      <c r="AM149">
        <v>135.65</v>
      </c>
      <c r="AN149">
        <v>-0.46060000000000001</v>
      </c>
      <c r="AO149">
        <v>676.95</v>
      </c>
      <c r="AP149">
        <v>-0.97960000000000003</v>
      </c>
      <c r="AQ149">
        <v>35184.5</v>
      </c>
      <c r="AR149" t="s">
        <v>46</v>
      </c>
    </row>
    <row r="150" spans="1:44" x14ac:dyDescent="0.3">
      <c r="A150" t="s">
        <v>40</v>
      </c>
      <c r="B150" t="s">
        <v>41</v>
      </c>
      <c r="C150">
        <v>26800</v>
      </c>
      <c r="D150" s="30">
        <v>45965</v>
      </c>
      <c r="E150" t="s">
        <v>43</v>
      </c>
      <c r="F150">
        <v>5</v>
      </c>
      <c r="G150" s="31">
        <v>45957.635416666657</v>
      </c>
      <c r="H150" s="31">
        <v>45964.635416666657</v>
      </c>
      <c r="I150">
        <v>11.5</v>
      </c>
      <c r="J150">
        <v>-5.5300000000000002E-2</v>
      </c>
      <c r="K150">
        <v>1.2</v>
      </c>
      <c r="L150">
        <v>-8.6E-3</v>
      </c>
      <c r="M150">
        <v>3347.5</v>
      </c>
      <c r="N150" t="s">
        <v>46</v>
      </c>
      <c r="P150" t="s">
        <v>40</v>
      </c>
      <c r="Q150" t="s">
        <v>51</v>
      </c>
      <c r="R150">
        <v>24650</v>
      </c>
      <c r="S150" s="30">
        <v>45958</v>
      </c>
      <c r="T150" t="s">
        <v>54</v>
      </c>
      <c r="U150">
        <v>1</v>
      </c>
      <c r="V150" s="31">
        <v>45929.635416666657</v>
      </c>
      <c r="W150" s="31">
        <v>45957.635416666657</v>
      </c>
      <c r="X150">
        <v>226.95</v>
      </c>
      <c r="Y150">
        <v>-0.43190000000000001</v>
      </c>
      <c r="Z150">
        <v>2.1</v>
      </c>
      <c r="AA150">
        <v>-1.04E-2</v>
      </c>
      <c r="AB150">
        <v>-14615.2</v>
      </c>
      <c r="AC150" t="s">
        <v>46</v>
      </c>
      <c r="AE150" t="s">
        <v>40</v>
      </c>
      <c r="AF150" t="s">
        <v>41</v>
      </c>
      <c r="AG150">
        <v>26000</v>
      </c>
      <c r="AH150" s="30">
        <v>45930</v>
      </c>
      <c r="AI150" t="s">
        <v>43</v>
      </c>
      <c r="AJ150">
        <v>5</v>
      </c>
      <c r="AK150" s="31">
        <v>45922.635416666657</v>
      </c>
      <c r="AL150" s="31">
        <v>45929.635416666657</v>
      </c>
      <c r="AM150">
        <v>5.75</v>
      </c>
      <c r="AN150">
        <v>-3.5200000000000002E-2</v>
      </c>
      <c r="AO150">
        <v>1.45</v>
      </c>
      <c r="AP150">
        <v>-8.0000000000000002E-3</v>
      </c>
      <c r="AQ150">
        <v>1397.5</v>
      </c>
      <c r="AR150" t="s">
        <v>46</v>
      </c>
    </row>
    <row r="151" spans="1:44" x14ac:dyDescent="0.3">
      <c r="A151" t="s">
        <v>40</v>
      </c>
      <c r="B151" t="s">
        <v>41</v>
      </c>
      <c r="C151">
        <v>26550</v>
      </c>
      <c r="D151" s="30">
        <v>45972</v>
      </c>
      <c r="E151" t="s">
        <v>43</v>
      </c>
      <c r="F151">
        <v>5</v>
      </c>
      <c r="G151" s="31">
        <v>45964.635416666657</v>
      </c>
      <c r="H151" s="31">
        <v>45971.635416666657</v>
      </c>
      <c r="I151">
        <v>10.65</v>
      </c>
      <c r="J151">
        <v>-5.5300000000000002E-2</v>
      </c>
      <c r="K151">
        <v>0.75</v>
      </c>
      <c r="L151">
        <v>-6.1999999999999998E-3</v>
      </c>
      <c r="M151">
        <v>3217.5</v>
      </c>
      <c r="N151" t="s">
        <v>46</v>
      </c>
      <c r="P151" t="s">
        <v>40</v>
      </c>
      <c r="Q151" t="s">
        <v>41</v>
      </c>
      <c r="R151">
        <v>26400</v>
      </c>
      <c r="S151" s="30">
        <v>45958</v>
      </c>
      <c r="T151" t="s">
        <v>43</v>
      </c>
      <c r="U151">
        <v>5</v>
      </c>
      <c r="V151" s="31">
        <v>45947.635416666657</v>
      </c>
      <c r="W151" s="31">
        <v>45957.635416666657</v>
      </c>
      <c r="X151">
        <v>11.45</v>
      </c>
      <c r="Y151">
        <v>-6.4500000000000002E-2</v>
      </c>
      <c r="Z151">
        <v>3.7</v>
      </c>
      <c r="AA151">
        <v>-3.8100000000000002E-2</v>
      </c>
      <c r="AB151">
        <v>2518.6999999999998</v>
      </c>
      <c r="AC151" t="s">
        <v>46</v>
      </c>
      <c r="AE151" t="s">
        <v>40</v>
      </c>
      <c r="AF151" t="s">
        <v>41</v>
      </c>
      <c r="AG151">
        <v>25350</v>
      </c>
      <c r="AH151" s="30">
        <v>45937</v>
      </c>
      <c r="AI151" t="s">
        <v>43</v>
      </c>
      <c r="AJ151">
        <v>5</v>
      </c>
      <c r="AK151" s="31">
        <v>45929.635416666657</v>
      </c>
      <c r="AL151" s="31">
        <v>45936.635416666657</v>
      </c>
      <c r="AM151">
        <v>12.1</v>
      </c>
      <c r="AN151">
        <v>-6.3899999999999998E-2</v>
      </c>
      <c r="AO151">
        <v>2.65</v>
      </c>
      <c r="AP151">
        <v>-4.2299999999999997E-2</v>
      </c>
      <c r="AQ151">
        <v>3071.2</v>
      </c>
      <c r="AR151" t="s">
        <v>46</v>
      </c>
    </row>
    <row r="152" spans="1:44" x14ac:dyDescent="0.3">
      <c r="A152" t="s">
        <v>40</v>
      </c>
      <c r="B152" t="s">
        <v>41</v>
      </c>
      <c r="C152">
        <v>26250</v>
      </c>
      <c r="D152" s="30">
        <v>45979</v>
      </c>
      <c r="E152" t="s">
        <v>43</v>
      </c>
      <c r="F152">
        <v>5</v>
      </c>
      <c r="G152" s="31">
        <v>45971.635416666657</v>
      </c>
      <c r="H152" s="31">
        <v>45978.635416666657</v>
      </c>
      <c r="I152">
        <v>12.65</v>
      </c>
      <c r="J152">
        <v>-6.8500000000000005E-2</v>
      </c>
      <c r="K152">
        <v>6.85</v>
      </c>
      <c r="L152">
        <v>-8.6999999999999994E-2</v>
      </c>
      <c r="M152">
        <v>1885</v>
      </c>
      <c r="N152" t="s">
        <v>46</v>
      </c>
      <c r="P152" t="s">
        <v>40</v>
      </c>
      <c r="Q152" t="s">
        <v>41</v>
      </c>
      <c r="R152">
        <v>26800</v>
      </c>
      <c r="S152" s="30">
        <v>45965</v>
      </c>
      <c r="T152" t="s">
        <v>43</v>
      </c>
      <c r="U152">
        <v>5</v>
      </c>
      <c r="V152" s="31">
        <v>45957.635416666657</v>
      </c>
      <c r="W152" s="31">
        <v>45964.635416666657</v>
      </c>
      <c r="X152">
        <v>11.5</v>
      </c>
      <c r="Y152">
        <v>-5.5300000000000002E-2</v>
      </c>
      <c r="Z152">
        <v>1.2</v>
      </c>
      <c r="AA152">
        <v>-8.6E-3</v>
      </c>
      <c r="AB152">
        <v>3347.5</v>
      </c>
      <c r="AC152" t="s">
        <v>46</v>
      </c>
      <c r="AE152" t="s">
        <v>40</v>
      </c>
      <c r="AF152" t="s">
        <v>51</v>
      </c>
      <c r="AG152">
        <v>25100</v>
      </c>
      <c r="AH152" s="30">
        <v>45958</v>
      </c>
      <c r="AI152" t="s">
        <v>43</v>
      </c>
      <c r="AJ152">
        <v>1</v>
      </c>
      <c r="AK152" s="31">
        <v>45929.635416666657</v>
      </c>
      <c r="AL152" s="31">
        <v>45939.635416666657</v>
      </c>
      <c r="AM152">
        <v>450.95</v>
      </c>
      <c r="AN152">
        <v>0.66439999999999999</v>
      </c>
      <c r="AO152">
        <v>130.55000000000001</v>
      </c>
      <c r="AP152">
        <v>0.36820000000000003</v>
      </c>
      <c r="AQ152">
        <v>20826</v>
      </c>
      <c r="AR152" t="s">
        <v>63</v>
      </c>
    </row>
    <row r="153" spans="1:44" x14ac:dyDescent="0.3">
      <c r="A153" t="s">
        <v>40</v>
      </c>
      <c r="B153" t="s">
        <v>51</v>
      </c>
      <c r="C153">
        <v>25950</v>
      </c>
      <c r="D153" s="30">
        <v>45986</v>
      </c>
      <c r="E153" t="s">
        <v>54</v>
      </c>
      <c r="F153">
        <v>1</v>
      </c>
      <c r="G153" s="31">
        <v>45957.635416666657</v>
      </c>
      <c r="H153" s="31">
        <v>45985.635416666657</v>
      </c>
      <c r="I153">
        <v>229.65</v>
      </c>
      <c r="J153">
        <v>-0.41789999999999999</v>
      </c>
      <c r="K153">
        <v>53.35</v>
      </c>
      <c r="L153">
        <v>-0.46650000000000003</v>
      </c>
      <c r="M153">
        <v>-11459.5</v>
      </c>
      <c r="N153" t="s">
        <v>46</v>
      </c>
      <c r="P153" t="s">
        <v>40</v>
      </c>
      <c r="Q153" t="s">
        <v>41</v>
      </c>
      <c r="R153">
        <v>26550</v>
      </c>
      <c r="S153" s="30">
        <v>45972</v>
      </c>
      <c r="T153" t="s">
        <v>43</v>
      </c>
      <c r="U153">
        <v>5</v>
      </c>
      <c r="V153" s="31">
        <v>45964.635416666657</v>
      </c>
      <c r="W153" s="31">
        <v>45971.635416666657</v>
      </c>
      <c r="X153">
        <v>10.65</v>
      </c>
      <c r="Y153">
        <v>-5.5300000000000002E-2</v>
      </c>
      <c r="Z153">
        <v>0.75</v>
      </c>
      <c r="AA153">
        <v>-6.1999999999999998E-3</v>
      </c>
      <c r="AB153">
        <v>3217.5</v>
      </c>
      <c r="AC153" t="s">
        <v>46</v>
      </c>
      <c r="AE153" t="s">
        <v>40</v>
      </c>
      <c r="AF153" t="s">
        <v>51</v>
      </c>
      <c r="AG153">
        <v>24650</v>
      </c>
      <c r="AH153" s="30">
        <v>45958</v>
      </c>
      <c r="AI153" t="s">
        <v>54</v>
      </c>
      <c r="AJ153">
        <v>1</v>
      </c>
      <c r="AK153" s="31">
        <v>45929.635416666657</v>
      </c>
      <c r="AL153" s="31">
        <v>45939.635416666657</v>
      </c>
      <c r="AM153">
        <v>226.95</v>
      </c>
      <c r="AN153">
        <v>-0.43190000000000001</v>
      </c>
      <c r="AO153">
        <v>43.3</v>
      </c>
      <c r="AP153">
        <v>-0.1424</v>
      </c>
      <c r="AQ153">
        <v>-11937.2</v>
      </c>
      <c r="AR153" t="s">
        <v>63</v>
      </c>
    </row>
    <row r="154" spans="1:44" x14ac:dyDescent="0.3">
      <c r="A154" t="s">
        <v>40</v>
      </c>
      <c r="B154" t="s">
        <v>51</v>
      </c>
      <c r="C154">
        <v>26500</v>
      </c>
      <c r="D154" s="30">
        <v>45986</v>
      </c>
      <c r="E154" t="s">
        <v>43</v>
      </c>
      <c r="F154">
        <v>1</v>
      </c>
      <c r="G154" s="31">
        <v>45957.635416666657</v>
      </c>
      <c r="H154" s="31">
        <v>45985.635416666657</v>
      </c>
      <c r="I154">
        <v>504.75</v>
      </c>
      <c r="J154">
        <v>0.67689999999999995</v>
      </c>
      <c r="K154">
        <v>502.7</v>
      </c>
      <c r="L154">
        <v>0.97599999999999998</v>
      </c>
      <c r="M154">
        <v>133.30000000000001</v>
      </c>
      <c r="N154" t="s">
        <v>46</v>
      </c>
      <c r="P154" t="s">
        <v>40</v>
      </c>
      <c r="Q154" t="s">
        <v>41</v>
      </c>
      <c r="R154">
        <v>26250</v>
      </c>
      <c r="S154" s="30">
        <v>45979</v>
      </c>
      <c r="T154" t="s">
        <v>43</v>
      </c>
      <c r="U154">
        <v>5</v>
      </c>
      <c r="V154" s="31">
        <v>45971.635416666657</v>
      </c>
      <c r="W154" s="31">
        <v>45978.635416666657</v>
      </c>
      <c r="X154">
        <v>12.65</v>
      </c>
      <c r="Y154">
        <v>-6.8500000000000005E-2</v>
      </c>
      <c r="Z154">
        <v>6.85</v>
      </c>
      <c r="AA154">
        <v>-8.6999999999999994E-2</v>
      </c>
      <c r="AB154">
        <v>1885</v>
      </c>
      <c r="AC154" t="s">
        <v>46</v>
      </c>
      <c r="AE154" t="s">
        <v>40</v>
      </c>
      <c r="AF154" t="s">
        <v>41</v>
      </c>
      <c r="AG154">
        <v>25600</v>
      </c>
      <c r="AH154" s="30">
        <v>45944</v>
      </c>
      <c r="AI154" t="s">
        <v>43</v>
      </c>
      <c r="AJ154">
        <v>5</v>
      </c>
      <c r="AK154" s="31">
        <v>45936.635416666657</v>
      </c>
      <c r="AL154" s="31">
        <v>45943.635416666657</v>
      </c>
      <c r="AM154">
        <v>10.1</v>
      </c>
      <c r="AN154">
        <v>-7.0400000000000004E-2</v>
      </c>
      <c r="AO154">
        <v>2.7</v>
      </c>
      <c r="AP154">
        <v>-3.4200000000000001E-2</v>
      </c>
      <c r="AQ154">
        <v>2405</v>
      </c>
      <c r="AR154" t="s">
        <v>46</v>
      </c>
    </row>
    <row r="155" spans="1:44" x14ac:dyDescent="0.3">
      <c r="A155" t="s">
        <v>40</v>
      </c>
      <c r="B155" t="s">
        <v>41</v>
      </c>
      <c r="C155">
        <v>26700</v>
      </c>
      <c r="D155" s="30">
        <v>45986</v>
      </c>
      <c r="E155" t="s">
        <v>43</v>
      </c>
      <c r="F155">
        <v>5</v>
      </c>
      <c r="G155" s="31">
        <v>45978.635416666657</v>
      </c>
      <c r="H155" s="31">
        <v>45985.635416666657</v>
      </c>
      <c r="I155">
        <v>12.55</v>
      </c>
      <c r="J155">
        <v>-6.7299999999999999E-2</v>
      </c>
      <c r="K155">
        <v>1.7</v>
      </c>
      <c r="L155">
        <v>-1.46E-2</v>
      </c>
      <c r="M155">
        <v>3526.3</v>
      </c>
      <c r="N155" t="s">
        <v>46</v>
      </c>
      <c r="P155" t="s">
        <v>40</v>
      </c>
      <c r="Q155" t="s">
        <v>51</v>
      </c>
      <c r="R155">
        <v>25950</v>
      </c>
      <c r="S155" s="30">
        <v>45986</v>
      </c>
      <c r="T155" t="s">
        <v>54</v>
      </c>
      <c r="U155">
        <v>1</v>
      </c>
      <c r="V155" s="31">
        <v>45957.635416666657</v>
      </c>
      <c r="W155" s="31">
        <v>45985.635416666657</v>
      </c>
      <c r="X155">
        <v>229.65</v>
      </c>
      <c r="Y155">
        <v>-0.41789999999999999</v>
      </c>
      <c r="Z155">
        <v>53.35</v>
      </c>
      <c r="AA155">
        <v>-0.46650000000000003</v>
      </c>
      <c r="AB155">
        <v>-11459.5</v>
      </c>
      <c r="AC155" t="s">
        <v>46</v>
      </c>
      <c r="AE155" t="s">
        <v>40</v>
      </c>
      <c r="AF155" t="s">
        <v>51</v>
      </c>
      <c r="AG155">
        <v>25500</v>
      </c>
      <c r="AH155" s="30">
        <v>45958</v>
      </c>
      <c r="AI155" t="s">
        <v>43</v>
      </c>
      <c r="AJ155">
        <v>1</v>
      </c>
      <c r="AK155" s="31">
        <v>45939.635416666657</v>
      </c>
      <c r="AL155" s="31">
        <v>45946.635416666657</v>
      </c>
      <c r="AM155">
        <v>327.5</v>
      </c>
      <c r="AN155">
        <v>0.67649999999999999</v>
      </c>
      <c r="AO155">
        <v>107.9</v>
      </c>
      <c r="AP155">
        <v>0.37380000000000002</v>
      </c>
      <c r="AQ155">
        <v>14274</v>
      </c>
      <c r="AR155" t="s">
        <v>63</v>
      </c>
    </row>
    <row r="156" spans="1:44" x14ac:dyDescent="0.3">
      <c r="A156" t="s">
        <v>40</v>
      </c>
      <c r="B156" t="s">
        <v>41</v>
      </c>
      <c r="C156">
        <v>26750</v>
      </c>
      <c r="D156" s="30">
        <v>45993</v>
      </c>
      <c r="E156" t="s">
        <v>43</v>
      </c>
      <c r="F156">
        <v>5</v>
      </c>
      <c r="G156" s="31">
        <v>45985.635416666657</v>
      </c>
      <c r="H156" s="31">
        <v>45992.635416666657</v>
      </c>
      <c r="I156">
        <v>10.15</v>
      </c>
      <c r="J156">
        <v>-5.3100000000000001E-2</v>
      </c>
      <c r="K156">
        <v>1.5</v>
      </c>
      <c r="L156">
        <v>-1.6E-2</v>
      </c>
      <c r="M156">
        <v>2811.2</v>
      </c>
      <c r="N156" t="s">
        <v>46</v>
      </c>
      <c r="P156" t="s">
        <v>40</v>
      </c>
      <c r="Q156" t="s">
        <v>51</v>
      </c>
      <c r="R156">
        <v>26400</v>
      </c>
      <c r="S156" s="30">
        <v>45986</v>
      </c>
      <c r="T156" t="s">
        <v>43</v>
      </c>
      <c r="U156">
        <v>1</v>
      </c>
      <c r="V156" s="31">
        <v>45957.635416666657</v>
      </c>
      <c r="W156" s="31">
        <v>45985.635416666657</v>
      </c>
      <c r="X156">
        <v>443.4</v>
      </c>
      <c r="Y156">
        <v>0.63229999999999997</v>
      </c>
      <c r="Z156">
        <v>404.2</v>
      </c>
      <c r="AA156">
        <v>0.96560000000000001</v>
      </c>
      <c r="AB156">
        <v>2548</v>
      </c>
      <c r="AC156" t="s">
        <v>46</v>
      </c>
      <c r="AE156" t="s">
        <v>40</v>
      </c>
      <c r="AF156" t="s">
        <v>51</v>
      </c>
      <c r="AG156">
        <v>25200</v>
      </c>
      <c r="AH156" s="30">
        <v>45958</v>
      </c>
      <c r="AI156" t="s">
        <v>54</v>
      </c>
      <c r="AJ156">
        <v>1</v>
      </c>
      <c r="AK156" s="31">
        <v>45939.635416666657</v>
      </c>
      <c r="AL156" s="31">
        <v>45946.635416666657</v>
      </c>
      <c r="AM156">
        <v>166.8</v>
      </c>
      <c r="AN156">
        <v>-0.44350000000000001</v>
      </c>
      <c r="AO156">
        <v>48.45</v>
      </c>
      <c r="AP156">
        <v>-0.1827</v>
      </c>
      <c r="AQ156">
        <v>-7692.8</v>
      </c>
      <c r="AR156" t="s">
        <v>63</v>
      </c>
    </row>
    <row r="157" spans="1:44" x14ac:dyDescent="0.3">
      <c r="A157" t="s">
        <v>40</v>
      </c>
      <c r="B157" t="s">
        <v>41</v>
      </c>
      <c r="C157">
        <v>26850</v>
      </c>
      <c r="D157" s="30">
        <v>46000</v>
      </c>
      <c r="E157" t="s">
        <v>43</v>
      </c>
      <c r="F157">
        <v>5</v>
      </c>
      <c r="G157" s="31">
        <v>45992.635416666657</v>
      </c>
      <c r="H157" s="31">
        <v>45999.635416666657</v>
      </c>
      <c r="I157">
        <v>9.6999999999999993</v>
      </c>
      <c r="J157">
        <v>-5.74E-2</v>
      </c>
      <c r="K157">
        <v>1.8</v>
      </c>
      <c r="L157">
        <v>-1.32E-2</v>
      </c>
      <c r="M157">
        <v>2567.5</v>
      </c>
      <c r="N157" t="s">
        <v>46</v>
      </c>
      <c r="P157" t="s">
        <v>40</v>
      </c>
      <c r="Q157" t="s">
        <v>41</v>
      </c>
      <c r="R157">
        <v>26700</v>
      </c>
      <c r="S157" s="30">
        <v>45986</v>
      </c>
      <c r="T157" t="s">
        <v>43</v>
      </c>
      <c r="U157">
        <v>5</v>
      </c>
      <c r="V157" s="31">
        <v>45978.635416666657</v>
      </c>
      <c r="W157" s="31">
        <v>45985.635416666657</v>
      </c>
      <c r="X157">
        <v>12.55</v>
      </c>
      <c r="Y157">
        <v>-6.7299999999999999E-2</v>
      </c>
      <c r="Z157">
        <v>1.7</v>
      </c>
      <c r="AA157">
        <v>-1.46E-2</v>
      </c>
      <c r="AB157">
        <v>3526.3</v>
      </c>
      <c r="AC157" t="s">
        <v>46</v>
      </c>
      <c r="AE157" t="s">
        <v>40</v>
      </c>
      <c r="AF157" t="s">
        <v>41</v>
      </c>
      <c r="AG157">
        <v>25900</v>
      </c>
      <c r="AH157" s="30">
        <v>45950</v>
      </c>
      <c r="AI157" t="s">
        <v>43</v>
      </c>
      <c r="AJ157">
        <v>5</v>
      </c>
      <c r="AK157" s="31">
        <v>45943.635416666657</v>
      </c>
      <c r="AL157" s="31">
        <v>45947.635416666657</v>
      </c>
      <c r="AM157">
        <v>8.1</v>
      </c>
      <c r="AN157">
        <v>-5.0599999999999999E-2</v>
      </c>
      <c r="AO157">
        <v>18.75</v>
      </c>
      <c r="AP157">
        <v>-0.18379999999999999</v>
      </c>
      <c r="AQ157">
        <v>-3461.2</v>
      </c>
      <c r="AR157" t="s">
        <v>46</v>
      </c>
    </row>
    <row r="158" spans="1:44" x14ac:dyDescent="0.3">
      <c r="A158" t="s">
        <v>40</v>
      </c>
      <c r="B158" t="s">
        <v>41</v>
      </c>
      <c r="C158">
        <v>26650</v>
      </c>
      <c r="D158" s="30">
        <v>46007</v>
      </c>
      <c r="E158" t="s">
        <v>43</v>
      </c>
      <c r="F158">
        <v>5</v>
      </c>
      <c r="G158" s="31">
        <v>45999.635416666657</v>
      </c>
      <c r="H158" s="31">
        <v>46006.635416666657</v>
      </c>
      <c r="I158">
        <v>9.5500000000000007</v>
      </c>
      <c r="J158">
        <v>-5.5800000000000002E-2</v>
      </c>
      <c r="K158">
        <v>0.95</v>
      </c>
      <c r="L158">
        <v>-1.06E-2</v>
      </c>
      <c r="M158">
        <v>2795</v>
      </c>
      <c r="N158" t="s">
        <v>46</v>
      </c>
      <c r="P158" t="s">
        <v>40</v>
      </c>
      <c r="Q158" t="s">
        <v>41</v>
      </c>
      <c r="R158">
        <v>26750</v>
      </c>
      <c r="S158" s="30">
        <v>45993</v>
      </c>
      <c r="T158" t="s">
        <v>43</v>
      </c>
      <c r="U158">
        <v>5</v>
      </c>
      <c r="V158" s="31">
        <v>45985.635416666657</v>
      </c>
      <c r="W158" s="31">
        <v>45992.635416666657</v>
      </c>
      <c r="X158">
        <v>10.15</v>
      </c>
      <c r="Y158">
        <v>-5.3100000000000001E-2</v>
      </c>
      <c r="Z158">
        <v>1.5</v>
      </c>
      <c r="AA158">
        <v>-1.6E-2</v>
      </c>
      <c r="AB158">
        <v>2811.2</v>
      </c>
      <c r="AC158" t="s">
        <v>46</v>
      </c>
      <c r="AE158" t="s">
        <v>40</v>
      </c>
      <c r="AF158" t="s">
        <v>51</v>
      </c>
      <c r="AG158">
        <v>25900</v>
      </c>
      <c r="AH158" s="30">
        <v>45958</v>
      </c>
      <c r="AI158" t="s">
        <v>43</v>
      </c>
      <c r="AJ158">
        <v>1</v>
      </c>
      <c r="AK158" s="31">
        <v>45946.635416666657</v>
      </c>
      <c r="AL158" s="31">
        <v>45957.635416666657</v>
      </c>
      <c r="AM158">
        <v>308.05</v>
      </c>
      <c r="AN158">
        <v>0.7379</v>
      </c>
      <c r="AO158">
        <v>34.549999999999997</v>
      </c>
      <c r="AP158">
        <v>0.36030000000000001</v>
      </c>
      <c r="AQ158">
        <v>17777.5</v>
      </c>
      <c r="AR158" t="s">
        <v>129</v>
      </c>
    </row>
    <row r="159" spans="1:44" x14ac:dyDescent="0.3">
      <c r="A159" t="s">
        <v>40</v>
      </c>
      <c r="B159" t="s">
        <v>41</v>
      </c>
      <c r="C159">
        <v>26600</v>
      </c>
      <c r="D159" s="30">
        <v>46014</v>
      </c>
      <c r="E159" t="s">
        <v>43</v>
      </c>
      <c r="F159">
        <v>5</v>
      </c>
      <c r="G159" s="31">
        <v>46006.635416666657</v>
      </c>
      <c r="H159" s="31">
        <v>46013.635416666657</v>
      </c>
      <c r="I159">
        <v>9.75</v>
      </c>
      <c r="J159">
        <v>-6.4699999999999994E-2</v>
      </c>
      <c r="K159">
        <v>1.1000000000000001</v>
      </c>
      <c r="L159">
        <v>-1.5900000000000001E-2</v>
      </c>
      <c r="M159">
        <v>2811.2</v>
      </c>
      <c r="N159" t="s">
        <v>46</v>
      </c>
      <c r="P159" t="s">
        <v>40</v>
      </c>
      <c r="Q159" t="s">
        <v>41</v>
      </c>
      <c r="R159">
        <v>26850</v>
      </c>
      <c r="S159" s="30">
        <v>46000</v>
      </c>
      <c r="T159" t="s">
        <v>43</v>
      </c>
      <c r="U159">
        <v>5</v>
      </c>
      <c r="V159" s="31">
        <v>45992.635416666657</v>
      </c>
      <c r="W159" s="31">
        <v>45999.635416666657</v>
      </c>
      <c r="X159">
        <v>9.6999999999999993</v>
      </c>
      <c r="Y159">
        <v>-5.74E-2</v>
      </c>
      <c r="Z159">
        <v>1.8</v>
      </c>
      <c r="AA159">
        <v>-1.32E-2</v>
      </c>
      <c r="AB159">
        <v>2567.5</v>
      </c>
      <c r="AC159" t="s">
        <v>46</v>
      </c>
      <c r="AE159" t="s">
        <v>40</v>
      </c>
      <c r="AF159" t="s">
        <v>51</v>
      </c>
      <c r="AG159">
        <v>25550</v>
      </c>
      <c r="AH159" s="30">
        <v>45958</v>
      </c>
      <c r="AI159" t="s">
        <v>54</v>
      </c>
      <c r="AJ159">
        <v>1</v>
      </c>
      <c r="AK159" s="31">
        <v>45946.635416666657</v>
      </c>
      <c r="AL159" s="31">
        <v>45957.635416666657</v>
      </c>
      <c r="AM159">
        <v>125</v>
      </c>
      <c r="AN159">
        <v>-0.42130000000000001</v>
      </c>
      <c r="AO159">
        <v>5.35</v>
      </c>
      <c r="AP159">
        <v>-5.0099999999999999E-2</v>
      </c>
      <c r="AQ159">
        <v>-7777.2</v>
      </c>
      <c r="AR159" t="s">
        <v>129</v>
      </c>
    </row>
    <row r="160" spans="1:44" x14ac:dyDescent="0.3">
      <c r="A160" t="s">
        <v>40</v>
      </c>
      <c r="B160" t="s">
        <v>51</v>
      </c>
      <c r="C160">
        <v>25950</v>
      </c>
      <c r="D160" s="30">
        <v>46021</v>
      </c>
      <c r="E160" t="s">
        <v>54</v>
      </c>
      <c r="F160">
        <v>1</v>
      </c>
      <c r="G160" s="31">
        <v>45985.635416666657</v>
      </c>
      <c r="H160" s="31">
        <v>46020.635416666657</v>
      </c>
      <c r="I160">
        <v>261</v>
      </c>
      <c r="J160">
        <v>-0.41199999999999998</v>
      </c>
      <c r="K160">
        <v>48.35</v>
      </c>
      <c r="L160">
        <v>-0.51519999999999999</v>
      </c>
      <c r="M160">
        <v>-13822.2</v>
      </c>
      <c r="N160" t="s">
        <v>46</v>
      </c>
      <c r="P160" t="s">
        <v>40</v>
      </c>
      <c r="Q160" t="s">
        <v>41</v>
      </c>
      <c r="R160">
        <v>26650</v>
      </c>
      <c r="S160" s="30">
        <v>46007</v>
      </c>
      <c r="T160" t="s">
        <v>43</v>
      </c>
      <c r="U160">
        <v>5</v>
      </c>
      <c r="V160" s="31">
        <v>45999.635416666657</v>
      </c>
      <c r="W160" s="31">
        <v>46006.635416666657</v>
      </c>
      <c r="X160">
        <v>9.5500000000000007</v>
      </c>
      <c r="Y160">
        <v>-5.5800000000000002E-2</v>
      </c>
      <c r="Z160">
        <v>0.95</v>
      </c>
      <c r="AA160">
        <v>-1.06E-2</v>
      </c>
      <c r="AB160">
        <v>2795</v>
      </c>
      <c r="AC160" t="s">
        <v>46</v>
      </c>
      <c r="AE160" t="s">
        <v>40</v>
      </c>
      <c r="AF160" t="s">
        <v>41</v>
      </c>
      <c r="AG160">
        <v>26550</v>
      </c>
      <c r="AH160" s="30">
        <v>45958</v>
      </c>
      <c r="AI160" t="s">
        <v>43</v>
      </c>
      <c r="AJ160">
        <v>5</v>
      </c>
      <c r="AK160" s="31">
        <v>45947.635416666657</v>
      </c>
      <c r="AL160" s="31">
        <v>45957.635416666657</v>
      </c>
      <c r="AM160">
        <v>5.9</v>
      </c>
      <c r="AN160">
        <v>-3.5299999999999998E-2</v>
      </c>
      <c r="AO160">
        <v>2.2000000000000002</v>
      </c>
      <c r="AP160">
        <v>-2.1000000000000001E-2</v>
      </c>
      <c r="AQ160">
        <v>1202.5</v>
      </c>
      <c r="AR160" t="s">
        <v>46</v>
      </c>
    </row>
    <row r="161" spans="1:44" x14ac:dyDescent="0.3">
      <c r="A161" t="s">
        <v>40</v>
      </c>
      <c r="B161" t="s">
        <v>51</v>
      </c>
      <c r="C161">
        <v>26500</v>
      </c>
      <c r="D161" s="30">
        <v>46021</v>
      </c>
      <c r="E161" t="s">
        <v>43</v>
      </c>
      <c r="F161">
        <v>1</v>
      </c>
      <c r="G161" s="31">
        <v>45985.635416666657</v>
      </c>
      <c r="H161" s="31">
        <v>46020.635416666657</v>
      </c>
      <c r="I161">
        <v>524.15</v>
      </c>
      <c r="J161">
        <v>0.65149999999999997</v>
      </c>
      <c r="K161">
        <v>547.75</v>
      </c>
      <c r="L161">
        <v>0.98</v>
      </c>
      <c r="M161">
        <v>-1534</v>
      </c>
      <c r="N161" t="s">
        <v>46</v>
      </c>
      <c r="P161" t="s">
        <v>40</v>
      </c>
      <c r="Q161" t="s">
        <v>41</v>
      </c>
      <c r="R161">
        <v>26600</v>
      </c>
      <c r="S161" s="30">
        <v>46014</v>
      </c>
      <c r="T161" t="s">
        <v>43</v>
      </c>
      <c r="U161">
        <v>5</v>
      </c>
      <c r="V161" s="31">
        <v>46006.635416666657</v>
      </c>
      <c r="W161" s="31">
        <v>46013.635416666657</v>
      </c>
      <c r="X161">
        <v>9.75</v>
      </c>
      <c r="Y161">
        <v>-6.4699999999999994E-2</v>
      </c>
      <c r="Z161">
        <v>1.1000000000000001</v>
      </c>
      <c r="AA161">
        <v>-1.5900000000000001E-2</v>
      </c>
      <c r="AB161">
        <v>2811.2</v>
      </c>
      <c r="AC161" t="s">
        <v>46</v>
      </c>
      <c r="AE161" t="s">
        <v>40</v>
      </c>
      <c r="AF161" t="s">
        <v>41</v>
      </c>
      <c r="AG161">
        <v>26800</v>
      </c>
      <c r="AH161" s="30">
        <v>45965</v>
      </c>
      <c r="AI161" t="s">
        <v>43</v>
      </c>
      <c r="AJ161">
        <v>5</v>
      </c>
      <c r="AK161" s="31">
        <v>45957.635416666657</v>
      </c>
      <c r="AL161" s="31">
        <v>45964.635416666657</v>
      </c>
      <c r="AM161">
        <v>11.5</v>
      </c>
      <c r="AN161">
        <v>-5.5300000000000002E-2</v>
      </c>
      <c r="AO161">
        <v>1.2</v>
      </c>
      <c r="AP161">
        <v>-8.6E-3</v>
      </c>
      <c r="AQ161">
        <v>3347.5</v>
      </c>
      <c r="AR161" t="s">
        <v>46</v>
      </c>
    </row>
    <row r="162" spans="1:44" x14ac:dyDescent="0.3">
      <c r="A162" t="s">
        <v>40</v>
      </c>
      <c r="B162" t="s">
        <v>41</v>
      </c>
      <c r="C162">
        <v>26700</v>
      </c>
      <c r="D162" s="30">
        <v>46021</v>
      </c>
      <c r="E162" t="s">
        <v>43</v>
      </c>
      <c r="F162">
        <v>5</v>
      </c>
      <c r="G162" s="31">
        <v>46013.635416666657</v>
      </c>
      <c r="H162" s="31">
        <v>46020.635416666657</v>
      </c>
      <c r="I162">
        <v>9.6</v>
      </c>
      <c r="J162">
        <v>-6.7900000000000002E-2</v>
      </c>
      <c r="K162">
        <v>1.4</v>
      </c>
      <c r="L162">
        <v>-1.23E-2</v>
      </c>
      <c r="M162">
        <v>2665</v>
      </c>
      <c r="N162" t="s">
        <v>46</v>
      </c>
      <c r="P162" t="s">
        <v>40</v>
      </c>
      <c r="Q162" t="s">
        <v>51</v>
      </c>
      <c r="R162">
        <v>25950</v>
      </c>
      <c r="S162" s="30">
        <v>46021</v>
      </c>
      <c r="T162" t="s">
        <v>54</v>
      </c>
      <c r="U162">
        <v>1</v>
      </c>
      <c r="V162" s="31">
        <v>45985.635416666657</v>
      </c>
      <c r="W162" s="31">
        <v>46020.635416666657</v>
      </c>
      <c r="X162">
        <v>261</v>
      </c>
      <c r="Y162">
        <v>-0.41199999999999998</v>
      </c>
      <c r="Z162">
        <v>48.35</v>
      </c>
      <c r="AA162">
        <v>-0.51519999999999999</v>
      </c>
      <c r="AB162">
        <v>-13822.2</v>
      </c>
      <c r="AC162" t="s">
        <v>46</v>
      </c>
      <c r="AE162" t="s">
        <v>40</v>
      </c>
      <c r="AF162" t="s">
        <v>41</v>
      </c>
      <c r="AG162">
        <v>26550</v>
      </c>
      <c r="AH162" s="30">
        <v>45972</v>
      </c>
      <c r="AI162" t="s">
        <v>43</v>
      </c>
      <c r="AJ162">
        <v>5</v>
      </c>
      <c r="AK162" s="31">
        <v>45964.635416666657</v>
      </c>
      <c r="AL162" s="31">
        <v>45971.635416666657</v>
      </c>
      <c r="AM162">
        <v>10.65</v>
      </c>
      <c r="AN162">
        <v>-5.5300000000000002E-2</v>
      </c>
      <c r="AO162">
        <v>0.75</v>
      </c>
      <c r="AP162">
        <v>-6.1999999999999998E-3</v>
      </c>
      <c r="AQ162">
        <v>3217.5</v>
      </c>
      <c r="AR162" t="s">
        <v>46</v>
      </c>
    </row>
    <row r="163" spans="1:44" x14ac:dyDescent="0.3">
      <c r="A163" t="s">
        <v>40</v>
      </c>
      <c r="B163" t="s">
        <v>41</v>
      </c>
      <c r="C163">
        <v>26500</v>
      </c>
      <c r="D163" s="30">
        <v>46028</v>
      </c>
      <c r="E163" t="s">
        <v>43</v>
      </c>
      <c r="F163">
        <v>5</v>
      </c>
      <c r="G163" s="31">
        <v>46020.635416666657</v>
      </c>
      <c r="H163" s="31">
        <v>46027.635416666657</v>
      </c>
      <c r="I163">
        <v>10.6</v>
      </c>
      <c r="J163">
        <v>-6.9400000000000003E-2</v>
      </c>
      <c r="K163">
        <v>3</v>
      </c>
      <c r="L163">
        <v>-4.8500000000000001E-2</v>
      </c>
      <c r="M163">
        <v>2470</v>
      </c>
      <c r="N163" t="s">
        <v>46</v>
      </c>
      <c r="P163" t="s">
        <v>40</v>
      </c>
      <c r="Q163" t="s">
        <v>51</v>
      </c>
      <c r="R163">
        <v>26500</v>
      </c>
      <c r="S163" s="30">
        <v>46021</v>
      </c>
      <c r="T163" t="s">
        <v>43</v>
      </c>
      <c r="U163">
        <v>1</v>
      </c>
      <c r="V163" s="31">
        <v>45985.635416666657</v>
      </c>
      <c r="W163" s="31">
        <v>46020.635416666657</v>
      </c>
      <c r="X163">
        <v>524.15</v>
      </c>
      <c r="Y163">
        <v>0.65149999999999997</v>
      </c>
      <c r="Z163">
        <v>547.75</v>
      </c>
      <c r="AA163">
        <v>0.98</v>
      </c>
      <c r="AB163">
        <v>-1534</v>
      </c>
      <c r="AC163" t="s">
        <v>46</v>
      </c>
      <c r="AE163" t="s">
        <v>40</v>
      </c>
      <c r="AF163" t="s">
        <v>41</v>
      </c>
      <c r="AG163">
        <v>26250</v>
      </c>
      <c r="AH163" s="30">
        <v>45979</v>
      </c>
      <c r="AI163" t="s">
        <v>43</v>
      </c>
      <c r="AJ163">
        <v>5</v>
      </c>
      <c r="AK163" s="31">
        <v>45971.635416666657</v>
      </c>
      <c r="AL163" s="31">
        <v>45978.635416666657</v>
      </c>
      <c r="AM163">
        <v>12.65</v>
      </c>
      <c r="AN163">
        <v>-6.8500000000000005E-2</v>
      </c>
      <c r="AO163">
        <v>6.85</v>
      </c>
      <c r="AP163">
        <v>-8.6999999999999994E-2</v>
      </c>
      <c r="AQ163">
        <v>1885</v>
      </c>
      <c r="AR163" t="s">
        <v>46</v>
      </c>
    </row>
    <row r="164" spans="1:44" x14ac:dyDescent="0.3">
      <c r="A164" t="s">
        <v>40</v>
      </c>
      <c r="B164" t="s">
        <v>41</v>
      </c>
      <c r="C164">
        <v>26750</v>
      </c>
      <c r="D164" s="30">
        <v>46035</v>
      </c>
      <c r="E164" t="s">
        <v>43</v>
      </c>
      <c r="F164">
        <v>5</v>
      </c>
      <c r="G164" s="31">
        <v>46027.635416666657</v>
      </c>
      <c r="H164" s="31">
        <v>46034.635416666657</v>
      </c>
      <c r="I164">
        <v>10.199999999999999</v>
      </c>
      <c r="J164">
        <v>-7.2800000000000004E-2</v>
      </c>
      <c r="K164">
        <v>1.1499999999999999</v>
      </c>
      <c r="L164">
        <v>-8.6999999999999994E-3</v>
      </c>
      <c r="M164">
        <v>2941.2</v>
      </c>
      <c r="N164" t="s">
        <v>46</v>
      </c>
      <c r="P164" t="s">
        <v>40</v>
      </c>
      <c r="Q164" t="s">
        <v>41</v>
      </c>
      <c r="R164">
        <v>26700</v>
      </c>
      <c r="S164" s="30">
        <v>46021</v>
      </c>
      <c r="T164" t="s">
        <v>43</v>
      </c>
      <c r="U164">
        <v>5</v>
      </c>
      <c r="V164" s="31">
        <v>46013.635416666657</v>
      </c>
      <c r="W164" s="31">
        <v>46020.635416666657</v>
      </c>
      <c r="X164">
        <v>9.6</v>
      </c>
      <c r="Y164">
        <v>-6.7900000000000002E-2</v>
      </c>
      <c r="Z164">
        <v>1.4</v>
      </c>
      <c r="AA164">
        <v>-1.23E-2</v>
      </c>
      <c r="AB164">
        <v>2665</v>
      </c>
      <c r="AC164" t="s">
        <v>46</v>
      </c>
      <c r="AE164" t="s">
        <v>40</v>
      </c>
      <c r="AF164" t="s">
        <v>51</v>
      </c>
      <c r="AG164">
        <v>26400</v>
      </c>
      <c r="AH164" s="30">
        <v>45986</v>
      </c>
      <c r="AI164" t="s">
        <v>43</v>
      </c>
      <c r="AJ164">
        <v>1</v>
      </c>
      <c r="AK164" s="31">
        <v>45957.635416666657</v>
      </c>
      <c r="AL164" s="31">
        <v>45985.635416666657</v>
      </c>
      <c r="AM164">
        <v>443.4</v>
      </c>
      <c r="AN164">
        <v>0.63229999999999997</v>
      </c>
      <c r="AO164">
        <v>404.2</v>
      </c>
      <c r="AP164">
        <v>0.96560000000000001</v>
      </c>
      <c r="AQ164">
        <v>2548</v>
      </c>
      <c r="AR164" t="s">
        <v>46</v>
      </c>
    </row>
    <row r="165" spans="1:44" x14ac:dyDescent="0.3">
      <c r="A165" t="s">
        <v>40</v>
      </c>
      <c r="B165" t="s">
        <v>41</v>
      </c>
      <c r="C165">
        <v>26600</v>
      </c>
      <c r="D165" s="30">
        <v>46042</v>
      </c>
      <c r="E165" t="s">
        <v>43</v>
      </c>
      <c r="F165">
        <v>5</v>
      </c>
      <c r="G165" s="31">
        <v>46034.635416666657</v>
      </c>
      <c r="H165" s="31">
        <v>46041.635416666657</v>
      </c>
      <c r="I165">
        <v>9.6</v>
      </c>
      <c r="J165">
        <v>-4.99E-2</v>
      </c>
      <c r="K165">
        <v>1.1000000000000001</v>
      </c>
      <c r="L165">
        <v>-8.2000000000000007E-3</v>
      </c>
      <c r="M165">
        <v>2762.5</v>
      </c>
      <c r="N165" t="s">
        <v>46</v>
      </c>
      <c r="P165" t="s">
        <v>40</v>
      </c>
      <c r="Q165" t="s">
        <v>51</v>
      </c>
      <c r="R165">
        <v>26300</v>
      </c>
      <c r="S165" s="30">
        <v>46049</v>
      </c>
      <c r="T165" t="s">
        <v>43</v>
      </c>
      <c r="U165">
        <v>1</v>
      </c>
      <c r="V165" s="31">
        <v>46020.635416666657</v>
      </c>
      <c r="W165" s="31">
        <v>46024.635416666657</v>
      </c>
      <c r="X165">
        <v>360</v>
      </c>
      <c r="Y165">
        <v>0.61860000000000004</v>
      </c>
      <c r="Z165">
        <v>166.1</v>
      </c>
      <c r="AA165">
        <v>0.4</v>
      </c>
      <c r="AB165">
        <v>12603.5</v>
      </c>
      <c r="AC165" t="s">
        <v>63</v>
      </c>
      <c r="AE165" t="s">
        <v>40</v>
      </c>
      <c r="AF165" t="s">
        <v>51</v>
      </c>
      <c r="AG165">
        <v>25950</v>
      </c>
      <c r="AH165" s="30">
        <v>45986</v>
      </c>
      <c r="AI165" t="s">
        <v>54</v>
      </c>
      <c r="AJ165">
        <v>1</v>
      </c>
      <c r="AK165" s="31">
        <v>45957.635416666657</v>
      </c>
      <c r="AL165" s="31">
        <v>45985.635416666657</v>
      </c>
      <c r="AM165">
        <v>229.65</v>
      </c>
      <c r="AN165">
        <v>-0.41789999999999999</v>
      </c>
      <c r="AO165">
        <v>53.35</v>
      </c>
      <c r="AP165">
        <v>-0.46650000000000003</v>
      </c>
      <c r="AQ165">
        <v>-11459.5</v>
      </c>
      <c r="AR165" t="s">
        <v>46</v>
      </c>
    </row>
    <row r="166" spans="1:44" x14ac:dyDescent="0.3">
      <c r="A166" t="s">
        <v>40</v>
      </c>
      <c r="B166" t="s">
        <v>51</v>
      </c>
      <c r="C166">
        <v>25950</v>
      </c>
      <c r="D166" s="30">
        <v>46049</v>
      </c>
      <c r="E166" t="s">
        <v>54</v>
      </c>
      <c r="F166">
        <v>1</v>
      </c>
      <c r="G166" s="31">
        <v>46020.635416666657</v>
      </c>
      <c r="H166" s="31">
        <v>46045.635416666657</v>
      </c>
      <c r="I166">
        <v>194.1</v>
      </c>
      <c r="J166">
        <v>-0.41749999999999998</v>
      </c>
      <c r="K166">
        <v>857</v>
      </c>
      <c r="L166">
        <v>-0.97629999999999995</v>
      </c>
      <c r="M166">
        <v>43088.5</v>
      </c>
      <c r="N166" t="s">
        <v>46</v>
      </c>
      <c r="P166" t="s">
        <v>40</v>
      </c>
      <c r="Q166" t="s">
        <v>41</v>
      </c>
      <c r="R166">
        <v>26500</v>
      </c>
      <c r="S166" s="30">
        <v>46028</v>
      </c>
      <c r="T166" t="s">
        <v>43</v>
      </c>
      <c r="U166">
        <v>5</v>
      </c>
      <c r="V166" s="31">
        <v>46020.635416666657</v>
      </c>
      <c r="W166" s="31">
        <v>46027.635416666657</v>
      </c>
      <c r="X166">
        <v>10.6</v>
      </c>
      <c r="Y166">
        <v>-6.9400000000000003E-2</v>
      </c>
      <c r="Z166">
        <v>3</v>
      </c>
      <c r="AA166">
        <v>-4.8500000000000001E-2</v>
      </c>
      <c r="AB166">
        <v>2470</v>
      </c>
      <c r="AC166" t="s">
        <v>46</v>
      </c>
      <c r="AE166" t="s">
        <v>40</v>
      </c>
      <c r="AF166" t="s">
        <v>41</v>
      </c>
      <c r="AG166">
        <v>26700</v>
      </c>
      <c r="AH166" s="30">
        <v>45986</v>
      </c>
      <c r="AI166" t="s">
        <v>43</v>
      </c>
      <c r="AJ166">
        <v>5</v>
      </c>
      <c r="AK166" s="31">
        <v>45978.635416666657</v>
      </c>
      <c r="AL166" s="31">
        <v>45985.635416666657</v>
      </c>
      <c r="AM166">
        <v>12.55</v>
      </c>
      <c r="AN166">
        <v>-6.7299999999999999E-2</v>
      </c>
      <c r="AO166">
        <v>1.7</v>
      </c>
      <c r="AP166">
        <v>-1.46E-2</v>
      </c>
      <c r="AQ166">
        <v>3526.3</v>
      </c>
      <c r="AR166" t="s">
        <v>46</v>
      </c>
    </row>
    <row r="167" spans="1:44" x14ac:dyDescent="0.3">
      <c r="A167" t="s">
        <v>40</v>
      </c>
      <c r="B167" t="s">
        <v>51</v>
      </c>
      <c r="C167">
        <v>26500</v>
      </c>
      <c r="D167" s="30">
        <v>46049</v>
      </c>
      <c r="E167" t="s">
        <v>43</v>
      </c>
      <c r="F167">
        <v>1</v>
      </c>
      <c r="G167" s="31">
        <v>46020.635416666657</v>
      </c>
      <c r="H167" s="31">
        <v>46045.635416666657</v>
      </c>
      <c r="I167">
        <v>486.05</v>
      </c>
      <c r="J167">
        <v>0.72509999999999997</v>
      </c>
      <c r="K167">
        <v>1400</v>
      </c>
      <c r="L167">
        <v>0.99029999999999996</v>
      </c>
      <c r="M167">
        <v>-59406.8</v>
      </c>
      <c r="N167" t="s">
        <v>46</v>
      </c>
      <c r="P167" t="s">
        <v>40</v>
      </c>
      <c r="Q167" t="s">
        <v>41</v>
      </c>
      <c r="R167">
        <v>26750</v>
      </c>
      <c r="S167" s="30">
        <v>46035</v>
      </c>
      <c r="T167" t="s">
        <v>43</v>
      </c>
      <c r="U167">
        <v>5</v>
      </c>
      <c r="V167" s="31">
        <v>46027.635416666657</v>
      </c>
      <c r="W167" s="31">
        <v>46034.635416666657</v>
      </c>
      <c r="X167">
        <v>10.199999999999999</v>
      </c>
      <c r="Y167">
        <v>-7.2800000000000004E-2</v>
      </c>
      <c r="Z167">
        <v>1.1499999999999999</v>
      </c>
      <c r="AA167">
        <v>-8.6999999999999994E-3</v>
      </c>
      <c r="AB167">
        <v>2941.2</v>
      </c>
      <c r="AC167" t="s">
        <v>46</v>
      </c>
      <c r="AE167" t="s">
        <v>40</v>
      </c>
      <c r="AF167" t="s">
        <v>41</v>
      </c>
      <c r="AG167">
        <v>26750</v>
      </c>
      <c r="AH167" s="30">
        <v>45993</v>
      </c>
      <c r="AI167" t="s">
        <v>43</v>
      </c>
      <c r="AJ167">
        <v>5</v>
      </c>
      <c r="AK167" s="31">
        <v>45985.635416666657</v>
      </c>
      <c r="AL167" s="31">
        <v>45992.635416666657</v>
      </c>
      <c r="AM167">
        <v>10.15</v>
      </c>
      <c r="AN167">
        <v>-5.3100000000000001E-2</v>
      </c>
      <c r="AO167">
        <v>1.5</v>
      </c>
      <c r="AP167">
        <v>-1.6E-2</v>
      </c>
      <c r="AQ167">
        <v>2811.2</v>
      </c>
      <c r="AR167" t="s">
        <v>46</v>
      </c>
    </row>
    <row r="168" spans="1:44" x14ac:dyDescent="0.3">
      <c r="A168" t="s">
        <v>40</v>
      </c>
      <c r="B168" t="s">
        <v>41</v>
      </c>
      <c r="C168">
        <v>26350</v>
      </c>
      <c r="D168" s="30">
        <v>46049</v>
      </c>
      <c r="E168" t="s">
        <v>43</v>
      </c>
      <c r="F168">
        <v>5</v>
      </c>
      <c r="G168" s="31">
        <v>46041.635416666657</v>
      </c>
      <c r="H168" s="31">
        <v>46045.635416666657</v>
      </c>
      <c r="I168">
        <v>9.4</v>
      </c>
      <c r="J168">
        <v>-5.1799999999999999E-2</v>
      </c>
      <c r="K168">
        <v>2.2000000000000002</v>
      </c>
      <c r="L168">
        <v>-1.18E-2</v>
      </c>
      <c r="M168">
        <v>2340</v>
      </c>
      <c r="N168" t="s">
        <v>46</v>
      </c>
      <c r="P168" t="s">
        <v>40</v>
      </c>
      <c r="Q168" t="s">
        <v>41</v>
      </c>
      <c r="R168">
        <v>26600</v>
      </c>
      <c r="S168" s="30">
        <v>46042</v>
      </c>
      <c r="T168" t="s">
        <v>43</v>
      </c>
      <c r="U168">
        <v>5</v>
      </c>
      <c r="V168" s="31">
        <v>46034.635416666657</v>
      </c>
      <c r="W168" s="31">
        <v>46041.635416666657</v>
      </c>
      <c r="X168">
        <v>9.6</v>
      </c>
      <c r="Y168">
        <v>-4.99E-2</v>
      </c>
      <c r="Z168">
        <v>1.1000000000000001</v>
      </c>
      <c r="AA168">
        <v>-8.2000000000000007E-3</v>
      </c>
      <c r="AB168">
        <v>2762.5</v>
      </c>
      <c r="AC168" t="s">
        <v>46</v>
      </c>
      <c r="AE168" t="s">
        <v>40</v>
      </c>
      <c r="AF168" t="s">
        <v>41</v>
      </c>
      <c r="AG168">
        <v>26850</v>
      </c>
      <c r="AH168" s="30">
        <v>46000</v>
      </c>
      <c r="AI168" t="s">
        <v>43</v>
      </c>
      <c r="AJ168">
        <v>5</v>
      </c>
      <c r="AK168" s="31">
        <v>45992.635416666657</v>
      </c>
      <c r="AL168" s="31">
        <v>45999.635416666657</v>
      </c>
      <c r="AM168">
        <v>9.6999999999999993</v>
      </c>
      <c r="AN168">
        <v>-5.74E-2</v>
      </c>
      <c r="AO168">
        <v>1.8</v>
      </c>
      <c r="AP168">
        <v>-1.32E-2</v>
      </c>
      <c r="AQ168">
        <v>2567.5</v>
      </c>
      <c r="AR168" t="s">
        <v>46</v>
      </c>
    </row>
    <row r="169" spans="1:44" x14ac:dyDescent="0.3">
      <c r="A169" t="s">
        <v>40</v>
      </c>
      <c r="B169" t="s">
        <v>41</v>
      </c>
      <c r="C169">
        <v>26350</v>
      </c>
      <c r="D169" s="30">
        <v>46056</v>
      </c>
      <c r="E169" t="s">
        <v>43</v>
      </c>
      <c r="F169">
        <v>5</v>
      </c>
      <c r="G169" s="31">
        <v>46045.635416666657</v>
      </c>
      <c r="H169" s="31">
        <v>46055.635416666657</v>
      </c>
      <c r="I169">
        <v>17.100000000000001</v>
      </c>
      <c r="J169">
        <v>-5.4600000000000003E-2</v>
      </c>
      <c r="K169">
        <v>1.1000000000000001</v>
      </c>
      <c r="L169">
        <v>-6.8999999999999999E-3</v>
      </c>
      <c r="M169">
        <v>5200</v>
      </c>
      <c r="N169" t="s">
        <v>46</v>
      </c>
      <c r="P169" t="s">
        <v>40</v>
      </c>
      <c r="Q169" t="s">
        <v>51</v>
      </c>
      <c r="R169">
        <v>25950</v>
      </c>
      <c r="S169" s="30">
        <v>46049</v>
      </c>
      <c r="T169" t="s">
        <v>54</v>
      </c>
      <c r="U169">
        <v>1</v>
      </c>
      <c r="V169" s="31">
        <v>46020.635416666657</v>
      </c>
      <c r="W169" s="31">
        <v>46045.635416666657</v>
      </c>
      <c r="X169">
        <v>194.1</v>
      </c>
      <c r="Y169">
        <v>-0.41749999999999998</v>
      </c>
      <c r="Z169">
        <v>857</v>
      </c>
      <c r="AA169">
        <v>-0.97629999999999995</v>
      </c>
      <c r="AB169">
        <v>43088.5</v>
      </c>
      <c r="AC169" t="s">
        <v>46</v>
      </c>
      <c r="AE169" t="s">
        <v>40</v>
      </c>
      <c r="AF169" t="s">
        <v>41</v>
      </c>
      <c r="AG169">
        <v>26650</v>
      </c>
      <c r="AH169" s="30">
        <v>46007</v>
      </c>
      <c r="AI169" t="s">
        <v>43</v>
      </c>
      <c r="AJ169">
        <v>5</v>
      </c>
      <c r="AK169" s="31">
        <v>45999.635416666657</v>
      </c>
      <c r="AL169" s="31">
        <v>46006.635416666657</v>
      </c>
      <c r="AM169">
        <v>9.5500000000000007</v>
      </c>
      <c r="AN169">
        <v>-5.5800000000000002E-2</v>
      </c>
      <c r="AO169">
        <v>0.95</v>
      </c>
      <c r="AP169">
        <v>-1.06E-2</v>
      </c>
      <c r="AQ169">
        <v>2795</v>
      </c>
      <c r="AR169" t="s">
        <v>46</v>
      </c>
    </row>
    <row r="170" spans="1:44" x14ac:dyDescent="0.3">
      <c r="A170" t="s">
        <v>40</v>
      </c>
      <c r="B170" t="s">
        <v>41</v>
      </c>
      <c r="C170">
        <v>25850</v>
      </c>
      <c r="D170" s="30">
        <v>46063</v>
      </c>
      <c r="E170" t="s">
        <v>43</v>
      </c>
      <c r="F170">
        <v>5</v>
      </c>
      <c r="G170" s="31">
        <v>46055.635416666657</v>
      </c>
      <c r="H170" s="31">
        <v>46062.635416666657</v>
      </c>
      <c r="I170">
        <v>17.600000000000001</v>
      </c>
      <c r="J170">
        <v>-7.8899999999999998E-2</v>
      </c>
      <c r="K170">
        <v>78.45</v>
      </c>
      <c r="L170">
        <v>-0.55030000000000001</v>
      </c>
      <c r="M170">
        <v>-19776.2</v>
      </c>
      <c r="N170" t="s">
        <v>46</v>
      </c>
      <c r="P170" t="s">
        <v>40</v>
      </c>
      <c r="Q170" t="s">
        <v>51</v>
      </c>
      <c r="R170">
        <v>26700</v>
      </c>
      <c r="S170" s="30">
        <v>46049</v>
      </c>
      <c r="T170" t="s">
        <v>43</v>
      </c>
      <c r="U170">
        <v>1</v>
      </c>
      <c r="V170" s="31">
        <v>46024.635416666657</v>
      </c>
      <c r="W170" s="31">
        <v>46045.635416666657</v>
      </c>
      <c r="X170">
        <v>364.6</v>
      </c>
      <c r="Y170">
        <v>0.67390000000000005</v>
      </c>
      <c r="Z170">
        <v>1600</v>
      </c>
      <c r="AA170">
        <v>0.99150000000000005</v>
      </c>
      <c r="AB170">
        <v>-80301</v>
      </c>
      <c r="AC170" t="s">
        <v>46</v>
      </c>
      <c r="AE170" t="s">
        <v>40</v>
      </c>
      <c r="AF170" t="s">
        <v>41</v>
      </c>
      <c r="AG170">
        <v>26600</v>
      </c>
      <c r="AH170" s="30">
        <v>46014</v>
      </c>
      <c r="AI170" t="s">
        <v>43</v>
      </c>
      <c r="AJ170">
        <v>5</v>
      </c>
      <c r="AK170" s="31">
        <v>46006.635416666657</v>
      </c>
      <c r="AL170" s="31">
        <v>46013.635416666657</v>
      </c>
      <c r="AM170">
        <v>9.75</v>
      </c>
      <c r="AN170">
        <v>-6.4699999999999994E-2</v>
      </c>
      <c r="AO170">
        <v>1.1000000000000001</v>
      </c>
      <c r="AP170">
        <v>-1.5900000000000001E-2</v>
      </c>
      <c r="AQ170">
        <v>2811.2</v>
      </c>
      <c r="AR170" t="s">
        <v>46</v>
      </c>
    </row>
    <row r="171" spans="1:44" x14ac:dyDescent="0.3">
      <c r="A171" t="s">
        <v>40</v>
      </c>
      <c r="B171" t="s">
        <v>41</v>
      </c>
      <c r="C171">
        <v>26500</v>
      </c>
      <c r="D171" s="30">
        <v>46070</v>
      </c>
      <c r="E171" t="s">
        <v>43</v>
      </c>
      <c r="F171">
        <v>5</v>
      </c>
      <c r="G171" s="31">
        <v>46062.635416666657</v>
      </c>
      <c r="H171" s="31">
        <v>46069.635416666657</v>
      </c>
      <c r="I171">
        <v>17.100000000000001</v>
      </c>
      <c r="J171">
        <v>-8.6999999999999994E-2</v>
      </c>
      <c r="K171">
        <v>2.25</v>
      </c>
      <c r="L171">
        <v>-1.6799999999999999E-2</v>
      </c>
      <c r="M171">
        <v>4826.3</v>
      </c>
      <c r="N171" t="s">
        <v>46</v>
      </c>
      <c r="P171" t="s">
        <v>40</v>
      </c>
      <c r="Q171" t="s">
        <v>41</v>
      </c>
      <c r="R171">
        <v>26350</v>
      </c>
      <c r="S171" s="30">
        <v>46049</v>
      </c>
      <c r="T171" t="s">
        <v>43</v>
      </c>
      <c r="U171">
        <v>5</v>
      </c>
      <c r="V171" s="31">
        <v>46041.635416666657</v>
      </c>
      <c r="W171" s="31">
        <v>46045.635416666657</v>
      </c>
      <c r="X171">
        <v>9.4</v>
      </c>
      <c r="Y171">
        <v>-5.1799999999999999E-2</v>
      </c>
      <c r="Z171">
        <v>2.2000000000000002</v>
      </c>
      <c r="AA171">
        <v>-1.18E-2</v>
      </c>
      <c r="AB171">
        <v>2340</v>
      </c>
      <c r="AC171" t="s">
        <v>46</v>
      </c>
      <c r="AE171" t="s">
        <v>40</v>
      </c>
      <c r="AF171" t="s">
        <v>51</v>
      </c>
      <c r="AG171">
        <v>26500</v>
      </c>
      <c r="AH171" s="30">
        <v>46021</v>
      </c>
      <c r="AI171" t="s">
        <v>43</v>
      </c>
      <c r="AJ171">
        <v>1</v>
      </c>
      <c r="AK171" s="31">
        <v>45985.635416666657</v>
      </c>
      <c r="AL171" s="31">
        <v>46020.635416666657</v>
      </c>
      <c r="AM171">
        <v>524.15</v>
      </c>
      <c r="AN171">
        <v>0.65149999999999997</v>
      </c>
      <c r="AO171">
        <v>547.75</v>
      </c>
      <c r="AP171">
        <v>0.98</v>
      </c>
      <c r="AQ171">
        <v>-1534</v>
      </c>
      <c r="AR171" t="s">
        <v>46</v>
      </c>
    </row>
    <row r="172" spans="1:44" x14ac:dyDescent="0.3">
      <c r="A172" t="s">
        <v>40</v>
      </c>
      <c r="B172" t="s">
        <v>51</v>
      </c>
      <c r="C172">
        <v>25050</v>
      </c>
      <c r="D172" s="30">
        <v>46077</v>
      </c>
      <c r="E172" t="s">
        <v>54</v>
      </c>
      <c r="F172">
        <v>1</v>
      </c>
      <c r="G172" s="31">
        <v>46045.635416666657</v>
      </c>
      <c r="H172" s="31">
        <v>46076.635416666657</v>
      </c>
      <c r="I172">
        <v>330.15</v>
      </c>
      <c r="J172">
        <v>-0.43159999999999998</v>
      </c>
      <c r="K172">
        <v>9.0500000000000007</v>
      </c>
      <c r="L172">
        <v>-5.0999999999999997E-2</v>
      </c>
      <c r="M172">
        <v>-20871.5</v>
      </c>
      <c r="N172" t="s">
        <v>46</v>
      </c>
      <c r="P172" t="s">
        <v>40</v>
      </c>
      <c r="Q172" t="s">
        <v>41</v>
      </c>
      <c r="R172">
        <v>26350</v>
      </c>
      <c r="S172" s="30">
        <v>46056</v>
      </c>
      <c r="T172" t="s">
        <v>43</v>
      </c>
      <c r="U172">
        <v>5</v>
      </c>
      <c r="V172" s="31">
        <v>46045.635416666657</v>
      </c>
      <c r="W172" s="31">
        <v>46055.635416666657</v>
      </c>
      <c r="X172">
        <v>17.100000000000001</v>
      </c>
      <c r="Y172">
        <v>-5.4600000000000003E-2</v>
      </c>
      <c r="Z172">
        <v>1.1000000000000001</v>
      </c>
      <c r="AA172">
        <v>-6.8999999999999999E-3</v>
      </c>
      <c r="AB172">
        <v>5200</v>
      </c>
      <c r="AC172" t="s">
        <v>46</v>
      </c>
      <c r="AE172" t="s">
        <v>40</v>
      </c>
      <c r="AF172" t="s">
        <v>51</v>
      </c>
      <c r="AG172">
        <v>25950</v>
      </c>
      <c r="AH172" s="30">
        <v>46021</v>
      </c>
      <c r="AI172" t="s">
        <v>54</v>
      </c>
      <c r="AJ172">
        <v>1</v>
      </c>
      <c r="AK172" s="31">
        <v>45985.635416666657</v>
      </c>
      <c r="AL172" s="31">
        <v>46020.635416666657</v>
      </c>
      <c r="AM172">
        <v>261</v>
      </c>
      <c r="AN172">
        <v>-0.41199999999999998</v>
      </c>
      <c r="AO172">
        <v>48.35</v>
      </c>
      <c r="AP172">
        <v>-0.51519999999999999</v>
      </c>
      <c r="AQ172">
        <v>-13822.2</v>
      </c>
      <c r="AR172" t="s">
        <v>46</v>
      </c>
    </row>
    <row r="173" spans="1:44" x14ac:dyDescent="0.3">
      <c r="A173" t="s">
        <v>40</v>
      </c>
      <c r="B173" t="s">
        <v>51</v>
      </c>
      <c r="C173">
        <v>26000</v>
      </c>
      <c r="D173" s="30">
        <v>46077</v>
      </c>
      <c r="E173" t="s">
        <v>43</v>
      </c>
      <c r="F173">
        <v>1</v>
      </c>
      <c r="G173" s="31">
        <v>46045.635416666657</v>
      </c>
      <c r="H173" s="31">
        <v>46076.635416666657</v>
      </c>
      <c r="I173">
        <v>890</v>
      </c>
      <c r="J173">
        <v>0.78110000000000002</v>
      </c>
      <c r="K173">
        <v>289.39999999999998</v>
      </c>
      <c r="L173">
        <v>0.89029999999999998</v>
      </c>
      <c r="M173">
        <v>39039</v>
      </c>
      <c r="N173" t="s">
        <v>46</v>
      </c>
      <c r="P173" t="s">
        <v>40</v>
      </c>
      <c r="Q173" t="s">
        <v>51</v>
      </c>
      <c r="R173">
        <v>25800</v>
      </c>
      <c r="S173" s="30">
        <v>46077</v>
      </c>
      <c r="T173" t="s">
        <v>43</v>
      </c>
      <c r="U173">
        <v>1</v>
      </c>
      <c r="V173" s="31">
        <v>46045.635416666657</v>
      </c>
      <c r="W173" s="31">
        <v>46062.635416666657</v>
      </c>
      <c r="X173">
        <v>735.35</v>
      </c>
      <c r="Y173">
        <v>0.71960000000000002</v>
      </c>
      <c r="Z173">
        <v>170.85</v>
      </c>
      <c r="AA173">
        <v>0.4032</v>
      </c>
      <c r="AB173">
        <v>36692.5</v>
      </c>
      <c r="AC173" t="s">
        <v>63</v>
      </c>
      <c r="AE173" t="s">
        <v>40</v>
      </c>
      <c r="AF173" t="s">
        <v>41</v>
      </c>
      <c r="AG173">
        <v>26700</v>
      </c>
      <c r="AH173" s="30">
        <v>46021</v>
      </c>
      <c r="AI173" t="s">
        <v>43</v>
      </c>
      <c r="AJ173">
        <v>5</v>
      </c>
      <c r="AK173" s="31">
        <v>46013.635416666657</v>
      </c>
      <c r="AL173" s="31">
        <v>46020.635416666657</v>
      </c>
      <c r="AM173">
        <v>9.6</v>
      </c>
      <c r="AN173">
        <v>-6.7900000000000002E-2</v>
      </c>
      <c r="AO173">
        <v>1.4</v>
      </c>
      <c r="AP173">
        <v>-1.23E-2</v>
      </c>
      <c r="AQ173">
        <v>2665</v>
      </c>
      <c r="AR173" t="s">
        <v>46</v>
      </c>
    </row>
    <row r="174" spans="1:44" x14ac:dyDescent="0.3">
      <c r="A174" t="s">
        <v>40</v>
      </c>
      <c r="B174" t="s">
        <v>41</v>
      </c>
      <c r="C174">
        <v>26450</v>
      </c>
      <c r="D174" s="30">
        <v>46077</v>
      </c>
      <c r="E174" t="s">
        <v>43</v>
      </c>
      <c r="F174">
        <v>5</v>
      </c>
      <c r="G174" s="31">
        <v>46069.635416666657</v>
      </c>
      <c r="H174" s="31">
        <v>46076.635416666657</v>
      </c>
      <c r="I174">
        <v>15.75</v>
      </c>
      <c r="J174">
        <v>-7.2599999999999998E-2</v>
      </c>
      <c r="K174">
        <v>2.1</v>
      </c>
      <c r="L174">
        <v>-1.7299999999999999E-2</v>
      </c>
      <c r="M174">
        <v>4436.2</v>
      </c>
      <c r="N174" t="s">
        <v>46</v>
      </c>
      <c r="P174" t="s">
        <v>40</v>
      </c>
      <c r="Q174" t="s">
        <v>41</v>
      </c>
      <c r="R174">
        <v>25850</v>
      </c>
      <c r="S174" s="30">
        <v>46063</v>
      </c>
      <c r="T174" t="s">
        <v>43</v>
      </c>
      <c r="U174">
        <v>5</v>
      </c>
      <c r="V174" s="31">
        <v>46055.635416666657</v>
      </c>
      <c r="W174" s="31">
        <v>46062.635416666657</v>
      </c>
      <c r="X174">
        <v>17.600000000000001</v>
      </c>
      <c r="Y174">
        <v>-7.8899999999999998E-2</v>
      </c>
      <c r="Z174">
        <v>78.45</v>
      </c>
      <c r="AA174">
        <v>-0.55030000000000001</v>
      </c>
      <c r="AB174">
        <v>-19776.2</v>
      </c>
      <c r="AC174" t="s">
        <v>46</v>
      </c>
      <c r="AE174" t="s">
        <v>40</v>
      </c>
      <c r="AF174" t="s">
        <v>51</v>
      </c>
      <c r="AG174">
        <v>26300</v>
      </c>
      <c r="AH174" s="30">
        <v>46049</v>
      </c>
      <c r="AI174" t="s">
        <v>43</v>
      </c>
      <c r="AJ174">
        <v>1</v>
      </c>
      <c r="AK174" s="31">
        <v>46020.635416666657</v>
      </c>
      <c r="AL174" s="31">
        <v>46024.635416666657</v>
      </c>
      <c r="AM174">
        <v>360</v>
      </c>
      <c r="AN174">
        <v>0.61860000000000004</v>
      </c>
      <c r="AO174">
        <v>166.1</v>
      </c>
      <c r="AP174">
        <v>0.4</v>
      </c>
      <c r="AQ174">
        <v>12603.5</v>
      </c>
      <c r="AR174" t="s">
        <v>63</v>
      </c>
    </row>
    <row r="175" spans="1:44" x14ac:dyDescent="0.3">
      <c r="A175" t="s">
        <v>40</v>
      </c>
      <c r="B175" t="s">
        <v>41</v>
      </c>
      <c r="C175">
        <v>26500</v>
      </c>
      <c r="D175" s="30">
        <v>46083</v>
      </c>
      <c r="E175" t="s">
        <v>43</v>
      </c>
      <c r="F175">
        <v>5</v>
      </c>
      <c r="G175" s="31">
        <v>46076.635416666657</v>
      </c>
      <c r="H175" s="31">
        <v>46080.635416666657</v>
      </c>
      <c r="I175">
        <v>11.25</v>
      </c>
      <c r="J175">
        <v>-5.7200000000000001E-2</v>
      </c>
      <c r="K175">
        <v>2.1</v>
      </c>
      <c r="L175">
        <v>-1.11E-2</v>
      </c>
      <c r="M175">
        <v>2973.8</v>
      </c>
      <c r="N175" t="s">
        <v>46</v>
      </c>
      <c r="P175" t="s">
        <v>40</v>
      </c>
      <c r="Q175" t="s">
        <v>41</v>
      </c>
      <c r="R175">
        <v>26500</v>
      </c>
      <c r="S175" s="30">
        <v>46070</v>
      </c>
      <c r="T175" t="s">
        <v>43</v>
      </c>
      <c r="U175">
        <v>5</v>
      </c>
      <c r="V175" s="31">
        <v>46062.635416666657</v>
      </c>
      <c r="W175" s="31">
        <v>46069.635416666657</v>
      </c>
      <c r="X175">
        <v>17.100000000000001</v>
      </c>
      <c r="Y175">
        <v>-8.6999999999999994E-2</v>
      </c>
      <c r="Z175">
        <v>2.25</v>
      </c>
      <c r="AA175">
        <v>-1.6799999999999999E-2</v>
      </c>
      <c r="AB175">
        <v>4826.3</v>
      </c>
      <c r="AC175" t="s">
        <v>46</v>
      </c>
      <c r="AE175" t="s">
        <v>40</v>
      </c>
      <c r="AF175" t="s">
        <v>51</v>
      </c>
      <c r="AG175">
        <v>25950</v>
      </c>
      <c r="AH175" s="30">
        <v>46049</v>
      </c>
      <c r="AI175" t="s">
        <v>54</v>
      </c>
      <c r="AJ175">
        <v>1</v>
      </c>
      <c r="AK175" s="31">
        <v>46020.635416666657</v>
      </c>
      <c r="AL175" s="31">
        <v>46024.635416666657</v>
      </c>
      <c r="AM175">
        <v>194.1</v>
      </c>
      <c r="AN175">
        <v>-0.41749999999999998</v>
      </c>
      <c r="AO175">
        <v>74.45</v>
      </c>
      <c r="AP175">
        <v>-0.21</v>
      </c>
      <c r="AQ175">
        <v>-7777.2</v>
      </c>
      <c r="AR175" t="s">
        <v>63</v>
      </c>
    </row>
    <row r="176" spans="1:44" x14ac:dyDescent="0.3">
      <c r="A176" t="s">
        <v>40</v>
      </c>
      <c r="B176" t="s">
        <v>41</v>
      </c>
      <c r="C176">
        <v>26200</v>
      </c>
      <c r="D176" s="30">
        <v>46091</v>
      </c>
      <c r="E176" t="s">
        <v>43</v>
      </c>
      <c r="F176">
        <v>5</v>
      </c>
      <c r="G176" s="31">
        <v>46080.635416666657</v>
      </c>
      <c r="H176" s="31">
        <v>46090.635416666657</v>
      </c>
      <c r="I176">
        <v>12</v>
      </c>
      <c r="J176">
        <v>-5.0099999999999999E-2</v>
      </c>
      <c r="K176">
        <v>1</v>
      </c>
      <c r="L176">
        <v>-4.1999999999999997E-3</v>
      </c>
      <c r="M176">
        <v>3575</v>
      </c>
      <c r="N176" t="s">
        <v>46</v>
      </c>
      <c r="P176" t="s">
        <v>40</v>
      </c>
      <c r="Q176" t="s">
        <v>51</v>
      </c>
      <c r="R176">
        <v>25050</v>
      </c>
      <c r="S176" s="30">
        <v>46077</v>
      </c>
      <c r="T176" t="s">
        <v>54</v>
      </c>
      <c r="U176">
        <v>1</v>
      </c>
      <c r="V176" s="31">
        <v>46045.635416666657</v>
      </c>
      <c r="W176" s="31">
        <v>46076.635416666657</v>
      </c>
      <c r="X176">
        <v>330.15</v>
      </c>
      <c r="Y176">
        <v>-0.43159999999999998</v>
      </c>
      <c r="Z176">
        <v>9.0500000000000007</v>
      </c>
      <c r="AA176">
        <v>-5.0999999999999997E-2</v>
      </c>
      <c r="AB176">
        <v>-20871.5</v>
      </c>
      <c r="AC176" t="s">
        <v>46</v>
      </c>
      <c r="AE176" t="s">
        <v>40</v>
      </c>
      <c r="AF176" t="s">
        <v>41</v>
      </c>
      <c r="AG176">
        <v>26500</v>
      </c>
      <c r="AH176" s="30">
        <v>46028</v>
      </c>
      <c r="AI176" t="s">
        <v>43</v>
      </c>
      <c r="AJ176">
        <v>5</v>
      </c>
      <c r="AK176" s="31">
        <v>46020.635416666657</v>
      </c>
      <c r="AL176" s="31">
        <v>46027.635416666657</v>
      </c>
      <c r="AM176">
        <v>10.6</v>
      </c>
      <c r="AN176">
        <v>-6.9400000000000003E-2</v>
      </c>
      <c r="AO176">
        <v>3</v>
      </c>
      <c r="AP176">
        <v>-4.8500000000000001E-2</v>
      </c>
      <c r="AQ176">
        <v>2470</v>
      </c>
      <c r="AR176" t="s">
        <v>46</v>
      </c>
    </row>
    <row r="177" spans="1:44" x14ac:dyDescent="0.3">
      <c r="A177" t="s">
        <v>40</v>
      </c>
      <c r="B177" t="s">
        <v>41</v>
      </c>
      <c r="C177">
        <v>25750</v>
      </c>
      <c r="D177" s="30">
        <v>46098</v>
      </c>
      <c r="E177" t="s">
        <v>43</v>
      </c>
      <c r="F177">
        <v>5</v>
      </c>
      <c r="G177" s="31">
        <v>46090.635416666657</v>
      </c>
      <c r="H177" s="31">
        <v>46097.635416666657</v>
      </c>
      <c r="I177">
        <v>11.9</v>
      </c>
      <c r="J177">
        <v>-3.4799999999999998E-2</v>
      </c>
      <c r="K177">
        <v>0.65</v>
      </c>
      <c r="L177">
        <v>-2.8E-3</v>
      </c>
      <c r="M177">
        <v>3656.2</v>
      </c>
      <c r="N177" t="s">
        <v>46</v>
      </c>
      <c r="P177" t="s">
        <v>40</v>
      </c>
      <c r="Q177" t="s">
        <v>51</v>
      </c>
      <c r="R177">
        <v>26500</v>
      </c>
      <c r="S177" s="30">
        <v>46077</v>
      </c>
      <c r="T177" t="s">
        <v>43</v>
      </c>
      <c r="U177">
        <v>1</v>
      </c>
      <c r="V177" s="31">
        <v>46062.635416666657</v>
      </c>
      <c r="W177" s="31">
        <v>46076.635416666657</v>
      </c>
      <c r="X177">
        <v>624.65</v>
      </c>
      <c r="Y177">
        <v>0.84930000000000005</v>
      </c>
      <c r="Z177">
        <v>790</v>
      </c>
      <c r="AA177">
        <v>0.98440000000000005</v>
      </c>
      <c r="AB177">
        <v>-10747.8</v>
      </c>
      <c r="AC177" t="s">
        <v>46</v>
      </c>
      <c r="AE177" t="s">
        <v>40</v>
      </c>
      <c r="AF177" t="s">
        <v>41</v>
      </c>
      <c r="AG177">
        <v>26800</v>
      </c>
      <c r="AH177" s="30">
        <v>46035</v>
      </c>
      <c r="AI177" t="s">
        <v>43</v>
      </c>
      <c r="AJ177">
        <v>5</v>
      </c>
      <c r="AK177" s="31">
        <v>46027.635416666657</v>
      </c>
      <c r="AL177" s="31">
        <v>46034.635416666657</v>
      </c>
      <c r="AM177">
        <v>7.95</v>
      </c>
      <c r="AN177">
        <v>-5.7799999999999997E-2</v>
      </c>
      <c r="AO177">
        <v>0.95</v>
      </c>
      <c r="AP177">
        <v>-7.1999999999999998E-3</v>
      </c>
      <c r="AQ177">
        <v>2275</v>
      </c>
      <c r="AR177" t="s">
        <v>46</v>
      </c>
    </row>
    <row r="178" spans="1:44" x14ac:dyDescent="0.3">
      <c r="A178" t="s">
        <v>40</v>
      </c>
      <c r="B178" t="s">
        <v>41</v>
      </c>
      <c r="C178">
        <v>24900</v>
      </c>
      <c r="D178" s="30">
        <v>46105</v>
      </c>
      <c r="E178" t="s">
        <v>43</v>
      </c>
      <c r="F178">
        <v>5</v>
      </c>
      <c r="G178" s="31">
        <v>46097.635416666657</v>
      </c>
      <c r="H178" s="31">
        <v>46104.635416666657</v>
      </c>
      <c r="I178">
        <v>11.9</v>
      </c>
      <c r="J178">
        <v>-3.8199999999999998E-2</v>
      </c>
      <c r="K178">
        <v>0.9</v>
      </c>
      <c r="L178">
        <v>-3.5000000000000001E-3</v>
      </c>
      <c r="M178">
        <v>3575</v>
      </c>
      <c r="N178" t="s">
        <v>46</v>
      </c>
      <c r="P178" t="s">
        <v>40</v>
      </c>
      <c r="Q178" t="s">
        <v>41</v>
      </c>
      <c r="R178">
        <v>26450</v>
      </c>
      <c r="S178" s="30">
        <v>46077</v>
      </c>
      <c r="T178" t="s">
        <v>43</v>
      </c>
      <c r="U178">
        <v>5</v>
      </c>
      <c r="V178" s="31">
        <v>46069.635416666657</v>
      </c>
      <c r="W178" s="31">
        <v>46076.635416666657</v>
      </c>
      <c r="X178">
        <v>15.75</v>
      </c>
      <c r="Y178">
        <v>-7.2599999999999998E-2</v>
      </c>
      <c r="Z178">
        <v>2.1</v>
      </c>
      <c r="AA178">
        <v>-1.7299999999999999E-2</v>
      </c>
      <c r="AB178">
        <v>4436.2</v>
      </c>
      <c r="AC178" t="s">
        <v>46</v>
      </c>
      <c r="AE178" t="s">
        <v>40</v>
      </c>
      <c r="AF178" t="s">
        <v>41</v>
      </c>
      <c r="AG178">
        <v>26650</v>
      </c>
      <c r="AH178" s="30">
        <v>46042</v>
      </c>
      <c r="AI178" t="s">
        <v>43</v>
      </c>
      <c r="AJ178">
        <v>5</v>
      </c>
      <c r="AK178" s="31">
        <v>46034.635416666657</v>
      </c>
      <c r="AL178" s="31">
        <v>46041.635416666657</v>
      </c>
      <c r="AM178">
        <v>8.15</v>
      </c>
      <c r="AN178">
        <v>-4.2700000000000002E-2</v>
      </c>
      <c r="AO178">
        <v>0.95</v>
      </c>
      <c r="AP178">
        <v>-7.0000000000000001E-3</v>
      </c>
      <c r="AQ178">
        <v>2340</v>
      </c>
      <c r="AR178" t="s">
        <v>46</v>
      </c>
    </row>
    <row r="179" spans="1:44" x14ac:dyDescent="0.3">
      <c r="A179" t="s">
        <v>40</v>
      </c>
      <c r="B179" t="s">
        <v>51</v>
      </c>
      <c r="C179">
        <v>25700</v>
      </c>
      <c r="D179" s="30">
        <v>46111</v>
      </c>
      <c r="E179" t="s">
        <v>54</v>
      </c>
      <c r="F179">
        <v>1</v>
      </c>
      <c r="G179" s="31">
        <v>46076.635416666657</v>
      </c>
      <c r="H179" s="31">
        <v>46108.635416666657</v>
      </c>
      <c r="I179">
        <v>299</v>
      </c>
      <c r="J179">
        <v>-0.41810000000000003</v>
      </c>
      <c r="K179">
        <v>2888.8</v>
      </c>
      <c r="L179">
        <v>-0.99680000000000002</v>
      </c>
      <c r="M179">
        <v>168337</v>
      </c>
      <c r="N179" t="s">
        <v>46</v>
      </c>
      <c r="P179" t="s">
        <v>40</v>
      </c>
      <c r="Q179" t="s">
        <v>41</v>
      </c>
      <c r="R179">
        <v>26500</v>
      </c>
      <c r="S179" s="30">
        <v>46083</v>
      </c>
      <c r="T179" t="s">
        <v>43</v>
      </c>
      <c r="U179">
        <v>5</v>
      </c>
      <c r="V179" s="31">
        <v>46076.635416666657</v>
      </c>
      <c r="W179" s="31">
        <v>46080.635416666657</v>
      </c>
      <c r="X179">
        <v>11.25</v>
      </c>
      <c r="Y179">
        <v>-5.7200000000000001E-2</v>
      </c>
      <c r="Z179">
        <v>2.1</v>
      </c>
      <c r="AA179">
        <v>-1.11E-2</v>
      </c>
      <c r="AB179">
        <v>2973.8</v>
      </c>
      <c r="AC179" t="s">
        <v>46</v>
      </c>
      <c r="AE179" t="s">
        <v>40</v>
      </c>
      <c r="AF179" t="s">
        <v>51</v>
      </c>
      <c r="AG179">
        <v>26700</v>
      </c>
      <c r="AH179" s="30">
        <v>46049</v>
      </c>
      <c r="AI179" t="s">
        <v>43</v>
      </c>
      <c r="AJ179">
        <v>1</v>
      </c>
      <c r="AK179" s="31">
        <v>46024.635416666657</v>
      </c>
      <c r="AL179" s="31">
        <v>46045.635416666657</v>
      </c>
      <c r="AM179">
        <v>364.6</v>
      </c>
      <c r="AN179">
        <v>0.67390000000000005</v>
      </c>
      <c r="AO179">
        <v>1600</v>
      </c>
      <c r="AP179">
        <v>0.99150000000000005</v>
      </c>
      <c r="AQ179">
        <v>-80301</v>
      </c>
      <c r="AR179" t="s">
        <v>46</v>
      </c>
    </row>
    <row r="180" spans="1:44" x14ac:dyDescent="0.3">
      <c r="A180" t="s">
        <v>40</v>
      </c>
      <c r="B180" t="s">
        <v>51</v>
      </c>
      <c r="C180">
        <v>26500</v>
      </c>
      <c r="D180" s="30">
        <v>46111</v>
      </c>
      <c r="E180" t="s">
        <v>43</v>
      </c>
      <c r="F180">
        <v>1</v>
      </c>
      <c r="G180" s="31">
        <v>46076.635416666657</v>
      </c>
      <c r="H180" s="31">
        <v>46108.635416666657</v>
      </c>
      <c r="I180">
        <v>728</v>
      </c>
      <c r="J180">
        <v>0.76770000000000005</v>
      </c>
      <c r="K180">
        <v>3698.55</v>
      </c>
      <c r="L180">
        <v>0.99809999999999999</v>
      </c>
      <c r="M180">
        <v>-193085.8</v>
      </c>
      <c r="N180" t="s">
        <v>46</v>
      </c>
      <c r="P180" t="s">
        <v>40</v>
      </c>
      <c r="Q180" t="s">
        <v>41</v>
      </c>
      <c r="R180">
        <v>26200</v>
      </c>
      <c r="S180" s="30">
        <v>46091</v>
      </c>
      <c r="T180" t="s">
        <v>43</v>
      </c>
      <c r="U180">
        <v>5</v>
      </c>
      <c r="V180" s="31">
        <v>46080.635416666657</v>
      </c>
      <c r="W180" s="31">
        <v>46090.635416666657</v>
      </c>
      <c r="X180">
        <v>12</v>
      </c>
      <c r="Y180">
        <v>-5.0099999999999999E-2</v>
      </c>
      <c r="Z180">
        <v>1</v>
      </c>
      <c r="AA180">
        <v>-4.1999999999999997E-3</v>
      </c>
      <c r="AB180">
        <v>3575</v>
      </c>
      <c r="AC180" t="s">
        <v>46</v>
      </c>
      <c r="AE180" t="s">
        <v>40</v>
      </c>
      <c r="AF180" t="s">
        <v>51</v>
      </c>
      <c r="AG180">
        <v>26300</v>
      </c>
      <c r="AH180" s="30">
        <v>46049</v>
      </c>
      <c r="AI180" t="s">
        <v>54</v>
      </c>
      <c r="AJ180">
        <v>1</v>
      </c>
      <c r="AK180" s="31">
        <v>46024.635416666657</v>
      </c>
      <c r="AL180" s="31">
        <v>46045.635416666657</v>
      </c>
      <c r="AM180">
        <v>166.1</v>
      </c>
      <c r="AN180">
        <v>-0.4</v>
      </c>
      <c r="AO180">
        <v>1200</v>
      </c>
      <c r="AP180">
        <v>-0.98719999999999997</v>
      </c>
      <c r="AQ180">
        <v>67203.5</v>
      </c>
      <c r="AR180" t="s">
        <v>46</v>
      </c>
    </row>
    <row r="181" spans="1:44" x14ac:dyDescent="0.3">
      <c r="A181" t="s">
        <v>40</v>
      </c>
      <c r="B181" t="s">
        <v>41</v>
      </c>
      <c r="C181">
        <v>24500</v>
      </c>
      <c r="D181" s="30">
        <v>46111</v>
      </c>
      <c r="E181" t="s">
        <v>43</v>
      </c>
      <c r="F181">
        <v>5</v>
      </c>
      <c r="G181" s="31">
        <v>46104.635416666657</v>
      </c>
      <c r="H181" s="31">
        <v>46108.635416666657</v>
      </c>
      <c r="I181">
        <v>12.05</v>
      </c>
      <c r="J181">
        <v>-3.1399999999999997E-2</v>
      </c>
      <c r="K181">
        <v>2.6</v>
      </c>
      <c r="L181">
        <v>-1.0999999999999999E-2</v>
      </c>
      <c r="M181">
        <v>3071.3</v>
      </c>
      <c r="N181" t="s">
        <v>46</v>
      </c>
      <c r="P181" t="s">
        <v>40</v>
      </c>
      <c r="Q181" t="s">
        <v>41</v>
      </c>
      <c r="R181">
        <v>25750</v>
      </c>
      <c r="S181" s="30">
        <v>46098</v>
      </c>
      <c r="T181" t="s">
        <v>43</v>
      </c>
      <c r="U181">
        <v>5</v>
      </c>
      <c r="V181" s="31">
        <v>46090.635416666657</v>
      </c>
      <c r="W181" s="31">
        <v>46097.635416666657</v>
      </c>
      <c r="X181">
        <v>11.9</v>
      </c>
      <c r="Y181">
        <v>-3.4799999999999998E-2</v>
      </c>
      <c r="Z181">
        <v>0.65</v>
      </c>
      <c r="AA181">
        <v>-2.8E-3</v>
      </c>
      <c r="AB181">
        <v>3656.2</v>
      </c>
      <c r="AC181" t="s">
        <v>46</v>
      </c>
      <c r="AE181" t="s">
        <v>40</v>
      </c>
      <c r="AF181" t="s">
        <v>41</v>
      </c>
      <c r="AG181">
        <v>26400</v>
      </c>
      <c r="AH181" s="30">
        <v>46049</v>
      </c>
      <c r="AI181" t="s">
        <v>43</v>
      </c>
      <c r="AJ181">
        <v>5</v>
      </c>
      <c r="AK181" s="31">
        <v>46041.635416666657</v>
      </c>
      <c r="AL181" s="31">
        <v>46045.635416666657</v>
      </c>
      <c r="AM181">
        <v>8.3000000000000007</v>
      </c>
      <c r="AN181">
        <v>-4.5400000000000003E-2</v>
      </c>
      <c r="AO181">
        <v>2.15</v>
      </c>
      <c r="AP181">
        <v>-1.12E-2</v>
      </c>
      <c r="AQ181">
        <v>1998.8</v>
      </c>
      <c r="AR181" t="s">
        <v>46</v>
      </c>
    </row>
    <row r="182" spans="1:44" x14ac:dyDescent="0.3">
      <c r="A182" t="s">
        <v>40</v>
      </c>
      <c r="B182" t="s">
        <v>41</v>
      </c>
      <c r="C182">
        <v>24400</v>
      </c>
      <c r="D182" s="30">
        <v>46119</v>
      </c>
      <c r="E182" t="s">
        <v>43</v>
      </c>
      <c r="F182">
        <v>5</v>
      </c>
      <c r="G182" s="31">
        <v>46108.635416666657</v>
      </c>
      <c r="H182" s="31">
        <v>46118.635416666657</v>
      </c>
      <c r="I182">
        <v>34.200000000000003</v>
      </c>
      <c r="J182">
        <v>-7.5800000000000006E-2</v>
      </c>
      <c r="K182">
        <v>1.3</v>
      </c>
      <c r="L182">
        <v>-7.1999999999999998E-3</v>
      </c>
      <c r="M182">
        <v>10692.5</v>
      </c>
      <c r="N182" t="s">
        <v>46</v>
      </c>
      <c r="P182" t="s">
        <v>40</v>
      </c>
      <c r="Q182" t="s">
        <v>41</v>
      </c>
      <c r="R182">
        <v>24900</v>
      </c>
      <c r="S182" s="30">
        <v>46105</v>
      </c>
      <c r="T182" t="s">
        <v>43</v>
      </c>
      <c r="U182">
        <v>5</v>
      </c>
      <c r="V182" s="31">
        <v>46097.635416666657</v>
      </c>
      <c r="W182" s="31">
        <v>46104.635416666657</v>
      </c>
      <c r="X182">
        <v>11.9</v>
      </c>
      <c r="Y182">
        <v>-3.8199999999999998E-2</v>
      </c>
      <c r="Z182">
        <v>0.9</v>
      </c>
      <c r="AA182">
        <v>-3.5000000000000001E-3</v>
      </c>
      <c r="AB182">
        <v>3575</v>
      </c>
      <c r="AC182" t="s">
        <v>46</v>
      </c>
      <c r="AE182" t="s">
        <v>40</v>
      </c>
      <c r="AF182" t="s">
        <v>41</v>
      </c>
      <c r="AG182">
        <v>26350</v>
      </c>
      <c r="AH182" s="30">
        <v>46056</v>
      </c>
      <c r="AI182" t="s">
        <v>43</v>
      </c>
      <c r="AJ182">
        <v>5</v>
      </c>
      <c r="AK182" s="31">
        <v>46045.635416666657</v>
      </c>
      <c r="AL182" s="31">
        <v>46055.635416666657</v>
      </c>
      <c r="AM182">
        <v>17.100000000000001</v>
      </c>
      <c r="AN182">
        <v>-5.4600000000000003E-2</v>
      </c>
      <c r="AO182">
        <v>1.1000000000000001</v>
      </c>
      <c r="AP182">
        <v>-6.8999999999999999E-3</v>
      </c>
      <c r="AQ182">
        <v>5200</v>
      </c>
      <c r="AR182" t="s">
        <v>46</v>
      </c>
    </row>
    <row r="183" spans="1:44" x14ac:dyDescent="0.3">
      <c r="A183" t="s">
        <v>40</v>
      </c>
      <c r="B183" t="s">
        <v>41</v>
      </c>
      <c r="C183">
        <v>24150</v>
      </c>
      <c r="D183" s="30">
        <v>46125</v>
      </c>
      <c r="E183" t="s">
        <v>43</v>
      </c>
      <c r="F183">
        <v>5</v>
      </c>
      <c r="G183" s="31">
        <v>46118.635416666657</v>
      </c>
      <c r="H183" s="31">
        <v>46122.635416666657</v>
      </c>
      <c r="I183">
        <v>32.799999999999997</v>
      </c>
      <c r="J183">
        <v>-8.8700000000000001E-2</v>
      </c>
      <c r="K183">
        <v>96.75</v>
      </c>
      <c r="L183">
        <v>-0.40089999999999998</v>
      </c>
      <c r="M183">
        <v>-20783.8</v>
      </c>
      <c r="N183" t="s">
        <v>46</v>
      </c>
      <c r="P183" t="s">
        <v>40</v>
      </c>
      <c r="Q183" t="s">
        <v>51</v>
      </c>
      <c r="R183">
        <v>25700</v>
      </c>
      <c r="S183" s="30">
        <v>46111</v>
      </c>
      <c r="T183" t="s">
        <v>54</v>
      </c>
      <c r="U183">
        <v>1</v>
      </c>
      <c r="V183" s="31">
        <v>46076.635416666657</v>
      </c>
      <c r="W183" s="31">
        <v>46108.635416666657</v>
      </c>
      <c r="X183">
        <v>299</v>
      </c>
      <c r="Y183">
        <v>-0.41810000000000003</v>
      </c>
      <c r="Z183">
        <v>2888.8</v>
      </c>
      <c r="AA183">
        <v>-0.99680000000000002</v>
      </c>
      <c r="AB183">
        <v>168337</v>
      </c>
      <c r="AC183" t="s">
        <v>46</v>
      </c>
      <c r="AE183" t="s">
        <v>40</v>
      </c>
      <c r="AF183" t="s">
        <v>51</v>
      </c>
      <c r="AG183">
        <v>25800</v>
      </c>
      <c r="AH183" s="30">
        <v>46077</v>
      </c>
      <c r="AI183" t="s">
        <v>43</v>
      </c>
      <c r="AJ183">
        <v>1</v>
      </c>
      <c r="AK183" s="31">
        <v>46045.635416666657</v>
      </c>
      <c r="AL183" s="31">
        <v>46062.635416666657</v>
      </c>
      <c r="AM183">
        <v>735.35</v>
      </c>
      <c r="AN183">
        <v>0.71960000000000002</v>
      </c>
      <c r="AO183">
        <v>170.85</v>
      </c>
      <c r="AP183">
        <v>0.4032</v>
      </c>
      <c r="AQ183">
        <v>36692.5</v>
      </c>
      <c r="AR183" t="s">
        <v>63</v>
      </c>
    </row>
    <row r="184" spans="1:44" x14ac:dyDescent="0.3">
      <c r="A184" t="s">
        <v>40</v>
      </c>
      <c r="B184" t="s">
        <v>41</v>
      </c>
      <c r="C184">
        <v>24900</v>
      </c>
      <c r="D184" s="30">
        <v>46133</v>
      </c>
      <c r="E184" t="s">
        <v>43</v>
      </c>
      <c r="F184">
        <v>5</v>
      </c>
      <c r="G184" s="31">
        <v>46122.635416666657</v>
      </c>
      <c r="H184" s="31">
        <v>46132.635416666657</v>
      </c>
      <c r="I184">
        <v>36.1</v>
      </c>
      <c r="J184">
        <v>-0.115</v>
      </c>
      <c r="K184">
        <v>7.85</v>
      </c>
      <c r="L184">
        <v>-5.6800000000000003E-2</v>
      </c>
      <c r="M184">
        <v>9181.2000000000007</v>
      </c>
      <c r="N184" t="s">
        <v>46</v>
      </c>
      <c r="P184" t="s">
        <v>40</v>
      </c>
      <c r="Q184" t="s">
        <v>51</v>
      </c>
      <c r="R184">
        <v>26200</v>
      </c>
      <c r="S184" s="30">
        <v>46111</v>
      </c>
      <c r="T184" t="s">
        <v>43</v>
      </c>
      <c r="U184">
        <v>1</v>
      </c>
      <c r="V184" s="31">
        <v>46076.635416666657</v>
      </c>
      <c r="W184" s="31">
        <v>46108.635416666657</v>
      </c>
      <c r="X184">
        <v>530.6</v>
      </c>
      <c r="Y184">
        <v>0.63819999999999999</v>
      </c>
      <c r="Z184">
        <v>3393</v>
      </c>
      <c r="AA184">
        <v>0.99780000000000002</v>
      </c>
      <c r="AB184">
        <v>-186056</v>
      </c>
      <c r="AC184" t="s">
        <v>46</v>
      </c>
      <c r="AE184" t="s">
        <v>40</v>
      </c>
      <c r="AF184" t="s">
        <v>51</v>
      </c>
      <c r="AG184">
        <v>25050</v>
      </c>
      <c r="AH184" s="30">
        <v>46077</v>
      </c>
      <c r="AI184" t="s">
        <v>54</v>
      </c>
      <c r="AJ184">
        <v>1</v>
      </c>
      <c r="AK184" s="31">
        <v>46045.635416666657</v>
      </c>
      <c r="AL184" s="31">
        <v>46062.635416666657</v>
      </c>
      <c r="AM184">
        <v>330.15</v>
      </c>
      <c r="AN184">
        <v>-0.43159999999999998</v>
      </c>
      <c r="AO184">
        <v>38.4</v>
      </c>
      <c r="AP184">
        <v>-0.1075</v>
      </c>
      <c r="AQ184">
        <v>-18963.8</v>
      </c>
      <c r="AR184" t="s">
        <v>63</v>
      </c>
    </row>
    <row r="185" spans="1:44" x14ac:dyDescent="0.3">
      <c r="A185" t="s">
        <v>40</v>
      </c>
      <c r="B185" t="s">
        <v>51</v>
      </c>
      <c r="C185">
        <v>24500</v>
      </c>
      <c r="D185" s="30">
        <v>46140</v>
      </c>
      <c r="E185" t="s">
        <v>43</v>
      </c>
      <c r="F185">
        <v>1</v>
      </c>
      <c r="G185" s="31">
        <v>46108.635416666657</v>
      </c>
      <c r="H185" s="31">
        <v>46133.635416666657</v>
      </c>
      <c r="I185">
        <v>1699</v>
      </c>
      <c r="J185">
        <v>0.82689999999999997</v>
      </c>
      <c r="K185">
        <v>206.35</v>
      </c>
      <c r="L185">
        <v>0.42670000000000002</v>
      </c>
      <c r="M185">
        <v>97022.2</v>
      </c>
      <c r="N185" t="s">
        <v>63</v>
      </c>
      <c r="P185" t="s">
        <v>40</v>
      </c>
      <c r="Q185" t="s">
        <v>41</v>
      </c>
      <c r="R185">
        <v>24500</v>
      </c>
      <c r="S185" s="30">
        <v>46111</v>
      </c>
      <c r="T185" t="s">
        <v>43</v>
      </c>
      <c r="U185">
        <v>5</v>
      </c>
      <c r="V185" s="31">
        <v>46104.635416666657</v>
      </c>
      <c r="W185" s="31">
        <v>46108.635416666657</v>
      </c>
      <c r="X185">
        <v>12.05</v>
      </c>
      <c r="Y185">
        <v>-3.1399999999999997E-2</v>
      </c>
      <c r="Z185">
        <v>2.6</v>
      </c>
      <c r="AA185">
        <v>-1.0999999999999999E-2</v>
      </c>
      <c r="AB185">
        <v>3071.3</v>
      </c>
      <c r="AC185" t="s">
        <v>46</v>
      </c>
      <c r="AE185" t="s">
        <v>40</v>
      </c>
      <c r="AF185" t="s">
        <v>41</v>
      </c>
      <c r="AG185">
        <v>25850</v>
      </c>
      <c r="AH185" s="30">
        <v>46063</v>
      </c>
      <c r="AI185" t="s">
        <v>43</v>
      </c>
      <c r="AJ185">
        <v>5</v>
      </c>
      <c r="AK185" s="31">
        <v>46055.635416666657</v>
      </c>
      <c r="AL185" s="31">
        <v>46062.635416666657</v>
      </c>
      <c r="AM185">
        <v>17.600000000000001</v>
      </c>
      <c r="AN185">
        <v>-7.8899999999999998E-2</v>
      </c>
      <c r="AO185">
        <v>78.45</v>
      </c>
      <c r="AP185">
        <v>-0.55030000000000001</v>
      </c>
      <c r="AQ185">
        <v>-19776.2</v>
      </c>
      <c r="AR185" t="s">
        <v>46</v>
      </c>
    </row>
    <row r="186" spans="1:44" x14ac:dyDescent="0.3">
      <c r="A186" t="s">
        <v>40</v>
      </c>
      <c r="B186" t="s">
        <v>51</v>
      </c>
      <c r="C186">
        <v>22800</v>
      </c>
      <c r="D186" s="30">
        <v>46140</v>
      </c>
      <c r="E186" t="s">
        <v>54</v>
      </c>
      <c r="F186">
        <v>1</v>
      </c>
      <c r="G186" s="31">
        <v>46108.635416666657</v>
      </c>
      <c r="H186" s="31">
        <v>46139.635416666657</v>
      </c>
      <c r="I186">
        <v>692.95</v>
      </c>
      <c r="J186">
        <v>-0.45369999999999999</v>
      </c>
      <c r="K186">
        <v>1</v>
      </c>
      <c r="L186">
        <v>-5.7999999999999996E-3</v>
      </c>
      <c r="M186">
        <v>-44976.800000000003</v>
      </c>
      <c r="N186" t="s">
        <v>46</v>
      </c>
      <c r="P186" t="s">
        <v>40</v>
      </c>
      <c r="Q186" t="s">
        <v>41</v>
      </c>
      <c r="R186">
        <v>24400</v>
      </c>
      <c r="S186" s="30">
        <v>46119</v>
      </c>
      <c r="T186" t="s">
        <v>43</v>
      </c>
      <c r="U186">
        <v>5</v>
      </c>
      <c r="V186" s="31">
        <v>46108.635416666657</v>
      </c>
      <c r="W186" s="31">
        <v>46118.635416666657</v>
      </c>
      <c r="X186">
        <v>34.200000000000003</v>
      </c>
      <c r="Y186">
        <v>-7.5800000000000006E-2</v>
      </c>
      <c r="Z186">
        <v>1.3</v>
      </c>
      <c r="AA186">
        <v>-7.1999999999999998E-3</v>
      </c>
      <c r="AB186">
        <v>10692.5</v>
      </c>
      <c r="AC186" t="s">
        <v>46</v>
      </c>
      <c r="AE186" t="s">
        <v>40</v>
      </c>
      <c r="AF186" t="s">
        <v>41</v>
      </c>
      <c r="AG186">
        <v>26750</v>
      </c>
      <c r="AH186" s="30">
        <v>46070</v>
      </c>
      <c r="AI186" t="s">
        <v>43</v>
      </c>
      <c r="AJ186">
        <v>5</v>
      </c>
      <c r="AK186" s="31">
        <v>46062.635416666657</v>
      </c>
      <c r="AL186" s="31">
        <v>46069.635416666657</v>
      </c>
      <c r="AM186">
        <v>9.1999999999999993</v>
      </c>
      <c r="AN186">
        <v>-4.5900000000000003E-2</v>
      </c>
      <c r="AO186">
        <v>1.55</v>
      </c>
      <c r="AP186">
        <v>-1.0200000000000001E-2</v>
      </c>
      <c r="AQ186">
        <v>2486.1999999999998</v>
      </c>
      <c r="AR186" t="s">
        <v>46</v>
      </c>
    </row>
    <row r="187" spans="1:44" x14ac:dyDescent="0.3">
      <c r="A187" t="s">
        <v>40</v>
      </c>
      <c r="B187" t="s">
        <v>51</v>
      </c>
      <c r="C187">
        <v>27000</v>
      </c>
      <c r="D187" s="30">
        <v>46140</v>
      </c>
      <c r="E187" t="s">
        <v>43</v>
      </c>
      <c r="F187">
        <v>1</v>
      </c>
      <c r="G187" s="31">
        <v>46133.635416666657</v>
      </c>
      <c r="H187" s="31">
        <v>46139.635416666657</v>
      </c>
      <c r="I187">
        <v>2420.9499999999998</v>
      </c>
      <c r="J187">
        <v>0.99680000000000002</v>
      </c>
      <c r="K187">
        <v>2879</v>
      </c>
      <c r="L187">
        <v>0.99850000000000005</v>
      </c>
      <c r="M187">
        <v>-29773.3</v>
      </c>
      <c r="N187" t="s">
        <v>46</v>
      </c>
      <c r="P187" t="s">
        <v>40</v>
      </c>
      <c r="Q187" t="s">
        <v>41</v>
      </c>
      <c r="R187">
        <v>24150</v>
      </c>
      <c r="S187" s="30">
        <v>46125</v>
      </c>
      <c r="T187" t="s">
        <v>43</v>
      </c>
      <c r="U187">
        <v>5</v>
      </c>
      <c r="V187" s="31">
        <v>46118.635416666657</v>
      </c>
      <c r="W187" s="31">
        <v>46122.635416666657</v>
      </c>
      <c r="X187">
        <v>32.799999999999997</v>
      </c>
      <c r="Y187">
        <v>-8.8700000000000001E-2</v>
      </c>
      <c r="Z187">
        <v>96.75</v>
      </c>
      <c r="AA187">
        <v>-0.40089999999999998</v>
      </c>
      <c r="AB187">
        <v>-20783.8</v>
      </c>
      <c r="AC187" t="s">
        <v>46</v>
      </c>
      <c r="AE187" t="s">
        <v>40</v>
      </c>
      <c r="AF187" t="s">
        <v>51</v>
      </c>
      <c r="AG187">
        <v>26500</v>
      </c>
      <c r="AH187" s="30">
        <v>46077</v>
      </c>
      <c r="AI187" t="s">
        <v>43</v>
      </c>
      <c r="AJ187">
        <v>1</v>
      </c>
      <c r="AK187" s="31">
        <v>46062.635416666657</v>
      </c>
      <c r="AL187" s="31">
        <v>46076.635416666657</v>
      </c>
      <c r="AM187">
        <v>624.65</v>
      </c>
      <c r="AN187">
        <v>0.84930000000000005</v>
      </c>
      <c r="AO187">
        <v>790</v>
      </c>
      <c r="AP187">
        <v>0.98440000000000005</v>
      </c>
      <c r="AQ187">
        <v>-10747.8</v>
      </c>
      <c r="AR187" t="s">
        <v>46</v>
      </c>
    </row>
    <row r="188" spans="1:44" x14ac:dyDescent="0.3">
      <c r="A188" t="s">
        <v>40</v>
      </c>
      <c r="B188" t="s">
        <v>41</v>
      </c>
      <c r="C188">
        <v>25150</v>
      </c>
      <c r="D188" s="30">
        <v>46140</v>
      </c>
      <c r="E188" t="s">
        <v>43</v>
      </c>
      <c r="F188">
        <v>5</v>
      </c>
      <c r="G188" s="31">
        <v>46132.635416666657</v>
      </c>
      <c r="H188" s="31">
        <v>46139.635416666657</v>
      </c>
      <c r="I188">
        <v>37.049999999999997</v>
      </c>
      <c r="J188">
        <v>-0.1222</v>
      </c>
      <c r="K188">
        <v>1.05</v>
      </c>
      <c r="L188">
        <v>-7.6E-3</v>
      </c>
      <c r="M188">
        <v>11700</v>
      </c>
      <c r="N188" t="s">
        <v>46</v>
      </c>
      <c r="P188" t="s">
        <v>40</v>
      </c>
      <c r="Q188" t="s">
        <v>41</v>
      </c>
      <c r="R188">
        <v>24900</v>
      </c>
      <c r="S188" s="30">
        <v>46133</v>
      </c>
      <c r="T188" t="s">
        <v>43</v>
      </c>
      <c r="U188">
        <v>5</v>
      </c>
      <c r="V188" s="31">
        <v>46122.635416666657</v>
      </c>
      <c r="W188" s="31">
        <v>46132.635416666657</v>
      </c>
      <c r="X188">
        <v>36.1</v>
      </c>
      <c r="Y188">
        <v>-0.115</v>
      </c>
      <c r="Z188">
        <v>7.85</v>
      </c>
      <c r="AA188">
        <v>-5.6800000000000003E-2</v>
      </c>
      <c r="AB188">
        <v>9181.2000000000007</v>
      </c>
      <c r="AC188" t="s">
        <v>46</v>
      </c>
      <c r="AE188" t="s">
        <v>40</v>
      </c>
      <c r="AF188" t="s">
        <v>51</v>
      </c>
      <c r="AG188">
        <v>25850</v>
      </c>
      <c r="AH188" s="30">
        <v>46077</v>
      </c>
      <c r="AI188" t="s">
        <v>54</v>
      </c>
      <c r="AJ188">
        <v>1</v>
      </c>
      <c r="AK188" s="31">
        <v>46062.635416666657</v>
      </c>
      <c r="AL188" s="31">
        <v>46076.635416666657</v>
      </c>
      <c r="AM188">
        <v>190.5</v>
      </c>
      <c r="AN188">
        <v>-0.43540000000000001</v>
      </c>
      <c r="AO188">
        <v>163</v>
      </c>
      <c r="AP188">
        <v>-0.72250000000000003</v>
      </c>
      <c r="AQ188">
        <v>-1787.5</v>
      </c>
      <c r="AR188" t="s">
        <v>46</v>
      </c>
    </row>
    <row r="189" spans="1:44" x14ac:dyDescent="0.3">
      <c r="A189" t="s">
        <v>40</v>
      </c>
      <c r="B189" t="s">
        <v>41</v>
      </c>
      <c r="C189">
        <v>25050</v>
      </c>
      <c r="D189" s="30">
        <v>46147</v>
      </c>
      <c r="E189" t="s">
        <v>43</v>
      </c>
      <c r="F189">
        <v>5</v>
      </c>
      <c r="G189" s="31">
        <v>46139.635416666657</v>
      </c>
      <c r="H189" s="31">
        <v>46146.635416666657</v>
      </c>
      <c r="I189">
        <v>19.55</v>
      </c>
      <c r="J189">
        <v>-7.22E-2</v>
      </c>
      <c r="K189">
        <v>2.0499999999999998</v>
      </c>
      <c r="L189">
        <v>-1.43E-2</v>
      </c>
      <c r="M189">
        <v>5687.5</v>
      </c>
      <c r="N189" t="s">
        <v>46</v>
      </c>
      <c r="P189" t="s">
        <v>40</v>
      </c>
      <c r="Q189" t="s">
        <v>51</v>
      </c>
      <c r="R189">
        <v>24500</v>
      </c>
      <c r="S189" s="30">
        <v>46140</v>
      </c>
      <c r="T189" t="s">
        <v>43</v>
      </c>
      <c r="U189">
        <v>1</v>
      </c>
      <c r="V189" s="31">
        <v>46108.635416666657</v>
      </c>
      <c r="W189" s="31">
        <v>46133.635416666657</v>
      </c>
      <c r="X189">
        <v>1699</v>
      </c>
      <c r="Y189">
        <v>0.82689999999999997</v>
      </c>
      <c r="Z189">
        <v>206.35</v>
      </c>
      <c r="AA189">
        <v>0.42670000000000002</v>
      </c>
      <c r="AB189">
        <v>97022.2</v>
      </c>
      <c r="AC189" t="s">
        <v>63</v>
      </c>
      <c r="AE189" t="s">
        <v>40</v>
      </c>
      <c r="AF189" t="s">
        <v>41</v>
      </c>
      <c r="AG189">
        <v>26650</v>
      </c>
      <c r="AH189" s="30">
        <v>46077</v>
      </c>
      <c r="AI189" t="s">
        <v>43</v>
      </c>
      <c r="AJ189">
        <v>5</v>
      </c>
      <c r="AK189" s="31">
        <v>46069.635416666657</v>
      </c>
      <c r="AL189" s="31">
        <v>46076.635416666657</v>
      </c>
      <c r="AM189">
        <v>9.85</v>
      </c>
      <c r="AN189">
        <v>-4.5100000000000001E-2</v>
      </c>
      <c r="AO189">
        <v>1.5</v>
      </c>
      <c r="AP189">
        <v>-1.11E-2</v>
      </c>
      <c r="AQ189">
        <v>2713.8</v>
      </c>
      <c r="AR189" t="s">
        <v>46</v>
      </c>
    </row>
    <row r="190" spans="1:44" x14ac:dyDescent="0.3">
      <c r="A190" t="s">
        <v>40</v>
      </c>
      <c r="B190" t="s">
        <v>41</v>
      </c>
      <c r="C190">
        <v>25100</v>
      </c>
      <c r="D190" s="30">
        <v>46154</v>
      </c>
      <c r="E190" t="s">
        <v>43</v>
      </c>
      <c r="F190">
        <v>5</v>
      </c>
      <c r="G190" s="31">
        <v>46146.635416666657</v>
      </c>
      <c r="H190" s="31">
        <v>46153.635416666657</v>
      </c>
      <c r="I190">
        <v>21</v>
      </c>
      <c r="J190">
        <v>-7.51E-2</v>
      </c>
      <c r="K190">
        <v>1.4</v>
      </c>
      <c r="L190">
        <v>-8.2000000000000007E-3</v>
      </c>
      <c r="M190">
        <v>6370</v>
      </c>
      <c r="N190" t="s">
        <v>46</v>
      </c>
      <c r="P190" t="s">
        <v>40</v>
      </c>
      <c r="Q190" t="s">
        <v>51</v>
      </c>
      <c r="R190">
        <v>22800</v>
      </c>
      <c r="S190" s="30">
        <v>46140</v>
      </c>
      <c r="T190" t="s">
        <v>54</v>
      </c>
      <c r="U190">
        <v>1</v>
      </c>
      <c r="V190" s="31">
        <v>46108.635416666657</v>
      </c>
      <c r="W190" s="31">
        <v>46139.635416666657</v>
      </c>
      <c r="X190">
        <v>692.95</v>
      </c>
      <c r="Y190">
        <v>-0.45369999999999999</v>
      </c>
      <c r="Z190">
        <v>1</v>
      </c>
      <c r="AA190">
        <v>-5.7999999999999996E-3</v>
      </c>
      <c r="AB190">
        <v>-44976.800000000003</v>
      </c>
      <c r="AC190" t="s">
        <v>46</v>
      </c>
      <c r="AE190" t="s">
        <v>40</v>
      </c>
      <c r="AF190" t="s">
        <v>41</v>
      </c>
      <c r="AG190">
        <v>26500</v>
      </c>
      <c r="AH190" s="30">
        <v>46083</v>
      </c>
      <c r="AI190" t="s">
        <v>43</v>
      </c>
      <c r="AJ190">
        <v>5</v>
      </c>
      <c r="AK190" s="31">
        <v>46076.635416666657</v>
      </c>
      <c r="AL190" s="31">
        <v>46080.635416666657</v>
      </c>
      <c r="AM190">
        <v>11.25</v>
      </c>
      <c r="AN190">
        <v>-5.7200000000000001E-2</v>
      </c>
      <c r="AO190">
        <v>2.1</v>
      </c>
      <c r="AP190">
        <v>-1.11E-2</v>
      </c>
      <c r="AQ190">
        <v>2973.8</v>
      </c>
      <c r="AR190" t="s">
        <v>46</v>
      </c>
    </row>
    <row r="191" spans="1:44" x14ac:dyDescent="0.3">
      <c r="A191" t="s">
        <v>40</v>
      </c>
      <c r="B191" t="s">
        <v>41</v>
      </c>
      <c r="C191">
        <v>24850</v>
      </c>
      <c r="D191" s="30">
        <v>46161</v>
      </c>
      <c r="E191" t="s">
        <v>43</v>
      </c>
      <c r="F191">
        <v>5</v>
      </c>
      <c r="G191" s="31">
        <v>46153.635416666657</v>
      </c>
      <c r="H191" s="31">
        <v>46160.635416666657</v>
      </c>
      <c r="I191">
        <v>19.3</v>
      </c>
      <c r="J191">
        <v>-6.8199999999999997E-2</v>
      </c>
      <c r="K191">
        <v>1</v>
      </c>
      <c r="L191">
        <v>-6.4999999999999997E-3</v>
      </c>
      <c r="M191">
        <v>5947.5</v>
      </c>
      <c r="N191" t="s">
        <v>46</v>
      </c>
      <c r="P191" t="s">
        <v>40</v>
      </c>
      <c r="Q191" t="s">
        <v>51</v>
      </c>
      <c r="R191">
        <v>25500</v>
      </c>
      <c r="S191" s="30">
        <v>46140</v>
      </c>
      <c r="T191" t="s">
        <v>43</v>
      </c>
      <c r="U191">
        <v>1</v>
      </c>
      <c r="V191" s="31">
        <v>46133.635416666657</v>
      </c>
      <c r="W191" s="31">
        <v>46139.635416666657</v>
      </c>
      <c r="X191">
        <v>923.8</v>
      </c>
      <c r="Y191">
        <v>0.95279999999999998</v>
      </c>
      <c r="Z191">
        <v>1374.95</v>
      </c>
      <c r="AA191">
        <v>0.99509999999999998</v>
      </c>
      <c r="AB191">
        <v>-29324.799999999999</v>
      </c>
      <c r="AC191" t="s">
        <v>46</v>
      </c>
      <c r="AE191" t="s">
        <v>40</v>
      </c>
      <c r="AF191" t="s">
        <v>41</v>
      </c>
      <c r="AG191">
        <v>26200</v>
      </c>
      <c r="AH191" s="30">
        <v>46091</v>
      </c>
      <c r="AI191" t="s">
        <v>43</v>
      </c>
      <c r="AJ191">
        <v>5</v>
      </c>
      <c r="AK191" s="31">
        <v>46080.635416666657</v>
      </c>
      <c r="AL191" s="31">
        <v>46090.635416666657</v>
      </c>
      <c r="AM191">
        <v>12</v>
      </c>
      <c r="AN191">
        <v>-5.0099999999999999E-2</v>
      </c>
      <c r="AO191">
        <v>1</v>
      </c>
      <c r="AP191">
        <v>-4.1999999999999997E-3</v>
      </c>
      <c r="AQ191">
        <v>3575</v>
      </c>
      <c r="AR191" t="s">
        <v>46</v>
      </c>
    </row>
    <row r="192" spans="1:44" x14ac:dyDescent="0.3">
      <c r="A192" t="s">
        <v>40</v>
      </c>
      <c r="B192" t="s">
        <v>51</v>
      </c>
      <c r="C192">
        <v>24100</v>
      </c>
      <c r="D192" s="30">
        <v>46168</v>
      </c>
      <c r="E192" t="s">
        <v>54</v>
      </c>
      <c r="F192">
        <v>1</v>
      </c>
      <c r="G192" s="31">
        <v>46139.635416666657</v>
      </c>
      <c r="H192" s="31">
        <v>46167.635416666657</v>
      </c>
      <c r="I192">
        <v>418.2</v>
      </c>
      <c r="J192">
        <v>-0.4511</v>
      </c>
      <c r="K192">
        <v>112.85</v>
      </c>
      <c r="L192">
        <v>-0.61729999999999996</v>
      </c>
      <c r="M192">
        <v>-19847.8</v>
      </c>
      <c r="N192" t="s">
        <v>46</v>
      </c>
      <c r="P192" t="s">
        <v>40</v>
      </c>
      <c r="Q192" t="s">
        <v>41</v>
      </c>
      <c r="R192">
        <v>25150</v>
      </c>
      <c r="S192" s="30">
        <v>46140</v>
      </c>
      <c r="T192" t="s">
        <v>43</v>
      </c>
      <c r="U192">
        <v>5</v>
      </c>
      <c r="V192" s="31">
        <v>46132.635416666657</v>
      </c>
      <c r="W192" s="31">
        <v>46139.635416666657</v>
      </c>
      <c r="X192">
        <v>37.049999999999997</v>
      </c>
      <c r="Y192">
        <v>-0.1222</v>
      </c>
      <c r="Z192">
        <v>1.05</v>
      </c>
      <c r="AA192">
        <v>-7.6E-3</v>
      </c>
      <c r="AB192">
        <v>11700</v>
      </c>
      <c r="AC192" t="s">
        <v>46</v>
      </c>
      <c r="AE192" t="s">
        <v>40</v>
      </c>
      <c r="AF192" t="s">
        <v>41</v>
      </c>
      <c r="AG192">
        <v>25750</v>
      </c>
      <c r="AH192" s="30">
        <v>46098</v>
      </c>
      <c r="AI192" t="s">
        <v>43</v>
      </c>
      <c r="AJ192">
        <v>5</v>
      </c>
      <c r="AK192" s="31">
        <v>46090.635416666657</v>
      </c>
      <c r="AL192" s="31">
        <v>46097.635416666657</v>
      </c>
      <c r="AM192">
        <v>11.9</v>
      </c>
      <c r="AN192">
        <v>-3.4799999999999998E-2</v>
      </c>
      <c r="AO192">
        <v>0.65</v>
      </c>
      <c r="AP192">
        <v>-2.8E-3</v>
      </c>
      <c r="AQ192">
        <v>3656.2</v>
      </c>
      <c r="AR192" t="s">
        <v>46</v>
      </c>
    </row>
    <row r="193" spans="1:44" x14ac:dyDescent="0.3">
      <c r="A193" t="s">
        <v>40</v>
      </c>
      <c r="B193" t="s">
        <v>51</v>
      </c>
      <c r="C193">
        <v>25000</v>
      </c>
      <c r="D193" s="30">
        <v>46168</v>
      </c>
      <c r="E193" t="s">
        <v>43</v>
      </c>
      <c r="F193">
        <v>1</v>
      </c>
      <c r="G193" s="31">
        <v>46139.635416666657</v>
      </c>
      <c r="H193" s="31">
        <v>46167.635416666657</v>
      </c>
      <c r="I193">
        <v>911</v>
      </c>
      <c r="J193">
        <v>0.75170000000000003</v>
      </c>
      <c r="K193">
        <v>951.3</v>
      </c>
      <c r="L193">
        <v>0.99070000000000003</v>
      </c>
      <c r="M193">
        <v>-2619.5</v>
      </c>
      <c r="N193" t="s">
        <v>46</v>
      </c>
      <c r="P193" t="s">
        <v>40</v>
      </c>
      <c r="Q193" t="s">
        <v>41</v>
      </c>
      <c r="R193">
        <v>25050</v>
      </c>
      <c r="S193" s="30">
        <v>46147</v>
      </c>
      <c r="T193" t="s">
        <v>43</v>
      </c>
      <c r="U193">
        <v>5</v>
      </c>
      <c r="V193" s="31">
        <v>46139.635416666657</v>
      </c>
      <c r="W193" s="31">
        <v>46146.635416666657</v>
      </c>
      <c r="X193">
        <v>19.55</v>
      </c>
      <c r="Y193">
        <v>-7.22E-2</v>
      </c>
      <c r="Z193">
        <v>2.0499999999999998</v>
      </c>
      <c r="AA193">
        <v>-1.43E-2</v>
      </c>
      <c r="AB193">
        <v>5687.5</v>
      </c>
      <c r="AC193" t="s">
        <v>46</v>
      </c>
      <c r="AE193" t="s">
        <v>40</v>
      </c>
      <c r="AF193" t="s">
        <v>41</v>
      </c>
      <c r="AG193">
        <v>24900</v>
      </c>
      <c r="AH193" s="30">
        <v>46105</v>
      </c>
      <c r="AI193" t="s">
        <v>43</v>
      </c>
      <c r="AJ193">
        <v>5</v>
      </c>
      <c r="AK193" s="31">
        <v>46097.635416666657</v>
      </c>
      <c r="AL193" s="31">
        <v>46104.635416666657</v>
      </c>
      <c r="AM193">
        <v>11.9</v>
      </c>
      <c r="AN193">
        <v>-3.8199999999999998E-2</v>
      </c>
      <c r="AO193">
        <v>0.9</v>
      </c>
      <c r="AP193">
        <v>-3.5000000000000001E-3</v>
      </c>
      <c r="AQ193">
        <v>3575</v>
      </c>
      <c r="AR193" t="s">
        <v>46</v>
      </c>
    </row>
    <row r="194" spans="1:44" x14ac:dyDescent="0.3">
      <c r="A194" t="s">
        <v>40</v>
      </c>
      <c r="B194" t="s">
        <v>41</v>
      </c>
      <c r="C194">
        <v>24550</v>
      </c>
      <c r="D194" s="30">
        <v>46168</v>
      </c>
      <c r="E194" t="s">
        <v>43</v>
      </c>
      <c r="F194">
        <v>5</v>
      </c>
      <c r="G194" s="31">
        <v>46160.635416666657</v>
      </c>
      <c r="H194" s="31">
        <v>46167.635416666657</v>
      </c>
      <c r="I194">
        <v>21.3</v>
      </c>
      <c r="J194">
        <v>-7.8399999999999997E-2</v>
      </c>
      <c r="K194">
        <v>4.25</v>
      </c>
      <c r="L194">
        <v>-3.7400000000000003E-2</v>
      </c>
      <c r="M194">
        <v>5541.2</v>
      </c>
      <c r="N194" t="s">
        <v>46</v>
      </c>
      <c r="P194" t="s">
        <v>40</v>
      </c>
      <c r="Q194" t="s">
        <v>41</v>
      </c>
      <c r="R194">
        <v>25100</v>
      </c>
      <c r="S194" s="30">
        <v>46154</v>
      </c>
      <c r="T194" t="s">
        <v>43</v>
      </c>
      <c r="U194">
        <v>5</v>
      </c>
      <c r="V194" s="31">
        <v>46146.635416666657</v>
      </c>
      <c r="W194" s="31">
        <v>46153.635416666657</v>
      </c>
      <c r="X194">
        <v>21</v>
      </c>
      <c r="Y194">
        <v>-7.51E-2</v>
      </c>
      <c r="Z194">
        <v>1.4</v>
      </c>
      <c r="AA194">
        <v>-8.2000000000000007E-3</v>
      </c>
      <c r="AB194">
        <v>6370</v>
      </c>
      <c r="AC194" t="s">
        <v>46</v>
      </c>
      <c r="AE194" t="s">
        <v>40</v>
      </c>
      <c r="AF194" t="s">
        <v>51</v>
      </c>
      <c r="AG194">
        <v>26200</v>
      </c>
      <c r="AH194" s="30">
        <v>46111</v>
      </c>
      <c r="AI194" t="s">
        <v>43</v>
      </c>
      <c r="AJ194">
        <v>1</v>
      </c>
      <c r="AK194" s="31">
        <v>46076.635416666657</v>
      </c>
      <c r="AL194" s="31">
        <v>46108.635416666657</v>
      </c>
      <c r="AM194">
        <v>530.6</v>
      </c>
      <c r="AN194">
        <v>0.63819999999999999</v>
      </c>
      <c r="AO194">
        <v>3393</v>
      </c>
      <c r="AP194">
        <v>0.99780000000000002</v>
      </c>
      <c r="AQ194">
        <v>-186056</v>
      </c>
      <c r="AR194" t="s">
        <v>46</v>
      </c>
    </row>
    <row r="195" spans="1:44" x14ac:dyDescent="0.3">
      <c r="A195" t="s">
        <v>40</v>
      </c>
      <c r="B195" t="s">
        <v>41</v>
      </c>
      <c r="C195">
        <v>24800</v>
      </c>
      <c r="D195" s="30">
        <v>46175</v>
      </c>
      <c r="E195" t="s">
        <v>43</v>
      </c>
      <c r="F195">
        <v>5</v>
      </c>
      <c r="G195" s="31">
        <v>46167.635416666657</v>
      </c>
      <c r="H195" s="31">
        <v>46174.635416666657</v>
      </c>
      <c r="I195">
        <v>17.2</v>
      </c>
      <c r="J195">
        <v>-7.6700000000000004E-2</v>
      </c>
      <c r="K195">
        <v>1.3</v>
      </c>
      <c r="L195">
        <v>-7.1999999999999998E-3</v>
      </c>
      <c r="M195">
        <v>5167.5</v>
      </c>
      <c r="N195" t="s">
        <v>46</v>
      </c>
      <c r="P195" t="s">
        <v>40</v>
      </c>
      <c r="Q195" t="s">
        <v>41</v>
      </c>
      <c r="R195">
        <v>24850</v>
      </c>
      <c r="S195" s="30">
        <v>46161</v>
      </c>
      <c r="T195" t="s">
        <v>43</v>
      </c>
      <c r="U195">
        <v>5</v>
      </c>
      <c r="V195" s="31">
        <v>46153.635416666657</v>
      </c>
      <c r="W195" s="31">
        <v>46160.635416666657</v>
      </c>
      <c r="X195">
        <v>19.3</v>
      </c>
      <c r="Y195">
        <v>-6.8199999999999997E-2</v>
      </c>
      <c r="Z195">
        <v>1</v>
      </c>
      <c r="AA195">
        <v>-6.4999999999999997E-3</v>
      </c>
      <c r="AB195">
        <v>5947.5</v>
      </c>
      <c r="AC195" t="s">
        <v>46</v>
      </c>
      <c r="AE195" t="s">
        <v>40</v>
      </c>
      <c r="AF195" t="s">
        <v>51</v>
      </c>
      <c r="AG195">
        <v>25700</v>
      </c>
      <c r="AH195" s="30">
        <v>46111</v>
      </c>
      <c r="AI195" t="s">
        <v>54</v>
      </c>
      <c r="AJ195">
        <v>1</v>
      </c>
      <c r="AK195" s="31">
        <v>46076.635416666657</v>
      </c>
      <c r="AL195" s="31">
        <v>46108.635416666657</v>
      </c>
      <c r="AM195">
        <v>299</v>
      </c>
      <c r="AN195">
        <v>-0.41810000000000003</v>
      </c>
      <c r="AO195">
        <v>2888.8</v>
      </c>
      <c r="AP195">
        <v>-0.99680000000000002</v>
      </c>
      <c r="AQ195">
        <v>168337</v>
      </c>
      <c r="AR195" t="s">
        <v>46</v>
      </c>
    </row>
    <row r="196" spans="1:44" x14ac:dyDescent="0.3">
      <c r="A196" t="s">
        <v>40</v>
      </c>
      <c r="B196" t="s">
        <v>41</v>
      </c>
      <c r="C196">
        <v>24400</v>
      </c>
      <c r="D196" s="30">
        <v>46182</v>
      </c>
      <c r="E196" t="s">
        <v>43</v>
      </c>
      <c r="F196">
        <v>5</v>
      </c>
      <c r="G196" s="31">
        <v>46174.635416666657</v>
      </c>
      <c r="H196" s="31">
        <v>46181.635416666657</v>
      </c>
      <c r="I196">
        <v>14.85</v>
      </c>
      <c r="J196">
        <v>-5.8200000000000002E-2</v>
      </c>
      <c r="K196">
        <v>1.2</v>
      </c>
      <c r="L196">
        <v>-7.3000000000000001E-3</v>
      </c>
      <c r="M196">
        <v>4436.2</v>
      </c>
      <c r="N196" t="s">
        <v>46</v>
      </c>
      <c r="P196" t="s">
        <v>40</v>
      </c>
      <c r="Q196" t="s">
        <v>51</v>
      </c>
      <c r="R196">
        <v>24100</v>
      </c>
      <c r="S196" s="30">
        <v>46168</v>
      </c>
      <c r="T196" t="s">
        <v>54</v>
      </c>
      <c r="U196">
        <v>1</v>
      </c>
      <c r="V196" s="31">
        <v>46139.635416666657</v>
      </c>
      <c r="W196" s="31">
        <v>46167.635416666657</v>
      </c>
      <c r="X196">
        <v>418.2</v>
      </c>
      <c r="Y196">
        <v>-0.4511</v>
      </c>
      <c r="Z196">
        <v>112.85</v>
      </c>
      <c r="AA196">
        <v>-0.61729999999999996</v>
      </c>
      <c r="AB196">
        <v>-19847.8</v>
      </c>
      <c r="AC196" t="s">
        <v>46</v>
      </c>
      <c r="AE196" t="s">
        <v>40</v>
      </c>
      <c r="AF196" t="s">
        <v>41</v>
      </c>
      <c r="AG196">
        <v>24500</v>
      </c>
      <c r="AH196" s="30">
        <v>46111</v>
      </c>
      <c r="AI196" t="s">
        <v>43</v>
      </c>
      <c r="AJ196">
        <v>5</v>
      </c>
      <c r="AK196" s="31">
        <v>46104.635416666657</v>
      </c>
      <c r="AL196" s="31">
        <v>46108.635416666657</v>
      </c>
      <c r="AM196">
        <v>12.05</v>
      </c>
      <c r="AN196">
        <v>-3.1399999999999997E-2</v>
      </c>
      <c r="AO196">
        <v>2.6</v>
      </c>
      <c r="AP196">
        <v>-1.0999999999999999E-2</v>
      </c>
      <c r="AQ196">
        <v>3071.3</v>
      </c>
      <c r="AR196" t="s">
        <v>46</v>
      </c>
    </row>
    <row r="197" spans="1:44" x14ac:dyDescent="0.3">
      <c r="A197" t="s">
        <v>40</v>
      </c>
      <c r="B197" t="s">
        <v>41</v>
      </c>
      <c r="C197">
        <v>24100</v>
      </c>
      <c r="D197" s="30">
        <v>46189</v>
      </c>
      <c r="E197" t="s">
        <v>43</v>
      </c>
      <c r="F197">
        <v>5</v>
      </c>
      <c r="G197" s="31">
        <v>46181.635416666657</v>
      </c>
      <c r="H197" s="31">
        <v>46188.635416666657</v>
      </c>
      <c r="I197">
        <v>15.05</v>
      </c>
      <c r="J197">
        <v>-6.0100000000000001E-2</v>
      </c>
      <c r="K197">
        <v>21</v>
      </c>
      <c r="L197">
        <v>-0.16309999999999999</v>
      </c>
      <c r="M197">
        <v>-1933.7</v>
      </c>
      <c r="N197" t="s">
        <v>46</v>
      </c>
      <c r="P197" t="s">
        <v>40</v>
      </c>
      <c r="Q197" t="s">
        <v>51</v>
      </c>
      <c r="R197">
        <v>25000</v>
      </c>
      <c r="S197" s="30">
        <v>46168</v>
      </c>
      <c r="T197" t="s">
        <v>43</v>
      </c>
      <c r="U197">
        <v>1</v>
      </c>
      <c r="V197" s="31">
        <v>46139.635416666657</v>
      </c>
      <c r="W197" s="31">
        <v>46167.635416666657</v>
      </c>
      <c r="X197">
        <v>911</v>
      </c>
      <c r="Y197">
        <v>0.75170000000000003</v>
      </c>
      <c r="Z197">
        <v>951.3</v>
      </c>
      <c r="AA197">
        <v>0.99070000000000003</v>
      </c>
      <c r="AB197">
        <v>-2619.5</v>
      </c>
      <c r="AC197" t="s">
        <v>46</v>
      </c>
      <c r="AE197" t="s">
        <v>40</v>
      </c>
      <c r="AF197" t="s">
        <v>41</v>
      </c>
      <c r="AG197">
        <v>24400</v>
      </c>
      <c r="AH197" s="30">
        <v>46119</v>
      </c>
      <c r="AI197" t="s">
        <v>43</v>
      </c>
      <c r="AJ197">
        <v>5</v>
      </c>
      <c r="AK197" s="31">
        <v>46108.635416666657</v>
      </c>
      <c r="AL197" s="31">
        <v>46118.635416666657</v>
      </c>
      <c r="AM197">
        <v>34.200000000000003</v>
      </c>
      <c r="AN197">
        <v>-7.5800000000000006E-2</v>
      </c>
      <c r="AO197">
        <v>1.3</v>
      </c>
      <c r="AP197">
        <v>-7.1999999999999998E-3</v>
      </c>
      <c r="AQ197">
        <v>10692.5</v>
      </c>
      <c r="AR197" t="s">
        <v>46</v>
      </c>
    </row>
    <row r="198" spans="1:44" x14ac:dyDescent="0.3">
      <c r="A198" t="s">
        <v>40</v>
      </c>
      <c r="B198" t="s">
        <v>41</v>
      </c>
      <c r="C198">
        <v>24750</v>
      </c>
      <c r="D198" s="30">
        <v>46196</v>
      </c>
      <c r="E198" t="s">
        <v>43</v>
      </c>
      <c r="F198">
        <v>5</v>
      </c>
      <c r="G198" s="31">
        <v>46188.635416666657</v>
      </c>
      <c r="H198" s="31">
        <v>46195.635416666657</v>
      </c>
      <c r="I198">
        <v>15.85</v>
      </c>
      <c r="J198">
        <v>-6.5699999999999995E-2</v>
      </c>
      <c r="K198">
        <v>1.45</v>
      </c>
      <c r="L198">
        <v>-1.44E-2</v>
      </c>
      <c r="M198">
        <v>4680</v>
      </c>
      <c r="N198" t="s">
        <v>46</v>
      </c>
      <c r="P198" t="s">
        <v>40</v>
      </c>
      <c r="Q198" t="s">
        <v>41</v>
      </c>
      <c r="R198">
        <v>24550</v>
      </c>
      <c r="S198" s="30">
        <v>46168</v>
      </c>
      <c r="T198" t="s">
        <v>43</v>
      </c>
      <c r="U198">
        <v>5</v>
      </c>
      <c r="V198" s="31">
        <v>46160.635416666657</v>
      </c>
      <c r="W198" s="31">
        <v>46167.635416666657</v>
      </c>
      <c r="X198">
        <v>21.3</v>
      </c>
      <c r="Y198">
        <v>-7.8399999999999997E-2</v>
      </c>
      <c r="Z198">
        <v>4.25</v>
      </c>
      <c r="AA198">
        <v>-3.7400000000000003E-2</v>
      </c>
      <c r="AB198">
        <v>5541.2</v>
      </c>
      <c r="AC198" t="s">
        <v>46</v>
      </c>
      <c r="AE198" t="s">
        <v>40</v>
      </c>
      <c r="AF198" t="s">
        <v>41</v>
      </c>
      <c r="AG198">
        <v>24150</v>
      </c>
      <c r="AH198" s="30">
        <v>46125</v>
      </c>
      <c r="AI198" t="s">
        <v>43</v>
      </c>
      <c r="AJ198">
        <v>5</v>
      </c>
      <c r="AK198" s="31">
        <v>46118.635416666657</v>
      </c>
      <c r="AL198" s="31">
        <v>46122.635416666657</v>
      </c>
      <c r="AM198">
        <v>32.799999999999997</v>
      </c>
      <c r="AN198">
        <v>-8.8700000000000001E-2</v>
      </c>
      <c r="AO198">
        <v>96.75</v>
      </c>
      <c r="AP198">
        <v>-0.40089999999999998</v>
      </c>
      <c r="AQ198">
        <v>-20783.8</v>
      </c>
      <c r="AR198" t="s">
        <v>46</v>
      </c>
    </row>
    <row r="199" spans="1:44" x14ac:dyDescent="0.3">
      <c r="A199" t="s">
        <v>40</v>
      </c>
      <c r="B199" t="s">
        <v>51</v>
      </c>
      <c r="C199">
        <v>24050</v>
      </c>
      <c r="D199" s="30">
        <v>46203</v>
      </c>
      <c r="E199" t="s">
        <v>54</v>
      </c>
      <c r="F199">
        <v>1</v>
      </c>
      <c r="G199" s="31">
        <v>46167.635416666657</v>
      </c>
      <c r="H199" s="31">
        <v>46202.635416666657</v>
      </c>
      <c r="I199">
        <v>400.85</v>
      </c>
      <c r="J199">
        <v>-0.44469999999999998</v>
      </c>
      <c r="K199">
        <v>135.4</v>
      </c>
      <c r="L199">
        <v>-0.69369999999999998</v>
      </c>
      <c r="M199">
        <v>-17254.3</v>
      </c>
      <c r="N199" t="s">
        <v>318</v>
      </c>
      <c r="P199" t="s">
        <v>40</v>
      </c>
      <c r="Q199" t="s">
        <v>41</v>
      </c>
      <c r="R199">
        <v>24800</v>
      </c>
      <c r="S199" s="30">
        <v>46175</v>
      </c>
      <c r="T199" t="s">
        <v>43</v>
      </c>
      <c r="U199">
        <v>5</v>
      </c>
      <c r="V199" s="31">
        <v>46167.635416666657</v>
      </c>
      <c r="W199" s="31">
        <v>46174.635416666657</v>
      </c>
      <c r="X199">
        <v>17.2</v>
      </c>
      <c r="Y199">
        <v>-7.6700000000000004E-2</v>
      </c>
      <c r="Z199">
        <v>1.3</v>
      </c>
      <c r="AA199">
        <v>-7.1999999999999998E-3</v>
      </c>
      <c r="AB199">
        <v>5167.5</v>
      </c>
      <c r="AC199" t="s">
        <v>46</v>
      </c>
      <c r="AE199" t="s">
        <v>40</v>
      </c>
      <c r="AF199" t="s">
        <v>41</v>
      </c>
      <c r="AG199">
        <v>24900</v>
      </c>
      <c r="AH199" s="30">
        <v>46133</v>
      </c>
      <c r="AI199" t="s">
        <v>43</v>
      </c>
      <c r="AJ199">
        <v>5</v>
      </c>
      <c r="AK199" s="31">
        <v>46122.635416666657</v>
      </c>
      <c r="AL199" s="31">
        <v>46132.635416666657</v>
      </c>
      <c r="AM199">
        <v>36.1</v>
      </c>
      <c r="AN199">
        <v>-0.115</v>
      </c>
      <c r="AO199">
        <v>7.85</v>
      </c>
      <c r="AP199">
        <v>-5.6800000000000003E-2</v>
      </c>
      <c r="AQ199">
        <v>9181.2000000000007</v>
      </c>
      <c r="AR199" t="s">
        <v>46</v>
      </c>
    </row>
    <row r="200" spans="1:44" x14ac:dyDescent="0.3">
      <c r="A200" t="s">
        <v>40</v>
      </c>
      <c r="B200" t="s">
        <v>51</v>
      </c>
      <c r="C200">
        <v>25000</v>
      </c>
      <c r="D200" s="30">
        <v>46203</v>
      </c>
      <c r="E200" t="s">
        <v>43</v>
      </c>
      <c r="F200">
        <v>1</v>
      </c>
      <c r="G200" s="31">
        <v>46167.635416666657</v>
      </c>
      <c r="H200" s="31">
        <v>46202.635416666657</v>
      </c>
      <c r="I200">
        <v>981.95</v>
      </c>
      <c r="J200">
        <v>0.79520000000000002</v>
      </c>
      <c r="K200">
        <v>1049.8499999999999</v>
      </c>
      <c r="L200">
        <v>0.99099999999999999</v>
      </c>
      <c r="M200">
        <v>-4413.5</v>
      </c>
      <c r="N200" t="s">
        <v>318</v>
      </c>
      <c r="P200" t="s">
        <v>40</v>
      </c>
      <c r="Q200" t="s">
        <v>41</v>
      </c>
      <c r="R200">
        <v>24400</v>
      </c>
      <c r="S200" s="30">
        <v>46182</v>
      </c>
      <c r="T200" t="s">
        <v>43</v>
      </c>
      <c r="U200">
        <v>5</v>
      </c>
      <c r="V200" s="31">
        <v>46174.635416666657</v>
      </c>
      <c r="W200" s="31">
        <v>46181.635416666657</v>
      </c>
      <c r="X200">
        <v>14.85</v>
      </c>
      <c r="Y200">
        <v>-5.8200000000000002E-2</v>
      </c>
      <c r="Z200">
        <v>1.2</v>
      </c>
      <c r="AA200">
        <v>-7.3000000000000001E-3</v>
      </c>
      <c r="AB200">
        <v>4436.2</v>
      </c>
      <c r="AC200" t="s">
        <v>46</v>
      </c>
      <c r="AE200" t="s">
        <v>40</v>
      </c>
      <c r="AF200" t="s">
        <v>51</v>
      </c>
      <c r="AG200">
        <v>24500</v>
      </c>
      <c r="AH200" s="30">
        <v>46140</v>
      </c>
      <c r="AI200" t="s">
        <v>43</v>
      </c>
      <c r="AJ200">
        <v>1</v>
      </c>
      <c r="AK200" s="31">
        <v>46108.635416666657</v>
      </c>
      <c r="AL200" s="31">
        <v>46133.635416666657</v>
      </c>
      <c r="AM200">
        <v>1699</v>
      </c>
      <c r="AN200">
        <v>0.82689999999999997</v>
      </c>
      <c r="AO200">
        <v>206.35</v>
      </c>
      <c r="AP200">
        <v>0.42670000000000002</v>
      </c>
      <c r="AQ200">
        <v>97022.2</v>
      </c>
      <c r="AR200" t="s">
        <v>63</v>
      </c>
    </row>
    <row r="201" spans="1:44" x14ac:dyDescent="0.3">
      <c r="A201" t="s">
        <v>40</v>
      </c>
      <c r="B201" t="s">
        <v>41</v>
      </c>
      <c r="C201">
        <v>24700</v>
      </c>
      <c r="D201" s="30">
        <v>46203</v>
      </c>
      <c r="E201" t="s">
        <v>43</v>
      </c>
      <c r="F201">
        <v>5</v>
      </c>
      <c r="G201" s="31">
        <v>46195.635416666657</v>
      </c>
      <c r="H201" s="31">
        <v>46202.635416666657</v>
      </c>
      <c r="I201">
        <v>16.399999999999999</v>
      </c>
      <c r="J201">
        <v>-8.8300000000000003E-2</v>
      </c>
      <c r="K201">
        <v>1.85</v>
      </c>
      <c r="L201">
        <v>-1.52E-2</v>
      </c>
      <c r="M201">
        <v>4728.8</v>
      </c>
      <c r="N201" t="s">
        <v>318</v>
      </c>
      <c r="P201" t="s">
        <v>40</v>
      </c>
      <c r="Q201" t="s">
        <v>41</v>
      </c>
      <c r="R201">
        <v>24100</v>
      </c>
      <c r="S201" s="30">
        <v>46189</v>
      </c>
      <c r="T201" t="s">
        <v>43</v>
      </c>
      <c r="U201">
        <v>5</v>
      </c>
      <c r="V201" s="31">
        <v>46181.635416666657</v>
      </c>
      <c r="W201" s="31">
        <v>46188.635416666657</v>
      </c>
      <c r="X201">
        <v>15.05</v>
      </c>
      <c r="Y201">
        <v>-6.0100000000000001E-2</v>
      </c>
      <c r="Z201">
        <v>21</v>
      </c>
      <c r="AA201">
        <v>-0.16309999999999999</v>
      </c>
      <c r="AB201">
        <v>-1933.7</v>
      </c>
      <c r="AC201" t="s">
        <v>46</v>
      </c>
      <c r="AE201" t="s">
        <v>40</v>
      </c>
      <c r="AF201" t="s">
        <v>51</v>
      </c>
      <c r="AG201">
        <v>22800</v>
      </c>
      <c r="AH201" s="30">
        <v>46140</v>
      </c>
      <c r="AI201" t="s">
        <v>54</v>
      </c>
      <c r="AJ201">
        <v>1</v>
      </c>
      <c r="AK201" s="31">
        <v>46108.635416666657</v>
      </c>
      <c r="AL201" s="31">
        <v>46133.635416666657</v>
      </c>
      <c r="AM201">
        <v>692.95</v>
      </c>
      <c r="AN201">
        <v>-0.45369999999999999</v>
      </c>
      <c r="AO201">
        <v>7.25</v>
      </c>
      <c r="AP201">
        <v>-2.0799999999999999E-2</v>
      </c>
      <c r="AQ201">
        <v>-44570.5</v>
      </c>
      <c r="AR201" t="s">
        <v>63</v>
      </c>
    </row>
    <row r="202" spans="1:44" x14ac:dyDescent="0.3">
      <c r="P202" t="s">
        <v>40</v>
      </c>
      <c r="Q202" t="s">
        <v>41</v>
      </c>
      <c r="R202">
        <v>24750</v>
      </c>
      <c r="S202" s="30">
        <v>46196</v>
      </c>
      <c r="T202" t="s">
        <v>43</v>
      </c>
      <c r="U202">
        <v>5</v>
      </c>
      <c r="V202" s="31">
        <v>46188.635416666657</v>
      </c>
      <c r="W202" s="31">
        <v>46195.635416666657</v>
      </c>
      <c r="X202">
        <v>15.85</v>
      </c>
      <c r="Y202">
        <v>-6.5699999999999995E-2</v>
      </c>
      <c r="Z202">
        <v>1.45</v>
      </c>
      <c r="AA202">
        <v>-1.44E-2</v>
      </c>
      <c r="AB202">
        <v>4680</v>
      </c>
      <c r="AC202" t="s">
        <v>46</v>
      </c>
      <c r="AE202" t="s">
        <v>40</v>
      </c>
      <c r="AF202" t="s">
        <v>51</v>
      </c>
      <c r="AG202">
        <v>25500</v>
      </c>
      <c r="AH202" s="30">
        <v>46140</v>
      </c>
      <c r="AI202" t="s">
        <v>43</v>
      </c>
      <c r="AJ202">
        <v>1</v>
      </c>
      <c r="AK202" s="31">
        <v>46133.635416666657</v>
      </c>
      <c r="AL202" s="31">
        <v>46139.635416666657</v>
      </c>
      <c r="AM202">
        <v>923.8</v>
      </c>
      <c r="AN202">
        <v>0.95279999999999998</v>
      </c>
      <c r="AO202">
        <v>1374.95</v>
      </c>
      <c r="AP202">
        <v>0.99509999999999998</v>
      </c>
      <c r="AQ202">
        <v>-29324.799999999999</v>
      </c>
      <c r="AR202" t="s">
        <v>46</v>
      </c>
    </row>
    <row r="203" spans="1:44" x14ac:dyDescent="0.3">
      <c r="P203" t="s">
        <v>40</v>
      </c>
      <c r="Q203" t="s">
        <v>51</v>
      </c>
      <c r="R203">
        <v>24050</v>
      </c>
      <c r="S203" s="30">
        <v>46203</v>
      </c>
      <c r="T203" t="s">
        <v>54</v>
      </c>
      <c r="U203">
        <v>1</v>
      </c>
      <c r="V203" s="31">
        <v>46167.635416666657</v>
      </c>
      <c r="W203" s="31">
        <v>46202.635416666657</v>
      </c>
      <c r="X203">
        <v>400.85</v>
      </c>
      <c r="Y203">
        <v>-0.44469999999999998</v>
      </c>
      <c r="Z203">
        <v>135.4</v>
      </c>
      <c r="AA203">
        <v>-0.69369999999999998</v>
      </c>
      <c r="AB203">
        <v>-17254.3</v>
      </c>
      <c r="AC203" t="s">
        <v>318</v>
      </c>
      <c r="AE203" t="s">
        <v>40</v>
      </c>
      <c r="AF203" t="s">
        <v>51</v>
      </c>
      <c r="AG203">
        <v>24600</v>
      </c>
      <c r="AH203" s="30">
        <v>46140</v>
      </c>
      <c r="AI203" t="s">
        <v>54</v>
      </c>
      <c r="AJ203">
        <v>1</v>
      </c>
      <c r="AK203" s="31">
        <v>46133.635416666657</v>
      </c>
      <c r="AL203" s="31">
        <v>46139.635416666657</v>
      </c>
      <c r="AM203">
        <v>249.45</v>
      </c>
      <c r="AN203">
        <v>-0.48820000000000002</v>
      </c>
      <c r="AO203">
        <v>476.75</v>
      </c>
      <c r="AP203">
        <v>-0.94850000000000001</v>
      </c>
      <c r="AQ203">
        <v>14774.5</v>
      </c>
      <c r="AR203" t="s">
        <v>46</v>
      </c>
    </row>
    <row r="204" spans="1:44" x14ac:dyDescent="0.3">
      <c r="P204" t="s">
        <v>40</v>
      </c>
      <c r="Q204" t="s">
        <v>51</v>
      </c>
      <c r="R204">
        <v>25000</v>
      </c>
      <c r="S204" s="30">
        <v>46203</v>
      </c>
      <c r="T204" t="s">
        <v>43</v>
      </c>
      <c r="U204">
        <v>1</v>
      </c>
      <c r="V204" s="31">
        <v>46167.635416666657</v>
      </c>
      <c r="W204" s="31">
        <v>46202.635416666657</v>
      </c>
      <c r="X204">
        <v>981.95</v>
      </c>
      <c r="Y204">
        <v>0.79520000000000002</v>
      </c>
      <c r="Z204">
        <v>1049.8499999999999</v>
      </c>
      <c r="AA204">
        <v>0.99099999999999999</v>
      </c>
      <c r="AB204">
        <v>-4413.5</v>
      </c>
      <c r="AC204" t="s">
        <v>318</v>
      </c>
      <c r="AE204" t="s">
        <v>40</v>
      </c>
      <c r="AF204" t="s">
        <v>41</v>
      </c>
      <c r="AG204">
        <v>25150</v>
      </c>
      <c r="AH204" s="30">
        <v>46140</v>
      </c>
      <c r="AI204" t="s">
        <v>43</v>
      </c>
      <c r="AJ204">
        <v>5</v>
      </c>
      <c r="AK204" s="31">
        <v>46132.635416666657</v>
      </c>
      <c r="AL204" s="31">
        <v>46139.635416666657</v>
      </c>
      <c r="AM204">
        <v>37.049999999999997</v>
      </c>
      <c r="AN204">
        <v>-0.1222</v>
      </c>
      <c r="AO204">
        <v>1.05</v>
      </c>
      <c r="AP204">
        <v>-7.6E-3</v>
      </c>
      <c r="AQ204">
        <v>11700</v>
      </c>
      <c r="AR204" t="s">
        <v>46</v>
      </c>
    </row>
    <row r="205" spans="1:44" x14ac:dyDescent="0.3">
      <c r="P205" t="s">
        <v>40</v>
      </c>
      <c r="Q205" t="s">
        <v>41</v>
      </c>
      <c r="R205">
        <v>24700</v>
      </c>
      <c r="S205" s="30">
        <v>46203</v>
      </c>
      <c r="T205" t="s">
        <v>43</v>
      </c>
      <c r="U205">
        <v>5</v>
      </c>
      <c r="V205" s="31">
        <v>46195.635416666657</v>
      </c>
      <c r="W205" s="31">
        <v>46202.635416666657</v>
      </c>
      <c r="X205">
        <v>16.399999999999999</v>
      </c>
      <c r="Y205">
        <v>-8.8300000000000003E-2</v>
      </c>
      <c r="Z205">
        <v>1.85</v>
      </c>
      <c r="AA205">
        <v>-1.52E-2</v>
      </c>
      <c r="AB205">
        <v>4728.8</v>
      </c>
      <c r="AC205" t="s">
        <v>318</v>
      </c>
      <c r="AE205" t="s">
        <v>40</v>
      </c>
      <c r="AF205" t="s">
        <v>41</v>
      </c>
      <c r="AG205">
        <v>25050</v>
      </c>
      <c r="AH205" s="30">
        <v>46147</v>
      </c>
      <c r="AI205" t="s">
        <v>43</v>
      </c>
      <c r="AJ205">
        <v>5</v>
      </c>
      <c r="AK205" s="31">
        <v>46139.635416666657</v>
      </c>
      <c r="AL205" s="31">
        <v>46146.635416666657</v>
      </c>
      <c r="AM205">
        <v>19.55</v>
      </c>
      <c r="AN205">
        <v>-7.22E-2</v>
      </c>
      <c r="AO205">
        <v>2.0499999999999998</v>
      </c>
      <c r="AP205">
        <v>-1.43E-2</v>
      </c>
      <c r="AQ205">
        <v>5687.5</v>
      </c>
      <c r="AR205" t="s">
        <v>46</v>
      </c>
    </row>
    <row r="206" spans="1:44" x14ac:dyDescent="0.3">
      <c r="AE206" t="s">
        <v>40</v>
      </c>
      <c r="AF206" t="s">
        <v>41</v>
      </c>
      <c r="AG206">
        <v>25100</v>
      </c>
      <c r="AH206" s="30">
        <v>46154</v>
      </c>
      <c r="AI206" t="s">
        <v>43</v>
      </c>
      <c r="AJ206">
        <v>5</v>
      </c>
      <c r="AK206" s="31">
        <v>46146.635416666657</v>
      </c>
      <c r="AL206" s="31">
        <v>46153.635416666657</v>
      </c>
      <c r="AM206">
        <v>21</v>
      </c>
      <c r="AN206">
        <v>-7.51E-2</v>
      </c>
      <c r="AO206">
        <v>1.4</v>
      </c>
      <c r="AP206">
        <v>-8.2000000000000007E-3</v>
      </c>
      <c r="AQ206">
        <v>6370</v>
      </c>
      <c r="AR206" t="s">
        <v>46</v>
      </c>
    </row>
    <row r="207" spans="1:44" x14ac:dyDescent="0.3">
      <c r="AE207" t="s">
        <v>40</v>
      </c>
      <c r="AF207" t="s">
        <v>41</v>
      </c>
      <c r="AG207">
        <v>24850</v>
      </c>
      <c r="AH207" s="30">
        <v>46161</v>
      </c>
      <c r="AI207" t="s">
        <v>43</v>
      </c>
      <c r="AJ207">
        <v>5</v>
      </c>
      <c r="AK207" s="31">
        <v>46153.635416666657</v>
      </c>
      <c r="AL207" s="31">
        <v>46160.635416666657</v>
      </c>
      <c r="AM207">
        <v>19.3</v>
      </c>
      <c r="AN207">
        <v>-6.8199999999999997E-2</v>
      </c>
      <c r="AO207">
        <v>1</v>
      </c>
      <c r="AP207">
        <v>-6.4999999999999997E-3</v>
      </c>
      <c r="AQ207">
        <v>5947.5</v>
      </c>
      <c r="AR207" t="s">
        <v>46</v>
      </c>
    </row>
    <row r="208" spans="1:44" x14ac:dyDescent="0.3">
      <c r="AE208" t="s">
        <v>40</v>
      </c>
      <c r="AF208" t="s">
        <v>51</v>
      </c>
      <c r="AG208">
        <v>25000</v>
      </c>
      <c r="AH208" s="30">
        <v>46168</v>
      </c>
      <c r="AI208" t="s">
        <v>43</v>
      </c>
      <c r="AJ208">
        <v>1</v>
      </c>
      <c r="AK208" s="31">
        <v>46139.635416666657</v>
      </c>
      <c r="AL208" s="31">
        <v>46167.635416666657</v>
      </c>
      <c r="AM208">
        <v>911</v>
      </c>
      <c r="AN208">
        <v>0.75170000000000003</v>
      </c>
      <c r="AO208">
        <v>951.3</v>
      </c>
      <c r="AP208">
        <v>0.99070000000000003</v>
      </c>
      <c r="AQ208">
        <v>-2619.5</v>
      </c>
      <c r="AR208" t="s">
        <v>46</v>
      </c>
    </row>
    <row r="209" spans="31:44" x14ac:dyDescent="0.3">
      <c r="AE209" t="s">
        <v>40</v>
      </c>
      <c r="AF209" t="s">
        <v>51</v>
      </c>
      <c r="AG209">
        <v>24100</v>
      </c>
      <c r="AH209" s="30">
        <v>46168</v>
      </c>
      <c r="AI209" t="s">
        <v>54</v>
      </c>
      <c r="AJ209">
        <v>1</v>
      </c>
      <c r="AK209" s="31">
        <v>46139.635416666657</v>
      </c>
      <c r="AL209" s="31">
        <v>46167.635416666657</v>
      </c>
      <c r="AM209">
        <v>418.2</v>
      </c>
      <c r="AN209">
        <v>-0.4511</v>
      </c>
      <c r="AO209">
        <v>112.85</v>
      </c>
      <c r="AP209">
        <v>-0.61729999999999996</v>
      </c>
      <c r="AQ209">
        <v>-19847.8</v>
      </c>
      <c r="AR209" t="s">
        <v>46</v>
      </c>
    </row>
    <row r="210" spans="31:44" x14ac:dyDescent="0.3">
      <c r="AE210" t="s">
        <v>40</v>
      </c>
      <c r="AF210" t="s">
        <v>41</v>
      </c>
      <c r="AG210">
        <v>24550</v>
      </c>
      <c r="AH210" s="30">
        <v>46168</v>
      </c>
      <c r="AI210" t="s">
        <v>43</v>
      </c>
      <c r="AJ210">
        <v>5</v>
      </c>
      <c r="AK210" s="31">
        <v>46160.635416666657</v>
      </c>
      <c r="AL210" s="31">
        <v>46167.635416666657</v>
      </c>
      <c r="AM210">
        <v>21.3</v>
      </c>
      <c r="AN210">
        <v>-7.8399999999999997E-2</v>
      </c>
      <c r="AO210">
        <v>4.25</v>
      </c>
      <c r="AP210">
        <v>-3.7400000000000003E-2</v>
      </c>
      <c r="AQ210">
        <v>5541.2</v>
      </c>
      <c r="AR210" t="s">
        <v>46</v>
      </c>
    </row>
    <row r="211" spans="31:44" x14ac:dyDescent="0.3">
      <c r="AE211" t="s">
        <v>40</v>
      </c>
      <c r="AF211" t="s">
        <v>41</v>
      </c>
      <c r="AG211">
        <v>24800</v>
      </c>
      <c r="AH211" s="30">
        <v>46175</v>
      </c>
      <c r="AI211" t="s">
        <v>43</v>
      </c>
      <c r="AJ211">
        <v>5</v>
      </c>
      <c r="AK211" s="31">
        <v>46167.635416666657</v>
      </c>
      <c r="AL211" s="31">
        <v>46174.635416666657</v>
      </c>
      <c r="AM211">
        <v>17.2</v>
      </c>
      <c r="AN211">
        <v>-7.6700000000000004E-2</v>
      </c>
      <c r="AO211">
        <v>1.3</v>
      </c>
      <c r="AP211">
        <v>-7.1999999999999998E-3</v>
      </c>
      <c r="AQ211">
        <v>5167.5</v>
      </c>
      <c r="AR211" t="s">
        <v>46</v>
      </c>
    </row>
    <row r="212" spans="31:44" x14ac:dyDescent="0.3">
      <c r="AE212" t="s">
        <v>40</v>
      </c>
      <c r="AF212" t="s">
        <v>41</v>
      </c>
      <c r="AG212">
        <v>24400</v>
      </c>
      <c r="AH212" s="30">
        <v>46182</v>
      </c>
      <c r="AI212" t="s">
        <v>43</v>
      </c>
      <c r="AJ212">
        <v>5</v>
      </c>
      <c r="AK212" s="31">
        <v>46174.635416666657</v>
      </c>
      <c r="AL212" s="31">
        <v>46181.635416666657</v>
      </c>
      <c r="AM212">
        <v>14.85</v>
      </c>
      <c r="AN212">
        <v>-5.8200000000000002E-2</v>
      </c>
      <c r="AO212">
        <v>1.2</v>
      </c>
      <c r="AP212">
        <v>-7.3000000000000001E-3</v>
      </c>
      <c r="AQ212">
        <v>4436.2</v>
      </c>
      <c r="AR212" t="s">
        <v>46</v>
      </c>
    </row>
    <row r="213" spans="31:44" x14ac:dyDescent="0.3">
      <c r="AE213" t="s">
        <v>40</v>
      </c>
      <c r="AF213" t="s">
        <v>41</v>
      </c>
      <c r="AG213">
        <v>24100</v>
      </c>
      <c r="AH213" s="30">
        <v>46189</v>
      </c>
      <c r="AI213" t="s">
        <v>43</v>
      </c>
      <c r="AJ213">
        <v>5</v>
      </c>
      <c r="AK213" s="31">
        <v>46181.635416666657</v>
      </c>
      <c r="AL213" s="31">
        <v>46188.635416666657</v>
      </c>
      <c r="AM213">
        <v>15.05</v>
      </c>
      <c r="AN213">
        <v>-6.0100000000000001E-2</v>
      </c>
      <c r="AO213">
        <v>21</v>
      </c>
      <c r="AP213">
        <v>-0.16309999999999999</v>
      </c>
      <c r="AQ213">
        <v>-1933.7</v>
      </c>
      <c r="AR213" t="s">
        <v>46</v>
      </c>
    </row>
    <row r="214" spans="31:44" x14ac:dyDescent="0.3">
      <c r="AE214" t="s">
        <v>40</v>
      </c>
      <c r="AF214" t="s">
        <v>41</v>
      </c>
      <c r="AG214">
        <v>24750</v>
      </c>
      <c r="AH214" s="30">
        <v>46196</v>
      </c>
      <c r="AI214" t="s">
        <v>43</v>
      </c>
      <c r="AJ214">
        <v>5</v>
      </c>
      <c r="AK214" s="31">
        <v>46188.635416666657</v>
      </c>
      <c r="AL214" s="31">
        <v>46195.635416666657</v>
      </c>
      <c r="AM214">
        <v>15.85</v>
      </c>
      <c r="AN214">
        <v>-6.5699999999999995E-2</v>
      </c>
      <c r="AO214">
        <v>1.45</v>
      </c>
      <c r="AP214">
        <v>-1.44E-2</v>
      </c>
      <c r="AQ214">
        <v>4680</v>
      </c>
      <c r="AR214" t="s">
        <v>46</v>
      </c>
    </row>
    <row r="215" spans="31:44" x14ac:dyDescent="0.3">
      <c r="AE215" t="s">
        <v>40</v>
      </c>
      <c r="AF215" t="s">
        <v>51</v>
      </c>
      <c r="AG215">
        <v>25000</v>
      </c>
      <c r="AH215" s="30">
        <v>46203</v>
      </c>
      <c r="AI215" t="s">
        <v>43</v>
      </c>
      <c r="AJ215">
        <v>1</v>
      </c>
      <c r="AK215" s="31">
        <v>46167.635416666657</v>
      </c>
      <c r="AL215" s="31">
        <v>46202.635416666657</v>
      </c>
      <c r="AM215">
        <v>981.95</v>
      </c>
      <c r="AN215">
        <v>0.79520000000000002</v>
      </c>
      <c r="AO215">
        <v>1049.8499999999999</v>
      </c>
      <c r="AP215">
        <v>0.99099999999999999</v>
      </c>
      <c r="AQ215">
        <v>-4413.5</v>
      </c>
      <c r="AR215" t="s">
        <v>318</v>
      </c>
    </row>
    <row r="216" spans="31:44" x14ac:dyDescent="0.3">
      <c r="AE216" t="s">
        <v>40</v>
      </c>
      <c r="AF216" t="s">
        <v>51</v>
      </c>
      <c r="AG216">
        <v>24050</v>
      </c>
      <c r="AH216" s="30">
        <v>46203</v>
      </c>
      <c r="AI216" t="s">
        <v>54</v>
      </c>
      <c r="AJ216">
        <v>1</v>
      </c>
      <c r="AK216" s="31">
        <v>46167.635416666657</v>
      </c>
      <c r="AL216" s="31">
        <v>46202.635416666657</v>
      </c>
      <c r="AM216">
        <v>400.85</v>
      </c>
      <c r="AN216">
        <v>-0.44469999999999998</v>
      </c>
      <c r="AO216">
        <v>135.4</v>
      </c>
      <c r="AP216">
        <v>-0.69369999999999998</v>
      </c>
      <c r="AQ216">
        <v>-17254.3</v>
      </c>
      <c r="AR216" t="s">
        <v>318</v>
      </c>
    </row>
    <row r="217" spans="31:44" x14ac:dyDescent="0.3">
      <c r="AE217" t="s">
        <v>40</v>
      </c>
      <c r="AF217" t="s">
        <v>41</v>
      </c>
      <c r="AG217">
        <v>24700</v>
      </c>
      <c r="AH217" s="30">
        <v>46203</v>
      </c>
      <c r="AI217" t="s">
        <v>43</v>
      </c>
      <c r="AJ217">
        <v>5</v>
      </c>
      <c r="AK217" s="31">
        <v>46195.635416666657</v>
      </c>
      <c r="AL217" s="31">
        <v>46202.635416666657</v>
      </c>
      <c r="AM217">
        <v>16.399999999999999</v>
      </c>
      <c r="AN217">
        <v>-8.8300000000000003E-2</v>
      </c>
      <c r="AO217">
        <v>1.85</v>
      </c>
      <c r="AP217">
        <v>-1.52E-2</v>
      </c>
      <c r="AQ217">
        <v>4728.8</v>
      </c>
      <c r="AR217" t="s">
        <v>318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Future</vt:lpstr>
      <vt:lpstr>Summary</vt:lpstr>
      <vt:lpstr>3 CE ATM</vt:lpstr>
      <vt:lpstr>5 CE ATM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AFF14</dc:creator>
  <cp:lastModifiedBy>Captain Kripalsinh Parmar</cp:lastModifiedBy>
  <dcterms:created xsi:type="dcterms:W3CDTF">2026-08-03T11:02:34Z</dcterms:created>
  <dcterms:modified xsi:type="dcterms:W3CDTF">2026-08-13T12:07:38Z</dcterms:modified>
</cp:coreProperties>
</file>